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mcneill6\arthurs-shop\"/>
    </mc:Choice>
  </mc:AlternateContent>
  <xr:revisionPtr revIDLastSave="0" documentId="8_{370C148D-861D-417B-8C6B-001371E2C48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otals" sheetId="1" r:id="rId1"/>
    <sheet name="Spirits" sheetId="2" r:id="rId2"/>
    <sheet name="Wines, Cava &amp; Champ." sheetId="3" r:id="rId3"/>
    <sheet name="Spirits Less than 700ml" sheetId="4" r:id="rId4"/>
    <sheet name="Plastic Litre or More" sheetId="5" r:id="rId5"/>
    <sheet name="Miniatures" sheetId="6" r:id="rId6"/>
    <sheet name="Beers" sheetId="7" r:id="rId7"/>
    <sheet name="Ciders" sheetId="8" r:id="rId8"/>
    <sheet name="Alco Pops" sheetId="9" r:id="rId9"/>
    <sheet name="Soft Drinks &amp; Mixers" sheetId="10" r:id="rId10"/>
    <sheet name="Frozen Food" sheetId="11" r:id="rId11"/>
    <sheet name="Dried Food" sheetId="12" r:id="rId12"/>
    <sheet name="Sweets &amp; Crisp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3" l="1"/>
  <c r="J46" i="13" s="1"/>
  <c r="I45" i="13"/>
  <c r="J45" i="13" s="1"/>
  <c r="I44" i="13"/>
  <c r="J44" i="13" s="1"/>
  <c r="I43" i="13"/>
  <c r="J43" i="13" s="1"/>
  <c r="I42" i="13"/>
  <c r="J42" i="13" s="1"/>
  <c r="I41" i="13"/>
  <c r="J41" i="13" s="1"/>
  <c r="I40" i="13"/>
  <c r="J40" i="13" s="1"/>
  <c r="I27" i="13"/>
  <c r="J27" i="13" s="1"/>
  <c r="I26" i="13"/>
  <c r="J26" i="13" s="1"/>
  <c r="I25" i="13"/>
  <c r="J25" i="13" s="1"/>
  <c r="I24" i="13"/>
  <c r="J24" i="13" s="1"/>
  <c r="I23" i="13"/>
  <c r="J23" i="13" s="1"/>
  <c r="I22" i="13"/>
  <c r="J22" i="13" s="1"/>
  <c r="I16" i="13"/>
  <c r="J16" i="13" s="1"/>
  <c r="I15" i="13"/>
  <c r="J15" i="13" s="1"/>
  <c r="I14" i="13"/>
  <c r="J14" i="13" s="1"/>
  <c r="I10" i="13"/>
  <c r="J10" i="13" s="1"/>
  <c r="I9" i="13"/>
  <c r="J9" i="13" s="1"/>
  <c r="I8" i="13"/>
  <c r="J8" i="13" s="1"/>
  <c r="I7" i="13"/>
  <c r="J7" i="13" s="1"/>
  <c r="I6" i="13"/>
  <c r="J6" i="13" s="1"/>
  <c r="I5" i="13"/>
  <c r="J5" i="13" s="1"/>
  <c r="K47" i="12"/>
  <c r="J47" i="12"/>
  <c r="J46" i="12"/>
  <c r="K46" i="12" s="1"/>
  <c r="K45" i="12"/>
  <c r="J45" i="12"/>
  <c r="K44" i="12"/>
  <c r="J44" i="12"/>
  <c r="K43" i="12"/>
  <c r="J43" i="12"/>
  <c r="K42" i="12"/>
  <c r="J42" i="12"/>
  <c r="K41" i="12"/>
  <c r="J41" i="12"/>
  <c r="J20" i="12"/>
  <c r="K20" i="12" s="1"/>
  <c r="K19" i="12"/>
  <c r="J19" i="12"/>
  <c r="J18" i="12"/>
  <c r="K18" i="12" s="1"/>
  <c r="J17" i="12"/>
  <c r="K17" i="12" s="1"/>
  <c r="K16" i="12"/>
  <c r="J16" i="12"/>
  <c r="K15" i="12"/>
  <c r="J15" i="12"/>
  <c r="J14" i="12"/>
  <c r="K14" i="12" s="1"/>
  <c r="K13" i="12"/>
  <c r="J13" i="12"/>
  <c r="J12" i="12"/>
  <c r="K12" i="12" s="1"/>
  <c r="J11" i="12"/>
  <c r="K11" i="12" s="1"/>
  <c r="K10" i="12"/>
  <c r="J10" i="12"/>
  <c r="K9" i="12"/>
  <c r="J9" i="12"/>
  <c r="J8" i="12"/>
  <c r="K8" i="12" s="1"/>
  <c r="K7" i="12"/>
  <c r="J7" i="12"/>
  <c r="J6" i="12"/>
  <c r="K6" i="12" s="1"/>
  <c r="J5" i="12"/>
  <c r="K5" i="12" s="1"/>
  <c r="J80" i="11"/>
  <c r="K80" i="11" s="1"/>
  <c r="J79" i="11"/>
  <c r="K79" i="11" s="1"/>
  <c r="K78" i="11"/>
  <c r="J78" i="11"/>
  <c r="J77" i="11"/>
  <c r="K77" i="11" s="1"/>
  <c r="J76" i="11"/>
  <c r="K76" i="11" s="1"/>
  <c r="J75" i="11"/>
  <c r="K75" i="11" s="1"/>
  <c r="J74" i="11"/>
  <c r="K74" i="11" s="1"/>
  <c r="J73" i="11"/>
  <c r="K73" i="11" s="1"/>
  <c r="K72" i="11"/>
  <c r="J72" i="11"/>
  <c r="J71" i="11"/>
  <c r="K71" i="11" s="1"/>
  <c r="K70" i="11"/>
  <c r="J70" i="11"/>
  <c r="K69" i="11"/>
  <c r="J69" i="11"/>
  <c r="J68" i="11"/>
  <c r="K68" i="11" s="1"/>
  <c r="J67" i="11"/>
  <c r="K67" i="11" s="1"/>
  <c r="K66" i="11"/>
  <c r="J66" i="11"/>
  <c r="J65" i="11"/>
  <c r="K65" i="11" s="1"/>
  <c r="J64" i="11"/>
  <c r="K64" i="11" s="1"/>
  <c r="J59" i="11"/>
  <c r="K59" i="11" s="1"/>
  <c r="J58" i="11"/>
  <c r="K58" i="11" s="1"/>
  <c r="J57" i="11"/>
  <c r="K57" i="11" s="1"/>
  <c r="K56" i="11"/>
  <c r="J56" i="11"/>
  <c r="J55" i="11"/>
  <c r="K55" i="11" s="1"/>
  <c r="J54" i="11"/>
  <c r="K54" i="11" s="1"/>
  <c r="J53" i="11"/>
  <c r="K53" i="11" s="1"/>
  <c r="J49" i="11"/>
  <c r="K49" i="11" s="1"/>
  <c r="J48" i="11"/>
  <c r="K48" i="11" s="1"/>
  <c r="K47" i="11"/>
  <c r="J47" i="11"/>
  <c r="J46" i="11"/>
  <c r="K46" i="11" s="1"/>
  <c r="J45" i="11"/>
  <c r="K45" i="11" s="1"/>
  <c r="J44" i="11"/>
  <c r="K44" i="11" s="1"/>
  <c r="J43" i="11"/>
  <c r="K43" i="11" s="1"/>
  <c r="J42" i="11"/>
  <c r="K42" i="11" s="1"/>
  <c r="K41" i="11"/>
  <c r="J41" i="11"/>
  <c r="J36" i="11"/>
  <c r="K36" i="11" s="1"/>
  <c r="K35" i="11"/>
  <c r="J35" i="11"/>
  <c r="K34" i="11"/>
  <c r="J34" i="11"/>
  <c r="J33" i="11"/>
  <c r="K33" i="11" s="1"/>
  <c r="J32" i="11"/>
  <c r="K32" i="11" s="1"/>
  <c r="K31" i="11"/>
  <c r="J31" i="11"/>
  <c r="J30" i="11"/>
  <c r="K30" i="11" s="1"/>
  <c r="J29" i="11"/>
  <c r="K29" i="11" s="1"/>
  <c r="J28" i="11"/>
  <c r="K28" i="11" s="1"/>
  <c r="J27" i="11"/>
  <c r="K27" i="11" s="1"/>
  <c r="J26" i="11"/>
  <c r="K26" i="11" s="1"/>
  <c r="K25" i="11"/>
  <c r="J25" i="11"/>
  <c r="J24" i="11"/>
  <c r="K24" i="11" s="1"/>
  <c r="J23" i="11"/>
  <c r="K23" i="11" s="1"/>
  <c r="J22" i="11"/>
  <c r="K22" i="11" s="1"/>
  <c r="J21" i="11"/>
  <c r="K21" i="11" s="1"/>
  <c r="J20" i="11"/>
  <c r="K20" i="11" s="1"/>
  <c r="K19" i="11"/>
  <c r="J19" i="11"/>
  <c r="J14" i="11"/>
  <c r="K14" i="11" s="1"/>
  <c r="J13" i="11"/>
  <c r="K13" i="11" s="1"/>
  <c r="J12" i="11"/>
  <c r="K12" i="11" s="1"/>
  <c r="J11" i="11"/>
  <c r="K11" i="11" s="1"/>
  <c r="J10" i="11"/>
  <c r="K10" i="11" s="1"/>
  <c r="K9" i="11"/>
  <c r="J9" i="11"/>
  <c r="J8" i="11"/>
  <c r="K8" i="11" s="1"/>
  <c r="K7" i="11"/>
  <c r="J7" i="11"/>
  <c r="K6" i="11"/>
  <c r="J6" i="11"/>
  <c r="K146" i="10"/>
  <c r="J146" i="10"/>
  <c r="J145" i="10"/>
  <c r="K145" i="10" s="1"/>
  <c r="K144" i="10"/>
  <c r="J144" i="10"/>
  <c r="J143" i="10"/>
  <c r="K143" i="10" s="1"/>
  <c r="J142" i="10"/>
  <c r="K142" i="10" s="1"/>
  <c r="K141" i="10"/>
  <c r="J141" i="10"/>
  <c r="K140" i="10"/>
  <c r="J140" i="10"/>
  <c r="J139" i="10"/>
  <c r="K139" i="10" s="1"/>
  <c r="K138" i="10"/>
  <c r="J138" i="10"/>
  <c r="J137" i="10"/>
  <c r="K137" i="10" s="1"/>
  <c r="K136" i="10"/>
  <c r="J136" i="10"/>
  <c r="K132" i="10"/>
  <c r="J132" i="10"/>
  <c r="K131" i="10"/>
  <c r="J131" i="10"/>
  <c r="J130" i="10"/>
  <c r="K130" i="10" s="1"/>
  <c r="K129" i="10"/>
  <c r="J129" i="10"/>
  <c r="J128" i="10"/>
  <c r="K128" i="10" s="1"/>
  <c r="J127" i="10"/>
  <c r="K127" i="10" s="1"/>
  <c r="K126" i="10"/>
  <c r="J126" i="10"/>
  <c r="K125" i="10"/>
  <c r="J125" i="10"/>
  <c r="J124" i="10"/>
  <c r="K124" i="10" s="1"/>
  <c r="K122" i="10"/>
  <c r="J122" i="10"/>
  <c r="J121" i="10"/>
  <c r="K121" i="10" s="1"/>
  <c r="J120" i="10"/>
  <c r="K120" i="10" s="1"/>
  <c r="K118" i="10"/>
  <c r="J118" i="10"/>
  <c r="K117" i="10"/>
  <c r="J117" i="10"/>
  <c r="J116" i="10"/>
  <c r="K116" i="10" s="1"/>
  <c r="K115" i="10"/>
  <c r="J115" i="10"/>
  <c r="J114" i="10"/>
  <c r="K114" i="10" s="1"/>
  <c r="J113" i="10"/>
  <c r="K113" i="10" s="1"/>
  <c r="K112" i="10"/>
  <c r="J112" i="10"/>
  <c r="K111" i="10"/>
  <c r="J111" i="10"/>
  <c r="J110" i="10"/>
  <c r="K110" i="10" s="1"/>
  <c r="K109" i="10"/>
  <c r="J109" i="10"/>
  <c r="K103" i="10"/>
  <c r="J103" i="10"/>
  <c r="J102" i="10"/>
  <c r="K102" i="10" s="1"/>
  <c r="K101" i="10"/>
  <c r="J101" i="10"/>
  <c r="K100" i="10"/>
  <c r="J100" i="10"/>
  <c r="J99" i="10"/>
  <c r="K99" i="10" s="1"/>
  <c r="K98" i="10"/>
  <c r="J98" i="10"/>
  <c r="J97" i="10"/>
  <c r="K97" i="10" s="1"/>
  <c r="J96" i="10"/>
  <c r="K96" i="10" s="1"/>
  <c r="K95" i="10"/>
  <c r="J95" i="10"/>
  <c r="K94" i="10"/>
  <c r="J94" i="10"/>
  <c r="J93" i="10"/>
  <c r="K93" i="10" s="1"/>
  <c r="K92" i="10"/>
  <c r="J92" i="10"/>
  <c r="K91" i="10"/>
  <c r="J91" i="10"/>
  <c r="K90" i="10"/>
  <c r="J90" i="10"/>
  <c r="K89" i="10"/>
  <c r="J89" i="10"/>
  <c r="K88" i="10"/>
  <c r="J88" i="10"/>
  <c r="J87" i="10"/>
  <c r="K87" i="10" s="1"/>
  <c r="K86" i="10"/>
  <c r="J86" i="10"/>
  <c r="J81" i="10"/>
  <c r="K81" i="10" s="1"/>
  <c r="J80" i="10"/>
  <c r="K80" i="10" s="1"/>
  <c r="K79" i="10"/>
  <c r="J79" i="10"/>
  <c r="K78" i="10"/>
  <c r="J78" i="10"/>
  <c r="J77" i="10"/>
  <c r="K77" i="10" s="1"/>
  <c r="K76" i="10"/>
  <c r="J76" i="10"/>
  <c r="K75" i="10"/>
  <c r="J75" i="10"/>
  <c r="K74" i="10"/>
  <c r="J74" i="10"/>
  <c r="K73" i="10"/>
  <c r="J73" i="10"/>
  <c r="K72" i="10"/>
  <c r="J72" i="10"/>
  <c r="J71" i="10"/>
  <c r="K71" i="10" s="1"/>
  <c r="K70" i="10"/>
  <c r="J70" i="10"/>
  <c r="J69" i="10"/>
  <c r="K69" i="10" s="1"/>
  <c r="J68" i="10"/>
  <c r="K68" i="10" s="1"/>
  <c r="K67" i="10"/>
  <c r="J67" i="10"/>
  <c r="K66" i="10"/>
  <c r="J66" i="10"/>
  <c r="J61" i="10"/>
  <c r="K61" i="10" s="1"/>
  <c r="K60" i="10"/>
  <c r="J60" i="10"/>
  <c r="K59" i="10"/>
  <c r="J59" i="10"/>
  <c r="K58" i="10"/>
  <c r="J58" i="10"/>
  <c r="K57" i="10"/>
  <c r="J57" i="10"/>
  <c r="K56" i="10"/>
  <c r="J56" i="10"/>
  <c r="J55" i="10"/>
  <c r="K55" i="10" s="1"/>
  <c r="K54" i="10"/>
  <c r="J54" i="10"/>
  <c r="J53" i="10"/>
  <c r="K53" i="10" s="1"/>
  <c r="J52" i="10"/>
  <c r="K52" i="10" s="1"/>
  <c r="K51" i="10"/>
  <c r="J51" i="10"/>
  <c r="K50" i="10"/>
  <c r="J50" i="10"/>
  <c r="J49" i="10"/>
  <c r="K49" i="10" s="1"/>
  <c r="K48" i="10"/>
  <c r="J48" i="10"/>
  <c r="J47" i="10"/>
  <c r="K47" i="10" s="1"/>
  <c r="K46" i="10"/>
  <c r="J46" i="10"/>
  <c r="K45" i="10"/>
  <c r="J45" i="10"/>
  <c r="K44" i="10"/>
  <c r="J44" i="10"/>
  <c r="J43" i="10"/>
  <c r="K43" i="10" s="1"/>
  <c r="K42" i="10"/>
  <c r="J42" i="10"/>
  <c r="J38" i="10"/>
  <c r="K38" i="10" s="1"/>
  <c r="J37" i="10"/>
  <c r="K37" i="10" s="1"/>
  <c r="K36" i="10"/>
  <c r="J36" i="10"/>
  <c r="K35" i="10"/>
  <c r="J35" i="10"/>
  <c r="J31" i="10"/>
  <c r="K31" i="10" s="1"/>
  <c r="K30" i="10"/>
  <c r="J30" i="10"/>
  <c r="J29" i="10"/>
  <c r="K29" i="10" s="1"/>
  <c r="J28" i="10"/>
  <c r="K28" i="10" s="1"/>
  <c r="K27" i="10"/>
  <c r="J27" i="10"/>
  <c r="K26" i="10"/>
  <c r="J26" i="10"/>
  <c r="J25" i="10"/>
  <c r="K25" i="10" s="1"/>
  <c r="K24" i="10"/>
  <c r="J24" i="10"/>
  <c r="J23" i="10"/>
  <c r="K23" i="10" s="1"/>
  <c r="J22" i="10"/>
  <c r="K22" i="10" s="1"/>
  <c r="K21" i="10"/>
  <c r="J21" i="10"/>
  <c r="K20" i="10"/>
  <c r="J20" i="10"/>
  <c r="J19" i="10"/>
  <c r="K19" i="10" s="1"/>
  <c r="K18" i="10"/>
  <c r="J18" i="10"/>
  <c r="K17" i="10"/>
  <c r="J17" i="10"/>
  <c r="J16" i="10"/>
  <c r="K16" i="10" s="1"/>
  <c r="K15" i="10"/>
  <c r="J15" i="10"/>
  <c r="K14" i="10"/>
  <c r="J14" i="10"/>
  <c r="J13" i="10"/>
  <c r="K13" i="10" s="1"/>
  <c r="K12" i="10"/>
  <c r="J12" i="10"/>
  <c r="J11" i="10"/>
  <c r="K11" i="10" s="1"/>
  <c r="J10" i="10"/>
  <c r="K10" i="10" s="1"/>
  <c r="K9" i="10"/>
  <c r="J9" i="10"/>
  <c r="K8" i="10"/>
  <c r="J8" i="10"/>
  <c r="J7" i="10"/>
  <c r="K7" i="10" s="1"/>
  <c r="K6" i="10"/>
  <c r="J6" i="10"/>
  <c r="K5" i="10"/>
  <c r="J5" i="10"/>
  <c r="J47" i="9"/>
  <c r="K47" i="9" s="1"/>
  <c r="J46" i="9"/>
  <c r="K46" i="9" s="1"/>
  <c r="J45" i="9"/>
  <c r="K45" i="9" s="1"/>
  <c r="K44" i="9"/>
  <c r="J44" i="9"/>
  <c r="J43" i="9"/>
  <c r="K43" i="9" s="1"/>
  <c r="K42" i="9"/>
  <c r="J42" i="9"/>
  <c r="K41" i="9"/>
  <c r="J41" i="9"/>
  <c r="J24" i="9"/>
  <c r="K24" i="9" s="1"/>
  <c r="J22" i="9"/>
  <c r="K22" i="9" s="1"/>
  <c r="K21" i="9"/>
  <c r="J21" i="9"/>
  <c r="J20" i="9"/>
  <c r="K20" i="9" s="1"/>
  <c r="K19" i="9"/>
  <c r="J19" i="9"/>
  <c r="J18" i="9"/>
  <c r="K18" i="9" s="1"/>
  <c r="J17" i="9"/>
  <c r="K17" i="9" s="1"/>
  <c r="J16" i="9"/>
  <c r="K16" i="9" s="1"/>
  <c r="K15" i="9"/>
  <c r="J15" i="9"/>
  <c r="J13" i="9"/>
  <c r="K13" i="9" s="1"/>
  <c r="J12" i="9"/>
  <c r="K12" i="9" s="1"/>
  <c r="J11" i="9"/>
  <c r="K11" i="9" s="1"/>
  <c r="J10" i="9"/>
  <c r="K10" i="9" s="1"/>
  <c r="J8" i="9"/>
  <c r="K8" i="9" s="1"/>
  <c r="K7" i="9"/>
  <c r="J7" i="9"/>
  <c r="J6" i="9"/>
  <c r="K6" i="9" s="1"/>
  <c r="J5" i="9"/>
  <c r="K5" i="9" s="1"/>
  <c r="K42" i="8"/>
  <c r="J42" i="8"/>
  <c r="K41" i="8"/>
  <c r="J41" i="8"/>
  <c r="J39" i="8"/>
  <c r="K39" i="8" s="1"/>
  <c r="K38" i="8"/>
  <c r="J38" i="8"/>
  <c r="J36" i="8"/>
  <c r="K36" i="8" s="1"/>
  <c r="J35" i="8"/>
  <c r="K35" i="8" s="1"/>
  <c r="K34" i="8"/>
  <c r="J34" i="8"/>
  <c r="K33" i="8"/>
  <c r="J33" i="8"/>
  <c r="J32" i="8"/>
  <c r="K32" i="8" s="1"/>
  <c r="K31" i="8"/>
  <c r="J31" i="8"/>
  <c r="K30" i="8"/>
  <c r="J30" i="8"/>
  <c r="K29" i="8"/>
  <c r="J29" i="8"/>
  <c r="K28" i="8"/>
  <c r="J28" i="8"/>
  <c r="K27" i="8"/>
  <c r="J27" i="8"/>
  <c r="J26" i="8"/>
  <c r="K26" i="8" s="1"/>
  <c r="K25" i="8"/>
  <c r="J25" i="8"/>
  <c r="J24" i="8"/>
  <c r="K24" i="8" s="1"/>
  <c r="J23" i="8"/>
  <c r="K23" i="8" s="1"/>
  <c r="K22" i="8"/>
  <c r="J22" i="8"/>
  <c r="K21" i="8"/>
  <c r="J21" i="8"/>
  <c r="J20" i="8"/>
  <c r="K20" i="8" s="1"/>
  <c r="K19" i="8"/>
  <c r="J19" i="8"/>
  <c r="K18" i="8"/>
  <c r="J18" i="8"/>
  <c r="K15" i="8"/>
  <c r="J15" i="8"/>
  <c r="K14" i="8"/>
  <c r="J14" i="8"/>
  <c r="K13" i="8"/>
  <c r="J13" i="8"/>
  <c r="J12" i="8"/>
  <c r="K12" i="8" s="1"/>
  <c r="K11" i="8"/>
  <c r="J11" i="8"/>
  <c r="K10" i="8"/>
  <c r="J10" i="8"/>
  <c r="J9" i="8"/>
  <c r="K9" i="8" s="1"/>
  <c r="K8" i="8"/>
  <c r="J8" i="8"/>
  <c r="K7" i="8"/>
  <c r="J7" i="8"/>
  <c r="J6" i="8"/>
  <c r="K6" i="8" s="1"/>
  <c r="J138" i="7"/>
  <c r="K138" i="7" s="1"/>
  <c r="J137" i="7"/>
  <c r="K137" i="7" s="1"/>
  <c r="K134" i="7"/>
  <c r="J134" i="7"/>
  <c r="J133" i="7"/>
  <c r="K133" i="7" s="1"/>
  <c r="J131" i="7"/>
  <c r="K131" i="7" s="1"/>
  <c r="K130" i="7"/>
  <c r="J130" i="7"/>
  <c r="J129" i="7"/>
  <c r="K129" i="7" s="1"/>
  <c r="K128" i="7"/>
  <c r="J128" i="7"/>
  <c r="K127" i="7"/>
  <c r="J127" i="7"/>
  <c r="J126" i="7"/>
  <c r="K126" i="7" s="1"/>
  <c r="J125" i="7"/>
  <c r="K125" i="7" s="1"/>
  <c r="K124" i="7"/>
  <c r="J124" i="7"/>
  <c r="J123" i="7"/>
  <c r="K123" i="7" s="1"/>
  <c r="J122" i="7"/>
  <c r="K122" i="7" s="1"/>
  <c r="J121" i="7"/>
  <c r="K121" i="7" s="1"/>
  <c r="J120" i="7"/>
  <c r="K120" i="7" s="1"/>
  <c r="J119" i="7"/>
  <c r="K119" i="7" s="1"/>
  <c r="K118" i="7"/>
  <c r="J118" i="7"/>
  <c r="J117" i="7"/>
  <c r="K117" i="7" s="1"/>
  <c r="K114" i="7"/>
  <c r="J114" i="7"/>
  <c r="K113" i="7"/>
  <c r="J113" i="7"/>
  <c r="J112" i="7"/>
  <c r="K112" i="7" s="1"/>
  <c r="J110" i="7"/>
  <c r="K110" i="7" s="1"/>
  <c r="K109" i="7"/>
  <c r="J109" i="7"/>
  <c r="J106" i="7"/>
  <c r="K106" i="7" s="1"/>
  <c r="J105" i="7"/>
  <c r="K105" i="7" s="1"/>
  <c r="K104" i="7"/>
  <c r="J104" i="7"/>
  <c r="J103" i="7"/>
  <c r="K103" i="7" s="1"/>
  <c r="J102" i="7"/>
  <c r="K102" i="7" s="1"/>
  <c r="K101" i="7"/>
  <c r="J101" i="7"/>
  <c r="J100" i="7"/>
  <c r="K100" i="7" s="1"/>
  <c r="K99" i="7"/>
  <c r="J99" i="7"/>
  <c r="K97" i="7"/>
  <c r="J97" i="7"/>
  <c r="J96" i="7"/>
  <c r="K96" i="7" s="1"/>
  <c r="J95" i="7"/>
  <c r="K95" i="7" s="1"/>
  <c r="K94" i="7"/>
  <c r="J94" i="7"/>
  <c r="J93" i="7"/>
  <c r="K93" i="7" s="1"/>
  <c r="J91" i="7"/>
  <c r="K91" i="7" s="1"/>
  <c r="J90" i="7"/>
  <c r="K90" i="7" s="1"/>
  <c r="J88" i="7"/>
  <c r="K88" i="7" s="1"/>
  <c r="J87" i="7"/>
  <c r="K87" i="7" s="1"/>
  <c r="K86" i="7"/>
  <c r="J86" i="7"/>
  <c r="J85" i="7"/>
  <c r="K85" i="7" s="1"/>
  <c r="K84" i="7"/>
  <c r="J84" i="7"/>
  <c r="K83" i="7"/>
  <c r="J83" i="7"/>
  <c r="J82" i="7"/>
  <c r="K82" i="7" s="1"/>
  <c r="J81" i="7"/>
  <c r="K81" i="7" s="1"/>
  <c r="K80" i="7"/>
  <c r="J80" i="7"/>
  <c r="J79" i="7"/>
  <c r="K79" i="7" s="1"/>
  <c r="J77" i="7"/>
  <c r="K77" i="7" s="1"/>
  <c r="K76" i="7"/>
  <c r="J76" i="7"/>
  <c r="J75" i="7"/>
  <c r="K75" i="7" s="1"/>
  <c r="J74" i="7"/>
  <c r="K74" i="7" s="1"/>
  <c r="K71" i="7"/>
  <c r="J71" i="7"/>
  <c r="J70" i="7"/>
  <c r="K70" i="7" s="1"/>
  <c r="K69" i="7"/>
  <c r="J69" i="7"/>
  <c r="K68" i="7"/>
  <c r="J68" i="7"/>
  <c r="J66" i="7"/>
  <c r="K66" i="7" s="1"/>
  <c r="J65" i="7"/>
  <c r="K65" i="7" s="1"/>
  <c r="K64" i="7"/>
  <c r="J64" i="7"/>
  <c r="J63" i="7"/>
  <c r="K63" i="7" s="1"/>
  <c r="J62" i="7"/>
  <c r="K62" i="7" s="1"/>
  <c r="J61" i="7"/>
  <c r="K61" i="7" s="1"/>
  <c r="J60" i="7"/>
  <c r="K60" i="7" s="1"/>
  <c r="J57" i="7"/>
  <c r="K57" i="7" s="1"/>
  <c r="K56" i="7"/>
  <c r="J56" i="7"/>
  <c r="J55" i="7"/>
  <c r="K55" i="7" s="1"/>
  <c r="K54" i="7"/>
  <c r="J54" i="7"/>
  <c r="K53" i="7"/>
  <c r="J53" i="7"/>
  <c r="J52" i="7"/>
  <c r="K52" i="7" s="1"/>
  <c r="J51" i="7"/>
  <c r="K51" i="7" s="1"/>
  <c r="K50" i="7"/>
  <c r="J50" i="7"/>
  <c r="J47" i="7"/>
  <c r="K47" i="7" s="1"/>
  <c r="J46" i="7"/>
  <c r="K46" i="7" s="1"/>
  <c r="K43" i="7"/>
  <c r="J43" i="7"/>
  <c r="J42" i="7"/>
  <c r="K42" i="7" s="1"/>
  <c r="J41" i="7"/>
  <c r="K41" i="7" s="1"/>
  <c r="K40" i="7"/>
  <c r="J40" i="7"/>
  <c r="J39" i="7"/>
  <c r="K39" i="7" s="1"/>
  <c r="K37" i="7"/>
  <c r="J37" i="7"/>
  <c r="K36" i="7"/>
  <c r="J36" i="7"/>
  <c r="J35" i="7"/>
  <c r="K35" i="7" s="1"/>
  <c r="J34" i="7"/>
  <c r="K34" i="7" s="1"/>
  <c r="K32" i="7"/>
  <c r="J32" i="7"/>
  <c r="J31" i="7"/>
  <c r="K31" i="7" s="1"/>
  <c r="J30" i="7"/>
  <c r="K30" i="7" s="1"/>
  <c r="J29" i="7"/>
  <c r="K29" i="7" s="1"/>
  <c r="J28" i="7"/>
  <c r="K28" i="7" s="1"/>
  <c r="J27" i="7"/>
  <c r="K27" i="7" s="1"/>
  <c r="K25" i="7"/>
  <c r="J25" i="7"/>
  <c r="J24" i="7"/>
  <c r="K24" i="7" s="1"/>
  <c r="K23" i="7"/>
  <c r="J23" i="7"/>
  <c r="K22" i="7"/>
  <c r="J22" i="7"/>
  <c r="J21" i="7"/>
  <c r="K21" i="7" s="1"/>
  <c r="J18" i="7"/>
  <c r="K18" i="7" s="1"/>
  <c r="K17" i="7"/>
  <c r="J17" i="7"/>
  <c r="J15" i="7"/>
  <c r="K15" i="7" s="1"/>
  <c r="J14" i="7"/>
  <c r="K14" i="7" s="1"/>
  <c r="K12" i="7"/>
  <c r="J12" i="7"/>
  <c r="J11" i="7"/>
  <c r="K11" i="7" s="1"/>
  <c r="J10" i="7"/>
  <c r="K10" i="7" s="1"/>
  <c r="K9" i="7"/>
  <c r="J9" i="7"/>
  <c r="J7" i="7"/>
  <c r="K7" i="7" s="1"/>
  <c r="K6" i="7"/>
  <c r="K2" i="7" s="1"/>
  <c r="B9" i="1" s="1"/>
  <c r="J6" i="7"/>
  <c r="J47" i="6"/>
  <c r="I47" i="6"/>
  <c r="J46" i="6"/>
  <c r="I46" i="6"/>
  <c r="I45" i="6"/>
  <c r="J45" i="6" s="1"/>
  <c r="J44" i="6"/>
  <c r="I44" i="6"/>
  <c r="J43" i="6"/>
  <c r="I43" i="6"/>
  <c r="J42" i="6"/>
  <c r="I42" i="6"/>
  <c r="J41" i="6"/>
  <c r="I41" i="6"/>
  <c r="J40" i="6"/>
  <c r="I40" i="6"/>
  <c r="I39" i="6"/>
  <c r="J39" i="6" s="1"/>
  <c r="J38" i="6"/>
  <c r="I38" i="6"/>
  <c r="I33" i="6"/>
  <c r="J33" i="6" s="1"/>
  <c r="I32" i="6"/>
  <c r="J32" i="6" s="1"/>
  <c r="J31" i="6"/>
  <c r="I31" i="6"/>
  <c r="J30" i="6"/>
  <c r="I30" i="6"/>
  <c r="I29" i="6"/>
  <c r="J29" i="6" s="1"/>
  <c r="J28" i="6"/>
  <c r="I28" i="6"/>
  <c r="J27" i="6"/>
  <c r="I27" i="6"/>
  <c r="J26" i="6"/>
  <c r="I26" i="6"/>
  <c r="J25" i="6"/>
  <c r="I25" i="6"/>
  <c r="J24" i="6"/>
  <c r="I24" i="6"/>
  <c r="I23" i="6"/>
  <c r="J23" i="6" s="1"/>
  <c r="J22" i="6"/>
  <c r="I22" i="6"/>
  <c r="I21" i="6"/>
  <c r="J21" i="6" s="1"/>
  <c r="I20" i="6"/>
  <c r="J20" i="6" s="1"/>
  <c r="J19" i="6"/>
  <c r="I19" i="6"/>
  <c r="J18" i="6"/>
  <c r="I18" i="6"/>
  <c r="I17" i="6"/>
  <c r="J17" i="6" s="1"/>
  <c r="J16" i="6"/>
  <c r="I16" i="6"/>
  <c r="J15" i="6"/>
  <c r="I15" i="6"/>
  <c r="J14" i="6"/>
  <c r="I14" i="6"/>
  <c r="J13" i="6"/>
  <c r="I13" i="6"/>
  <c r="J12" i="6"/>
  <c r="I12" i="6"/>
  <c r="I11" i="6"/>
  <c r="J11" i="6" s="1"/>
  <c r="J10" i="6"/>
  <c r="I10" i="6"/>
  <c r="I9" i="6"/>
  <c r="J9" i="6" s="1"/>
  <c r="I8" i="6"/>
  <c r="J8" i="6" s="1"/>
  <c r="J7" i="6"/>
  <c r="I7" i="6"/>
  <c r="J6" i="6"/>
  <c r="I6" i="6"/>
  <c r="J39" i="5"/>
  <c r="K39" i="5" s="1"/>
  <c r="J38" i="5"/>
  <c r="K38" i="5" s="1"/>
  <c r="J37" i="5"/>
  <c r="K37" i="5" s="1"/>
  <c r="K36" i="5"/>
  <c r="J36" i="5"/>
  <c r="J35" i="5"/>
  <c r="K35" i="5" s="1"/>
  <c r="J34" i="5"/>
  <c r="K34" i="5" s="1"/>
  <c r="K33" i="5"/>
  <c r="J33" i="5"/>
  <c r="J26" i="5"/>
  <c r="K26" i="5" s="1"/>
  <c r="J25" i="5"/>
  <c r="K25" i="5" s="1"/>
  <c r="J24" i="5"/>
  <c r="K24" i="5" s="1"/>
  <c r="J23" i="5"/>
  <c r="K23" i="5" s="1"/>
  <c r="J22" i="5"/>
  <c r="K22" i="5" s="1"/>
  <c r="J21" i="5"/>
  <c r="K21" i="5" s="1"/>
  <c r="J20" i="5"/>
  <c r="K20" i="5" s="1"/>
  <c r="K19" i="5"/>
  <c r="J19" i="5"/>
  <c r="K18" i="5"/>
  <c r="J18" i="5"/>
  <c r="J17" i="5"/>
  <c r="K17" i="5" s="1"/>
  <c r="J16" i="5"/>
  <c r="K16" i="5" s="1"/>
  <c r="J15" i="5"/>
  <c r="K15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K6" i="5"/>
  <c r="J6" i="5"/>
  <c r="J5" i="5"/>
  <c r="K5" i="5" s="1"/>
  <c r="J50" i="4"/>
  <c r="K50" i="4" s="1"/>
  <c r="K49" i="4"/>
  <c r="J49" i="4"/>
  <c r="K48" i="4"/>
  <c r="J48" i="4"/>
  <c r="J47" i="4"/>
  <c r="K47" i="4" s="1"/>
  <c r="K46" i="4"/>
  <c r="J46" i="4"/>
  <c r="K45" i="4"/>
  <c r="J45" i="4"/>
  <c r="J44" i="4"/>
  <c r="K44" i="4" s="1"/>
  <c r="K43" i="4"/>
  <c r="J43" i="4"/>
  <c r="J42" i="4"/>
  <c r="K42" i="4" s="1"/>
  <c r="J41" i="4"/>
  <c r="K41" i="4" s="1"/>
  <c r="K40" i="4"/>
  <c r="J40" i="4"/>
  <c r="K39" i="4"/>
  <c r="J39" i="4"/>
  <c r="J38" i="4"/>
  <c r="K38" i="4" s="1"/>
  <c r="K37" i="4"/>
  <c r="J37" i="4"/>
  <c r="K36" i="4"/>
  <c r="J36" i="4"/>
  <c r="K31" i="4"/>
  <c r="J31" i="4"/>
  <c r="K30" i="4"/>
  <c r="J30" i="4"/>
  <c r="K29" i="4"/>
  <c r="J29" i="4"/>
  <c r="J25" i="4"/>
  <c r="K25" i="4" s="1"/>
  <c r="K24" i="4"/>
  <c r="J24" i="4"/>
  <c r="J23" i="4"/>
  <c r="K23" i="4" s="1"/>
  <c r="J22" i="4"/>
  <c r="K22" i="4" s="1"/>
  <c r="K21" i="4"/>
  <c r="J21" i="4"/>
  <c r="K20" i="4"/>
  <c r="J20" i="4"/>
  <c r="J19" i="4"/>
  <c r="K19" i="4" s="1"/>
  <c r="K18" i="4"/>
  <c r="J18" i="4"/>
  <c r="K17" i="4"/>
  <c r="J17" i="4"/>
  <c r="K16" i="4"/>
  <c r="J16" i="4"/>
  <c r="K15" i="4"/>
  <c r="J15" i="4"/>
  <c r="K14" i="4"/>
  <c r="J14" i="4"/>
  <c r="J13" i="4"/>
  <c r="K13" i="4" s="1"/>
  <c r="K7" i="4"/>
  <c r="J7" i="4"/>
  <c r="K87" i="3"/>
  <c r="J87" i="3"/>
  <c r="K86" i="3"/>
  <c r="J86" i="3"/>
  <c r="J85" i="3"/>
  <c r="K85" i="3" s="1"/>
  <c r="K84" i="3"/>
  <c r="J79" i="3"/>
  <c r="K79" i="3" s="1"/>
  <c r="K78" i="3"/>
  <c r="J78" i="3"/>
  <c r="K77" i="3"/>
  <c r="J77" i="3"/>
  <c r="J76" i="3"/>
  <c r="K76" i="3" s="1"/>
  <c r="K75" i="3"/>
  <c r="J75" i="3"/>
  <c r="K74" i="3"/>
  <c r="J74" i="3"/>
  <c r="J73" i="3"/>
  <c r="K73" i="3" s="1"/>
  <c r="K72" i="3"/>
  <c r="J72" i="3"/>
  <c r="J71" i="3"/>
  <c r="K71" i="3" s="1"/>
  <c r="K70" i="3"/>
  <c r="J70" i="3"/>
  <c r="K69" i="3"/>
  <c r="J69" i="3"/>
  <c r="K68" i="3"/>
  <c r="J68" i="3"/>
  <c r="J66" i="3"/>
  <c r="K66" i="3" s="1"/>
  <c r="K65" i="3"/>
  <c r="J65" i="3"/>
  <c r="J64" i="3"/>
  <c r="K64" i="3" s="1"/>
  <c r="K63" i="3"/>
  <c r="J63" i="3"/>
  <c r="K62" i="3"/>
  <c r="J62" i="3"/>
  <c r="K61" i="3"/>
  <c r="J61" i="3"/>
  <c r="J60" i="3"/>
  <c r="K60" i="3" s="1"/>
  <c r="K59" i="3"/>
  <c r="J59" i="3"/>
  <c r="J58" i="3"/>
  <c r="K58" i="3" s="1"/>
  <c r="J54" i="3"/>
  <c r="K54" i="3" s="1"/>
  <c r="K53" i="3"/>
  <c r="J53" i="3"/>
  <c r="K52" i="3"/>
  <c r="J52" i="3"/>
  <c r="J51" i="3"/>
  <c r="K51" i="3" s="1"/>
  <c r="K50" i="3"/>
  <c r="J50" i="3"/>
  <c r="J49" i="3"/>
  <c r="K49" i="3" s="1"/>
  <c r="J48" i="3"/>
  <c r="K48" i="3" s="1"/>
  <c r="K47" i="3"/>
  <c r="J47" i="3"/>
  <c r="K46" i="3"/>
  <c r="J46" i="3"/>
  <c r="J45" i="3"/>
  <c r="K45" i="3" s="1"/>
  <c r="K44" i="3"/>
  <c r="J44" i="3"/>
  <c r="K43" i="3"/>
  <c r="J43" i="3"/>
  <c r="J42" i="3"/>
  <c r="K42" i="3" s="1"/>
  <c r="K41" i="3"/>
  <c r="J41" i="3"/>
  <c r="K40" i="3"/>
  <c r="J40" i="3"/>
  <c r="J39" i="3"/>
  <c r="K39" i="3" s="1"/>
  <c r="K38" i="3"/>
  <c r="J38" i="3"/>
  <c r="J37" i="3"/>
  <c r="K37" i="3" s="1"/>
  <c r="J36" i="3"/>
  <c r="K36" i="3" s="1"/>
  <c r="K35" i="3"/>
  <c r="J35" i="3"/>
  <c r="K34" i="3"/>
  <c r="J34" i="3"/>
  <c r="J33" i="3"/>
  <c r="K33" i="3" s="1"/>
  <c r="K32" i="3"/>
  <c r="J32" i="3"/>
  <c r="K31" i="3"/>
  <c r="J31" i="3"/>
  <c r="K30" i="3"/>
  <c r="J30" i="3"/>
  <c r="K29" i="3"/>
  <c r="J29" i="3"/>
  <c r="K28" i="3"/>
  <c r="J28" i="3"/>
  <c r="J27" i="3"/>
  <c r="K27" i="3" s="1"/>
  <c r="K26" i="3"/>
  <c r="J26" i="3"/>
  <c r="J25" i="3"/>
  <c r="K25" i="3" s="1"/>
  <c r="J24" i="3"/>
  <c r="K24" i="3" s="1"/>
  <c r="K23" i="3"/>
  <c r="J23" i="3"/>
  <c r="K21" i="3"/>
  <c r="J21" i="3"/>
  <c r="J20" i="3"/>
  <c r="K20" i="3" s="1"/>
  <c r="K19" i="3"/>
  <c r="J19" i="3"/>
  <c r="K18" i="3"/>
  <c r="J18" i="3"/>
  <c r="K17" i="3"/>
  <c r="J17" i="3"/>
  <c r="K16" i="3"/>
  <c r="J16" i="3"/>
  <c r="K15" i="3"/>
  <c r="J15" i="3"/>
  <c r="J14" i="3"/>
  <c r="K14" i="3" s="1"/>
  <c r="K13" i="3"/>
  <c r="J13" i="3"/>
  <c r="J12" i="3"/>
  <c r="K12" i="3" s="1"/>
  <c r="J11" i="3"/>
  <c r="K11" i="3" s="1"/>
  <c r="K10" i="3"/>
  <c r="J10" i="3"/>
  <c r="K9" i="3"/>
  <c r="J9" i="3"/>
  <c r="J8" i="3"/>
  <c r="K8" i="3" s="1"/>
  <c r="K7" i="3"/>
  <c r="J7" i="3"/>
  <c r="K6" i="3"/>
  <c r="J6" i="3"/>
  <c r="K5" i="3"/>
  <c r="J5" i="3"/>
  <c r="K4" i="3"/>
  <c r="J4" i="3"/>
  <c r="J412" i="2"/>
  <c r="K412" i="2" s="1"/>
  <c r="J411" i="2"/>
  <c r="K411" i="2" s="1"/>
  <c r="J410" i="2"/>
  <c r="K410" i="2" s="1"/>
  <c r="J409" i="2"/>
  <c r="K409" i="2" s="1"/>
  <c r="K408" i="2"/>
  <c r="J408" i="2"/>
  <c r="J407" i="2"/>
  <c r="K407" i="2" s="1"/>
  <c r="J406" i="2"/>
  <c r="K406" i="2" s="1"/>
  <c r="K405" i="2"/>
  <c r="J405" i="2"/>
  <c r="J404" i="2"/>
  <c r="K404" i="2" s="1"/>
  <c r="J403" i="2"/>
  <c r="K403" i="2" s="1"/>
  <c r="J402" i="2"/>
  <c r="K402" i="2" s="1"/>
  <c r="J401" i="2"/>
  <c r="K401" i="2" s="1"/>
  <c r="J400" i="2"/>
  <c r="K400" i="2" s="1"/>
  <c r="J399" i="2"/>
  <c r="K399" i="2" s="1"/>
  <c r="J398" i="2"/>
  <c r="K398" i="2" s="1"/>
  <c r="K397" i="2"/>
  <c r="J397" i="2"/>
  <c r="K396" i="2"/>
  <c r="J396" i="2"/>
  <c r="J395" i="2"/>
  <c r="K395" i="2" s="1"/>
  <c r="J394" i="2"/>
  <c r="K394" i="2" s="1"/>
  <c r="J393" i="2"/>
  <c r="K393" i="2" s="1"/>
  <c r="J392" i="2"/>
  <c r="K392" i="2" s="1"/>
  <c r="J391" i="2"/>
  <c r="K391" i="2" s="1"/>
  <c r="J390" i="2"/>
  <c r="K390" i="2" s="1"/>
  <c r="J389" i="2"/>
  <c r="K389" i="2" s="1"/>
  <c r="J388" i="2"/>
  <c r="K388" i="2" s="1"/>
  <c r="J387" i="2"/>
  <c r="K387" i="2" s="1"/>
  <c r="J386" i="2"/>
  <c r="K386" i="2" s="1"/>
  <c r="J385" i="2"/>
  <c r="K385" i="2" s="1"/>
  <c r="K380" i="2"/>
  <c r="J380" i="2"/>
  <c r="J379" i="2"/>
  <c r="K379" i="2" s="1"/>
  <c r="J378" i="2"/>
  <c r="K378" i="2" s="1"/>
  <c r="K377" i="2"/>
  <c r="J377" i="2"/>
  <c r="J376" i="2"/>
  <c r="K376" i="2" s="1"/>
  <c r="J375" i="2"/>
  <c r="K375" i="2" s="1"/>
  <c r="J374" i="2"/>
  <c r="K374" i="2" s="1"/>
  <c r="J369" i="2"/>
  <c r="K369" i="2" s="1"/>
  <c r="J368" i="2"/>
  <c r="K368" i="2" s="1"/>
  <c r="J367" i="2"/>
  <c r="K367" i="2" s="1"/>
  <c r="J366" i="2"/>
  <c r="K366" i="2" s="1"/>
  <c r="K365" i="2"/>
  <c r="J365" i="2"/>
  <c r="K364" i="2"/>
  <c r="J364" i="2"/>
  <c r="J363" i="2"/>
  <c r="K363" i="2" s="1"/>
  <c r="J362" i="2"/>
  <c r="K362" i="2" s="1"/>
  <c r="J361" i="2"/>
  <c r="K361" i="2" s="1"/>
  <c r="J360" i="2"/>
  <c r="K360" i="2" s="1"/>
  <c r="J359" i="2"/>
  <c r="K359" i="2" s="1"/>
  <c r="J358" i="2"/>
  <c r="K358" i="2" s="1"/>
  <c r="J357" i="2"/>
  <c r="K357" i="2" s="1"/>
  <c r="J356" i="2"/>
  <c r="K356" i="2" s="1"/>
  <c r="J350" i="2"/>
  <c r="K350" i="2" s="1"/>
  <c r="J349" i="2"/>
  <c r="K349" i="2" s="1"/>
  <c r="J348" i="2"/>
  <c r="K348" i="2" s="1"/>
  <c r="K347" i="2"/>
  <c r="J347" i="2"/>
  <c r="J346" i="2"/>
  <c r="K346" i="2" s="1"/>
  <c r="J345" i="2"/>
  <c r="K345" i="2" s="1"/>
  <c r="K344" i="2"/>
  <c r="J344" i="2"/>
  <c r="J343" i="2"/>
  <c r="K343" i="2" s="1"/>
  <c r="J342" i="2"/>
  <c r="K342" i="2" s="1"/>
  <c r="J341" i="2"/>
  <c r="K341" i="2" s="1"/>
  <c r="J340" i="2"/>
  <c r="K340" i="2" s="1"/>
  <c r="J339" i="2"/>
  <c r="K339" i="2" s="1"/>
  <c r="J338" i="2"/>
  <c r="K338" i="2" s="1"/>
  <c r="J337" i="2"/>
  <c r="K337" i="2" s="1"/>
  <c r="K336" i="2"/>
  <c r="J336" i="2"/>
  <c r="K335" i="2"/>
  <c r="J335" i="2"/>
  <c r="J334" i="2"/>
  <c r="K334" i="2" s="1"/>
  <c r="J333" i="2"/>
  <c r="K333" i="2" s="1"/>
  <c r="J332" i="2"/>
  <c r="K332" i="2" s="1"/>
  <c r="J331" i="2"/>
  <c r="K331" i="2" s="1"/>
  <c r="J330" i="2"/>
  <c r="K330" i="2" s="1"/>
  <c r="J329" i="2"/>
  <c r="K329" i="2" s="1"/>
  <c r="J328" i="2"/>
  <c r="K328" i="2" s="1"/>
  <c r="J327" i="2"/>
  <c r="K327" i="2" s="1"/>
  <c r="J326" i="2"/>
  <c r="K326" i="2" s="1"/>
  <c r="J325" i="2"/>
  <c r="K325" i="2" s="1"/>
  <c r="J324" i="2"/>
  <c r="K324" i="2" s="1"/>
  <c r="K323" i="2"/>
  <c r="K322" i="2"/>
  <c r="J322" i="2"/>
  <c r="K321" i="2"/>
  <c r="J321" i="2"/>
  <c r="J320" i="2"/>
  <c r="K320" i="2" s="1"/>
  <c r="K319" i="2"/>
  <c r="J319" i="2"/>
  <c r="J318" i="2"/>
  <c r="K318" i="2" s="1"/>
  <c r="J317" i="2"/>
  <c r="K317" i="2" s="1"/>
  <c r="K316" i="2"/>
  <c r="J316" i="2"/>
  <c r="K315" i="2"/>
  <c r="J315" i="2"/>
  <c r="J314" i="2"/>
  <c r="K314" i="2" s="1"/>
  <c r="K313" i="2"/>
  <c r="J313" i="2"/>
  <c r="J312" i="2"/>
  <c r="K312" i="2" s="1"/>
  <c r="J311" i="2"/>
  <c r="K311" i="2" s="1"/>
  <c r="K310" i="2"/>
  <c r="J310" i="2"/>
  <c r="K309" i="2"/>
  <c r="J309" i="2"/>
  <c r="J308" i="2"/>
  <c r="K308" i="2" s="1"/>
  <c r="K307" i="2"/>
  <c r="J307" i="2"/>
  <c r="K306" i="2"/>
  <c r="J306" i="2"/>
  <c r="J302" i="2"/>
  <c r="K302" i="2" s="1"/>
  <c r="K301" i="2"/>
  <c r="J301" i="2"/>
  <c r="K300" i="2"/>
  <c r="J300" i="2"/>
  <c r="J299" i="2"/>
  <c r="K299" i="2" s="1"/>
  <c r="K298" i="2"/>
  <c r="J298" i="2"/>
  <c r="J297" i="2"/>
  <c r="K297" i="2" s="1"/>
  <c r="J296" i="2"/>
  <c r="K296" i="2" s="1"/>
  <c r="K295" i="2"/>
  <c r="J295" i="2"/>
  <c r="K294" i="2"/>
  <c r="J294" i="2"/>
  <c r="J293" i="2"/>
  <c r="K293" i="2" s="1"/>
  <c r="K292" i="2"/>
  <c r="J292" i="2"/>
  <c r="K291" i="2"/>
  <c r="J291" i="2"/>
  <c r="K290" i="2"/>
  <c r="J290" i="2"/>
  <c r="K289" i="2"/>
  <c r="J289" i="2"/>
  <c r="K288" i="2"/>
  <c r="J288" i="2"/>
  <c r="J287" i="2"/>
  <c r="K287" i="2" s="1"/>
  <c r="K283" i="2"/>
  <c r="J283" i="2"/>
  <c r="J282" i="2"/>
  <c r="K282" i="2" s="1"/>
  <c r="J281" i="2"/>
  <c r="K281" i="2" s="1"/>
  <c r="K280" i="2"/>
  <c r="J280" i="2"/>
  <c r="K279" i="2"/>
  <c r="J279" i="2"/>
  <c r="J278" i="2"/>
  <c r="K278" i="2" s="1"/>
  <c r="K271" i="2"/>
  <c r="J271" i="2"/>
  <c r="K270" i="2"/>
  <c r="J270" i="2"/>
  <c r="K269" i="2"/>
  <c r="J269" i="2"/>
  <c r="K268" i="2"/>
  <c r="J268" i="2"/>
  <c r="K267" i="2"/>
  <c r="J267" i="2"/>
  <c r="J266" i="2"/>
  <c r="K266" i="2" s="1"/>
  <c r="J265" i="2"/>
  <c r="K265" i="2" s="1"/>
  <c r="J264" i="2"/>
  <c r="K264" i="2" s="1"/>
  <c r="J263" i="2"/>
  <c r="K263" i="2" s="1"/>
  <c r="K262" i="2"/>
  <c r="J262" i="2"/>
  <c r="K261" i="2"/>
  <c r="J261" i="2"/>
  <c r="J260" i="2"/>
  <c r="K260" i="2" s="1"/>
  <c r="J259" i="2"/>
  <c r="K259" i="2" s="1"/>
  <c r="K258" i="2"/>
  <c r="J258" i="2"/>
  <c r="K257" i="2"/>
  <c r="J257" i="2"/>
  <c r="K256" i="2"/>
  <c r="J256" i="2"/>
  <c r="K255" i="2"/>
  <c r="J255" i="2"/>
  <c r="J254" i="2"/>
  <c r="K254" i="2" s="1"/>
  <c r="J253" i="2"/>
  <c r="K253" i="2" s="1"/>
  <c r="J252" i="2"/>
  <c r="K252" i="2" s="1"/>
  <c r="J251" i="2"/>
  <c r="K251" i="2" s="1"/>
  <c r="K250" i="2"/>
  <c r="J250" i="2"/>
  <c r="K249" i="2"/>
  <c r="J249" i="2"/>
  <c r="J248" i="2"/>
  <c r="K248" i="2" s="1"/>
  <c r="J247" i="2"/>
  <c r="K247" i="2" s="1"/>
  <c r="J246" i="2"/>
  <c r="K246" i="2" s="1"/>
  <c r="K245" i="2"/>
  <c r="J245" i="2"/>
  <c r="K244" i="2"/>
  <c r="J244" i="2"/>
  <c r="K243" i="2"/>
  <c r="J243" i="2"/>
  <c r="J242" i="2"/>
  <c r="K242" i="2" s="1"/>
  <c r="J241" i="2"/>
  <c r="K241" i="2" s="1"/>
  <c r="J240" i="2"/>
  <c r="K240" i="2" s="1"/>
  <c r="J239" i="2"/>
  <c r="K239" i="2" s="1"/>
  <c r="K238" i="2"/>
  <c r="J238" i="2"/>
  <c r="K231" i="2"/>
  <c r="J231" i="2"/>
  <c r="J230" i="2"/>
  <c r="K230" i="2" s="1"/>
  <c r="K229" i="2"/>
  <c r="J229" i="2"/>
  <c r="J228" i="2"/>
  <c r="K228" i="2" s="1"/>
  <c r="J227" i="2"/>
  <c r="K227" i="2" s="1"/>
  <c r="K223" i="2"/>
  <c r="J223" i="2"/>
  <c r="K222" i="2"/>
  <c r="J222" i="2"/>
  <c r="J221" i="2"/>
  <c r="K221" i="2" s="1"/>
  <c r="J220" i="2"/>
  <c r="K220" i="2" s="1"/>
  <c r="J219" i="2"/>
  <c r="K219" i="2" s="1"/>
  <c r="J210" i="2"/>
  <c r="K210" i="2" s="1"/>
  <c r="K209" i="2"/>
  <c r="J209" i="2"/>
  <c r="K208" i="2"/>
  <c r="J208" i="2"/>
  <c r="J207" i="2"/>
  <c r="K207" i="2" s="1"/>
  <c r="K206" i="2"/>
  <c r="J206" i="2"/>
  <c r="K205" i="2"/>
  <c r="J205" i="2"/>
  <c r="J204" i="2"/>
  <c r="K204" i="2" s="1"/>
  <c r="K203" i="2"/>
  <c r="J203" i="2"/>
  <c r="K202" i="2"/>
  <c r="J202" i="2"/>
  <c r="J201" i="2"/>
  <c r="K201" i="2" s="1"/>
  <c r="J200" i="2"/>
  <c r="K200" i="2" s="1"/>
  <c r="J199" i="2"/>
  <c r="K199" i="2" s="1"/>
  <c r="J198" i="2"/>
  <c r="K198" i="2" s="1"/>
  <c r="K197" i="2"/>
  <c r="J197" i="2"/>
  <c r="K196" i="2"/>
  <c r="J196" i="2"/>
  <c r="J195" i="2"/>
  <c r="K195" i="2" s="1"/>
  <c r="K194" i="2"/>
  <c r="J194" i="2"/>
  <c r="K193" i="2"/>
  <c r="J193" i="2"/>
  <c r="K192" i="2"/>
  <c r="J192" i="2"/>
  <c r="K191" i="2"/>
  <c r="J191" i="2"/>
  <c r="K190" i="2"/>
  <c r="J190" i="2"/>
  <c r="J189" i="2"/>
  <c r="K189" i="2" s="1"/>
  <c r="J188" i="2"/>
  <c r="K188" i="2" s="1"/>
  <c r="J187" i="2"/>
  <c r="K187" i="2" s="1"/>
  <c r="J186" i="2"/>
  <c r="K186" i="2" s="1"/>
  <c r="K185" i="2"/>
  <c r="J185" i="2"/>
  <c r="K177" i="2"/>
  <c r="J177" i="2"/>
  <c r="J176" i="2"/>
  <c r="K176" i="2" s="1"/>
  <c r="K175" i="2"/>
  <c r="J175" i="2"/>
  <c r="K174" i="2"/>
  <c r="J174" i="2"/>
  <c r="K173" i="2"/>
  <c r="J173" i="2"/>
  <c r="K172" i="2"/>
  <c r="J172" i="2"/>
  <c r="J171" i="2"/>
  <c r="K171" i="2" s="1"/>
  <c r="J170" i="2"/>
  <c r="K170" i="2" s="1"/>
  <c r="J169" i="2"/>
  <c r="K169" i="2" s="1"/>
  <c r="K168" i="2"/>
  <c r="J168" i="2"/>
  <c r="K167" i="2"/>
  <c r="J167" i="2"/>
  <c r="K166" i="2"/>
  <c r="J166" i="2"/>
  <c r="J165" i="2"/>
  <c r="K165" i="2" s="1"/>
  <c r="J164" i="2"/>
  <c r="K164" i="2" s="1"/>
  <c r="J163" i="2"/>
  <c r="K163" i="2" s="1"/>
  <c r="J162" i="2"/>
  <c r="K162" i="2" s="1"/>
  <c r="K161" i="2"/>
  <c r="J161" i="2"/>
  <c r="K160" i="2"/>
  <c r="J160" i="2"/>
  <c r="J159" i="2"/>
  <c r="K159" i="2" s="1"/>
  <c r="J158" i="2"/>
  <c r="K158" i="2" s="1"/>
  <c r="K157" i="2"/>
  <c r="J157" i="2"/>
  <c r="J156" i="2"/>
  <c r="K156" i="2" s="1"/>
  <c r="J155" i="2"/>
  <c r="K155" i="2" s="1"/>
  <c r="K154" i="2"/>
  <c r="J154" i="2"/>
  <c r="J153" i="2"/>
  <c r="K153" i="2" s="1"/>
  <c r="J152" i="2"/>
  <c r="K152" i="2" s="1"/>
  <c r="K151" i="2"/>
  <c r="J151" i="2"/>
  <c r="K150" i="2"/>
  <c r="J150" i="2"/>
  <c r="J149" i="2"/>
  <c r="K149" i="2" s="1"/>
  <c r="K148" i="2"/>
  <c r="J148" i="2"/>
  <c r="J147" i="2"/>
  <c r="K147" i="2" s="1"/>
  <c r="J146" i="2"/>
  <c r="K146" i="2" s="1"/>
  <c r="K145" i="2"/>
  <c r="J145" i="2"/>
  <c r="K144" i="2"/>
  <c r="J144" i="2"/>
  <c r="K136" i="2"/>
  <c r="J136" i="2"/>
  <c r="K135" i="2"/>
  <c r="J135" i="2"/>
  <c r="J134" i="2"/>
  <c r="K134" i="2" s="1"/>
  <c r="J133" i="2"/>
  <c r="K133" i="2" s="1"/>
  <c r="K132" i="2"/>
  <c r="J132" i="2"/>
  <c r="K131" i="2"/>
  <c r="J131" i="2"/>
  <c r="K130" i="2"/>
  <c r="J130" i="2"/>
  <c r="K129" i="2"/>
  <c r="J129" i="2"/>
  <c r="J128" i="2"/>
  <c r="K128" i="2" s="1"/>
  <c r="J127" i="2"/>
  <c r="K127" i="2" s="1"/>
  <c r="J126" i="2"/>
  <c r="K126" i="2" s="1"/>
  <c r="K125" i="2"/>
  <c r="J125" i="2"/>
  <c r="K124" i="2"/>
  <c r="J124" i="2"/>
  <c r="K123" i="2"/>
  <c r="J123" i="2"/>
  <c r="J122" i="2"/>
  <c r="K122" i="2" s="1"/>
  <c r="J121" i="2"/>
  <c r="K121" i="2" s="1"/>
  <c r="J120" i="2"/>
  <c r="K120" i="2" s="1"/>
  <c r="J119" i="2"/>
  <c r="K119" i="2" s="1"/>
  <c r="K118" i="2"/>
  <c r="J118" i="2"/>
  <c r="K117" i="2"/>
  <c r="J117" i="2"/>
  <c r="J116" i="2"/>
  <c r="K116" i="2" s="1"/>
  <c r="J115" i="2"/>
  <c r="K115" i="2" s="1"/>
  <c r="K114" i="2"/>
  <c r="J114" i="2"/>
  <c r="J113" i="2"/>
  <c r="K113" i="2" s="1"/>
  <c r="J112" i="2"/>
  <c r="K112" i="2" s="1"/>
  <c r="K111" i="2"/>
  <c r="J111" i="2"/>
  <c r="J110" i="2"/>
  <c r="K110" i="2" s="1"/>
  <c r="J109" i="2"/>
  <c r="K109" i="2" s="1"/>
  <c r="K108" i="2"/>
  <c r="J108" i="2"/>
  <c r="K107" i="2"/>
  <c r="J107" i="2"/>
  <c r="J106" i="2"/>
  <c r="K106" i="2" s="1"/>
  <c r="K105" i="2"/>
  <c r="J105" i="2"/>
  <c r="J104" i="2"/>
  <c r="K104" i="2" s="1"/>
  <c r="J103" i="2"/>
  <c r="K103" i="2" s="1"/>
  <c r="K102" i="2"/>
  <c r="J102" i="2"/>
  <c r="K101" i="2"/>
  <c r="J101" i="2"/>
  <c r="K100" i="2"/>
  <c r="J100" i="2"/>
  <c r="K99" i="2"/>
  <c r="J99" i="2"/>
  <c r="J98" i="2"/>
  <c r="K98" i="2" s="1"/>
  <c r="J97" i="2"/>
  <c r="K97" i="2" s="1"/>
  <c r="J96" i="2"/>
  <c r="K96" i="2" s="1"/>
  <c r="J95" i="2"/>
  <c r="K95" i="2" s="1"/>
  <c r="J94" i="2"/>
  <c r="K94" i="2" s="1"/>
  <c r="K88" i="2"/>
  <c r="J88" i="2"/>
  <c r="J87" i="2"/>
  <c r="K87" i="2" s="1"/>
  <c r="J86" i="2"/>
  <c r="K86" i="2" s="1"/>
  <c r="K85" i="2"/>
  <c r="J85" i="2"/>
  <c r="K84" i="2"/>
  <c r="J84" i="2"/>
  <c r="K83" i="2"/>
  <c r="J83" i="2"/>
  <c r="K82" i="2"/>
  <c r="J82" i="2"/>
  <c r="J81" i="2"/>
  <c r="K81" i="2" s="1"/>
  <c r="J79" i="2"/>
  <c r="K79" i="2" s="1"/>
  <c r="J78" i="2"/>
  <c r="K78" i="2" s="1"/>
  <c r="J75" i="2"/>
  <c r="K75" i="2" s="1"/>
  <c r="J74" i="2"/>
  <c r="K74" i="2" s="1"/>
  <c r="K73" i="2"/>
  <c r="J73" i="2"/>
  <c r="J72" i="2"/>
  <c r="K72" i="2" s="1"/>
  <c r="J71" i="2"/>
  <c r="K71" i="2" s="1"/>
  <c r="J70" i="2"/>
  <c r="K70" i="2" s="1"/>
  <c r="K69" i="2"/>
  <c r="J69" i="2"/>
  <c r="K68" i="2"/>
  <c r="J68" i="2"/>
  <c r="K67" i="2"/>
  <c r="J67" i="2"/>
  <c r="J66" i="2"/>
  <c r="K66" i="2" s="1"/>
  <c r="J65" i="2"/>
  <c r="K65" i="2" s="1"/>
  <c r="J64" i="2"/>
  <c r="K64" i="2" s="1"/>
  <c r="J63" i="2"/>
  <c r="K63" i="2" s="1"/>
  <c r="J62" i="2"/>
  <c r="K62" i="2" s="1"/>
  <c r="K58" i="2"/>
  <c r="J58" i="2"/>
  <c r="J57" i="2"/>
  <c r="K57" i="2" s="1"/>
  <c r="K56" i="2"/>
  <c r="J56" i="2"/>
  <c r="J51" i="2"/>
  <c r="K51" i="2" s="1"/>
  <c r="J50" i="2"/>
  <c r="K50" i="2" s="1"/>
  <c r="K49" i="2"/>
  <c r="J49" i="2"/>
  <c r="K48" i="2"/>
  <c r="J48" i="2"/>
  <c r="J47" i="2"/>
  <c r="K47" i="2" s="1"/>
  <c r="J46" i="2"/>
  <c r="K46" i="2" s="1"/>
  <c r="J45" i="2"/>
  <c r="K45" i="2" s="1"/>
  <c r="J44" i="2"/>
  <c r="K44" i="2" s="1"/>
  <c r="J43" i="2"/>
  <c r="K43" i="2" s="1"/>
  <c r="K42" i="2"/>
  <c r="J42" i="2"/>
  <c r="J41" i="2"/>
  <c r="K41" i="2" s="1"/>
  <c r="K40" i="2"/>
  <c r="J40" i="2"/>
  <c r="K39" i="2"/>
  <c r="J39" i="2"/>
  <c r="J38" i="2"/>
  <c r="K38" i="2" s="1"/>
  <c r="J37" i="2"/>
  <c r="K37" i="2" s="1"/>
  <c r="K36" i="2"/>
  <c r="J36" i="2"/>
  <c r="J35" i="2"/>
  <c r="K35" i="2" s="1"/>
  <c r="J34" i="2"/>
  <c r="K34" i="2" s="1"/>
  <c r="J30" i="2"/>
  <c r="K30" i="2" s="1"/>
  <c r="K29" i="2"/>
  <c r="J29" i="2"/>
  <c r="J28" i="2"/>
  <c r="K28" i="2" s="1"/>
  <c r="K27" i="2"/>
  <c r="J27" i="2"/>
  <c r="J26" i="2"/>
  <c r="K26" i="2" s="1"/>
  <c r="K25" i="2"/>
  <c r="J25" i="2"/>
  <c r="K20" i="2"/>
  <c r="J20" i="2"/>
  <c r="K19" i="2"/>
  <c r="J19" i="2"/>
  <c r="J18" i="2"/>
  <c r="K18" i="2" s="1"/>
  <c r="K17" i="2"/>
  <c r="J17" i="2"/>
  <c r="J16" i="2"/>
  <c r="K16" i="2" s="1"/>
  <c r="J15" i="2"/>
  <c r="K15" i="2" s="1"/>
  <c r="J14" i="2"/>
  <c r="K14" i="2" s="1"/>
  <c r="J13" i="2"/>
  <c r="K13" i="2" s="1"/>
  <c r="J12" i="2"/>
  <c r="K12" i="2" s="1"/>
  <c r="K11" i="2"/>
  <c r="J11" i="2"/>
  <c r="K2" i="12" l="1"/>
  <c r="B13" i="1" s="1"/>
  <c r="K2" i="4"/>
  <c r="B8" i="1" s="1"/>
  <c r="K2" i="9"/>
  <c r="B11" i="1" s="1"/>
  <c r="K2" i="10"/>
  <c r="B14" i="1" s="1"/>
  <c r="K2" i="5"/>
  <c r="B6" i="1" s="1"/>
  <c r="K2" i="3"/>
  <c r="B5" i="1" s="1"/>
  <c r="K2" i="11"/>
  <c r="C12" i="1" s="1"/>
  <c r="J2" i="13"/>
  <c r="B15" i="1" s="1"/>
  <c r="J2" i="6"/>
  <c r="B7" i="1" s="1"/>
  <c r="K2" i="2"/>
  <c r="B4" i="1" s="1"/>
  <c r="B2" i="1" s="1"/>
  <c r="K2" i="8"/>
  <c r="B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tc={d3652d6e-0714-4422-9a80-fe5a1952ed8b}</author>
    <author>tc={c5c049fb-947c-462a-84f1-0eebdf8203e9}</author>
    <author>tc={8789a5cf-15d4-41e7-afec-9fc669749c49}</author>
    <author>tc={8d7833fd-e90a-45ad-ab9e-fd2c5eadda61}</author>
    <author>tc={f38566a7-48f6-4c49-828b-fbafb9cd6928}</author>
  </authors>
  <commentList>
    <comment ref="H64" authorId="0" shapeId="0" xr:uid="{D3652D6E-0714-4422-9A80-FE5A1952ED8B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3 in corner
Reply:
    2 in corner</t>
      </text>
    </comment>
    <comment ref="H67" authorId="1" shapeId="0" xr:uid="{C5C049FB-947C-462A-84F1-0EEBDF8203E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 in corner</t>
      </text>
    </comment>
    <comment ref="H69" authorId="2" shapeId="0" xr:uid="{8789A5CF-15D4-41E7-AFEC-9FC669749C4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 in corner</t>
      </text>
    </comment>
    <comment ref="H72" authorId="3" shapeId="0" xr:uid="{8D7833FD-E90A-45AD-AB9E-FD2C5EADDA6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2 in corner
Reply:
    1 now
Reply:
    1 now</t>
      </text>
    </comment>
    <comment ref="H204" authorId="4" shapeId="0" xr:uid="{F38566A7-48F6-4C49-828B-FBAFB9CD6928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corner assorted</t>
      </text>
    </comment>
  </commentList>
</comments>
</file>

<file path=xl/sharedStrings.xml><?xml version="1.0" encoding="utf-8"?>
<sst xmlns="http://schemas.openxmlformats.org/spreadsheetml/2006/main" count="2144" uniqueCount="881">
  <si>
    <t>Total</t>
  </si>
  <si>
    <t>Spirits</t>
  </si>
  <si>
    <t>Wine &amp; Cava</t>
  </si>
  <si>
    <t>Plastics</t>
  </si>
  <si>
    <t>Miniatures</t>
  </si>
  <si>
    <t>Small Spirit</t>
  </si>
  <si>
    <t>Beers</t>
  </si>
  <si>
    <t>Ciders</t>
  </si>
  <si>
    <t>Alco-pop</t>
  </si>
  <si>
    <t>Frozen Food</t>
  </si>
  <si>
    <t>Dried Food</t>
  </si>
  <si>
    <t>Soft Drinks</t>
  </si>
  <si>
    <t>Sweets</t>
  </si>
  <si>
    <t>Cap. (ml)</t>
  </si>
  <si>
    <t>Item</t>
  </si>
  <si>
    <t>Buy 2025</t>
  </si>
  <si>
    <t>Bar Price</t>
  </si>
  <si>
    <t>Shop Price</t>
  </si>
  <si>
    <t>Supplier</t>
  </si>
  <si>
    <t>Downstairs/Out back</t>
  </si>
  <si>
    <t>Shelves</t>
  </si>
  <si>
    <t>Storage Upstairs</t>
  </si>
  <si>
    <t>Quantity</t>
  </si>
  <si>
    <t>Value</t>
  </si>
  <si>
    <t>Absinthes</t>
  </si>
  <si>
    <t>Anis/Hierbas</t>
  </si>
  <si>
    <t>Anis del Mono Dulce</t>
  </si>
  <si>
    <t>Tunel</t>
  </si>
  <si>
    <t>Anis del Mono Secas</t>
  </si>
  <si>
    <t>Anis Jordi Perello Tres Caires</t>
  </si>
  <si>
    <t>1L</t>
  </si>
  <si>
    <t>Hierbas Dulce Tunel</t>
  </si>
  <si>
    <t>Hierbas Mix Tunel</t>
  </si>
  <si>
    <t>Hierbas Secas Tunel</t>
  </si>
  <si>
    <t>Licor Hierbas Pazo</t>
  </si>
  <si>
    <t>Palo Tunel</t>
  </si>
  <si>
    <t>Pernod</t>
  </si>
  <si>
    <t>Ricard</t>
  </si>
  <si>
    <t>Aperitifs</t>
  </si>
  <si>
    <t>Campari</t>
  </si>
  <si>
    <t>Martini Asti</t>
  </si>
  <si>
    <t>Martini Bianco</t>
  </si>
  <si>
    <t>Martini Dry</t>
  </si>
  <si>
    <t>Martini Rosso</t>
  </si>
  <si>
    <t>Yzaguirre  Blanco</t>
  </si>
  <si>
    <t>Brandys</t>
  </si>
  <si>
    <t>Asbach</t>
  </si>
  <si>
    <t>Cardinal Mendoza</t>
  </si>
  <si>
    <t>Carlos I</t>
  </si>
  <si>
    <t>Alcodis</t>
  </si>
  <si>
    <t>Carlos III</t>
  </si>
  <si>
    <t>Grand Duque De alba</t>
  </si>
  <si>
    <t>Lepanto</t>
  </si>
  <si>
    <t>Magno</t>
  </si>
  <si>
    <t>Metaxa 5</t>
  </si>
  <si>
    <t>Metaxa 7</t>
  </si>
  <si>
    <t>Ponche Caballero</t>
  </si>
  <si>
    <t>Soberano</t>
  </si>
  <si>
    <t xml:space="preserve">Terrys </t>
  </si>
  <si>
    <t>Tio Pedro</t>
  </si>
  <si>
    <t>Torres 10</t>
  </si>
  <si>
    <t>Torres 5</t>
  </si>
  <si>
    <t>Veterano</t>
  </si>
  <si>
    <t xml:space="preserve"> </t>
  </si>
  <si>
    <t>Cognacs</t>
  </si>
  <si>
    <t xml:space="preserve">1L </t>
  </si>
  <si>
    <t>Courvoisier VS</t>
  </si>
  <si>
    <t>Hennessy</t>
  </si>
  <si>
    <t>Martell VS</t>
  </si>
  <si>
    <t>Caiman/Schnapps Sin Alcohol</t>
  </si>
  <si>
    <t>Banana Caiman</t>
  </si>
  <si>
    <t>Blackcurrant Caiman</t>
  </si>
  <si>
    <t>Blue Curacao Caiman</t>
  </si>
  <si>
    <t>Coco Caiman</t>
  </si>
  <si>
    <t>Frambuesa Caiman</t>
  </si>
  <si>
    <t>Green Apple Caiman</t>
  </si>
  <si>
    <t>Grenadina Caiman</t>
  </si>
  <si>
    <t>Kiwi Caiman</t>
  </si>
  <si>
    <t>Lime Caiman</t>
  </si>
  <si>
    <t>Maracuya Caiman</t>
  </si>
  <si>
    <t>Peach Caiman</t>
  </si>
  <si>
    <t>Strawberry Caiman</t>
  </si>
  <si>
    <t>Tropical Blue Caiman</t>
  </si>
  <si>
    <t>Mango Caiman</t>
  </si>
  <si>
    <t>700ml</t>
  </si>
  <si>
    <t>Puree Bora Bora Fresa plastic</t>
  </si>
  <si>
    <t>Puree Bora Bora Mango plastic</t>
  </si>
  <si>
    <t>Bora Bora Coconut Milk</t>
  </si>
  <si>
    <t>Bora Bora Flor De Sauco</t>
  </si>
  <si>
    <t>Bora Bora Goma</t>
  </si>
  <si>
    <t>Bora Bora Fresa Sirop</t>
  </si>
  <si>
    <t>Bora Bora Passion Fruit</t>
  </si>
  <si>
    <t xml:space="preserve">Bora Bora Coconut   </t>
  </si>
  <si>
    <t>Bora Bora Mojito Mint Sirop</t>
  </si>
  <si>
    <t>Bora Bora Vanilla</t>
  </si>
  <si>
    <t>Gins</t>
  </si>
  <si>
    <t xml:space="preserve">Beefeater </t>
  </si>
  <si>
    <t>Beefeater Rose</t>
  </si>
  <si>
    <t>Boe Violet</t>
  </si>
  <si>
    <t>Bombay Original Dry</t>
  </si>
  <si>
    <t>Bombay Sapphire</t>
  </si>
  <si>
    <t>Buldog Litre</t>
  </si>
  <si>
    <t>Brockmans</t>
  </si>
  <si>
    <t>The Botanist</t>
  </si>
  <si>
    <t>Gin Eva</t>
  </si>
  <si>
    <t>Gordons</t>
  </si>
  <si>
    <t>Gordons No-Alc</t>
  </si>
  <si>
    <t>Gordons Pink</t>
  </si>
  <si>
    <t>HG</t>
  </si>
  <si>
    <t>Gordons Sicillian Lemon</t>
  </si>
  <si>
    <t>Hendricks</t>
  </si>
  <si>
    <t>Larios</t>
  </si>
  <si>
    <t>Larios 12 yr</t>
  </si>
  <si>
    <t xml:space="preserve">Larios Rose </t>
  </si>
  <si>
    <t>London No.1</t>
  </si>
  <si>
    <t>Mare</t>
  </si>
  <si>
    <t>Monkey</t>
  </si>
  <si>
    <t>Nordes</t>
  </si>
  <si>
    <t>Palmbridge 37.5%</t>
  </si>
  <si>
    <t>Palmbrdge Pink</t>
  </si>
  <si>
    <t>Puerto de indias Strawberry</t>
  </si>
  <si>
    <t>Seagrams</t>
  </si>
  <si>
    <t>Sharish</t>
  </si>
  <si>
    <t>Suau</t>
  </si>
  <si>
    <t>Tanqueray</t>
  </si>
  <si>
    <t>Tanqueray 10</t>
  </si>
  <si>
    <t>Tanqueray Zero</t>
  </si>
  <si>
    <t>Tanqueray seville</t>
  </si>
  <si>
    <t>Tanqueray Royale</t>
  </si>
  <si>
    <t>Tanqueray Rangpur</t>
  </si>
  <si>
    <t>Xoriguer Mahon Gin</t>
  </si>
  <si>
    <t xml:space="preserve">Whitley Neill Rhubarb &amp; Ginger </t>
  </si>
  <si>
    <t>Whitley Neill Blood Orange</t>
  </si>
  <si>
    <t>Whitley Neill Raspberry</t>
  </si>
  <si>
    <t>Whitley Neill Parma Violet</t>
  </si>
  <si>
    <t xml:space="preserve">Licors Imported </t>
  </si>
  <si>
    <t>Advocaat Verpooten</t>
  </si>
  <si>
    <t xml:space="preserve">Amaretto Disaronno </t>
  </si>
  <si>
    <t>Amarula</t>
  </si>
  <si>
    <t>Aperol</t>
  </si>
  <si>
    <t>Aquavit Aalborg Jubilemus</t>
  </si>
  <si>
    <t>Averna</t>
  </si>
  <si>
    <t>Baileys</t>
  </si>
  <si>
    <t>Chambord</t>
  </si>
  <si>
    <t>Cointreau</t>
  </si>
  <si>
    <t>Cointreau Litre</t>
  </si>
  <si>
    <t>Crème de Cassis Dijon</t>
  </si>
  <si>
    <t>Dooleys Toffee</t>
  </si>
  <si>
    <t>Drambuie</t>
  </si>
  <si>
    <t>Drambuie Litre</t>
  </si>
  <si>
    <t>Fernet Branca</t>
  </si>
  <si>
    <t>Galliano</t>
  </si>
  <si>
    <t>Grappa Barbero</t>
  </si>
  <si>
    <t>Jagermeister Valvula</t>
  </si>
  <si>
    <t>Jagermeister</t>
  </si>
  <si>
    <t>13.95</t>
  </si>
  <si>
    <t xml:space="preserve">Khalua </t>
  </si>
  <si>
    <t>Malibu</t>
  </si>
  <si>
    <t>Midori Litre</t>
  </si>
  <si>
    <t>Ouzo 12</t>
  </si>
  <si>
    <t>Passoa</t>
  </si>
  <si>
    <t>Pimms</t>
  </si>
  <si>
    <t>Ramazotti</t>
  </si>
  <si>
    <t>Sourz All</t>
  </si>
  <si>
    <t>11,50</t>
  </si>
  <si>
    <t>Tia Maria</t>
  </si>
  <si>
    <t>Licors National</t>
  </si>
  <si>
    <t>After Blue</t>
  </si>
  <si>
    <t>Don Mallorca</t>
  </si>
  <si>
    <t>After Red</t>
  </si>
  <si>
    <t>Amaretto Ferrone Litre</t>
  </si>
  <si>
    <t>Apple Sourz caiman</t>
  </si>
  <si>
    <t>Apple Sourz Vega</t>
  </si>
  <si>
    <t>Banana Liquer</t>
  </si>
  <si>
    <t>Batida de Coco</t>
  </si>
  <si>
    <t>Blue Curacao Ban</t>
  </si>
  <si>
    <t>Bora Bora Cacao</t>
  </si>
  <si>
    <t>Coconut Liquer</t>
  </si>
  <si>
    <t>Cherry Brandy Ban</t>
  </si>
  <si>
    <t>Der Meister</t>
  </si>
  <si>
    <t xml:space="preserve">Giulioncello </t>
  </si>
  <si>
    <t>Irish Knights</t>
  </si>
  <si>
    <t>Licor 1898</t>
  </si>
  <si>
    <t>Licor 43</t>
  </si>
  <si>
    <t>Limoncello Ferrone</t>
  </si>
  <si>
    <t>Licor Menta</t>
  </si>
  <si>
    <t>Nadaluxe</t>
  </si>
  <si>
    <t>Pacharan Zoco</t>
  </si>
  <si>
    <t>Passion Caiman</t>
  </si>
  <si>
    <t>Sambuca Itaca</t>
  </si>
  <si>
    <t>Sambuca Black</t>
  </si>
  <si>
    <t>Strawberry Sourz Vega</t>
  </si>
  <si>
    <t>Triple Sec  Caiman</t>
  </si>
  <si>
    <t>Tia Nadal Litre</t>
  </si>
  <si>
    <t>Ports/Sherrys</t>
  </si>
  <si>
    <t>Porto Messias Ruby</t>
  </si>
  <si>
    <t>Porto Messias Tawny</t>
  </si>
  <si>
    <t>Croft Orginla Dry</t>
  </si>
  <si>
    <t>Harveys Bristol Cream</t>
  </si>
  <si>
    <t>Ready Made Cocktails</t>
  </si>
  <si>
    <t>Zibao Mojito</t>
  </si>
  <si>
    <t>Zibao Sex on the Beach</t>
  </si>
  <si>
    <t>Zibao Tequila Sunrise</t>
  </si>
  <si>
    <t>Zibao Strawberry Daiquiri</t>
  </si>
  <si>
    <t>Zibao Pina Colada</t>
  </si>
  <si>
    <t>Rums</t>
  </si>
  <si>
    <t>Amazona</t>
  </si>
  <si>
    <t>Bacardi Black</t>
  </si>
  <si>
    <t>Bacardi Carta Fuego</t>
  </si>
  <si>
    <t>Bacardi Gold</t>
  </si>
  <si>
    <t>Bacardi Lemon</t>
  </si>
  <si>
    <t>Bacardi Razz</t>
  </si>
  <si>
    <t xml:space="preserve">Bacardi </t>
  </si>
  <si>
    <t>Barcelo</t>
  </si>
  <si>
    <t xml:space="preserve">Brugal </t>
  </si>
  <si>
    <t>Bumbu</t>
  </si>
  <si>
    <t>Cacique</t>
  </si>
  <si>
    <t>Cachaza</t>
  </si>
  <si>
    <t>Captain Morgan Black Spiced</t>
  </si>
  <si>
    <t>Captain Morgan Dark</t>
  </si>
  <si>
    <t>Captain Morgan Spiced</t>
  </si>
  <si>
    <t>Captain Morgan Spiced sin alcohol</t>
  </si>
  <si>
    <t>Captain Morgan White</t>
  </si>
  <si>
    <t>Havana Club 3</t>
  </si>
  <si>
    <t>Havana Club 5</t>
  </si>
  <si>
    <t>Havana Club 7</t>
  </si>
  <si>
    <t>Huk Black</t>
  </si>
  <si>
    <t>Huk Spiced</t>
  </si>
  <si>
    <t>Kraken</t>
  </si>
  <si>
    <t>Legendario</t>
  </si>
  <si>
    <t>Matusalem 15 yr old</t>
  </si>
  <si>
    <t>Mount Gay</t>
  </si>
  <si>
    <t>Pampero</t>
  </si>
  <si>
    <t>Sailor Jerry</t>
  </si>
  <si>
    <t>Stroh</t>
  </si>
  <si>
    <t>Tobacco Honey</t>
  </si>
  <si>
    <t>Tobacco 37.5%</t>
  </si>
  <si>
    <t>Tobacco 30%</t>
  </si>
  <si>
    <t>Trinidad</t>
  </si>
  <si>
    <t>Schnapps</t>
  </si>
  <si>
    <t>Peach Tunel</t>
  </si>
  <si>
    <t>Apple Tunel</t>
  </si>
  <si>
    <t>Melon Vealt</t>
  </si>
  <si>
    <t>Kiwi Tunel</t>
  </si>
  <si>
    <t>Strawberry Tunel</t>
  </si>
  <si>
    <t>Strawberry Vealt</t>
  </si>
  <si>
    <t>Tequilas</t>
  </si>
  <si>
    <t>Aguascalientes</t>
  </si>
  <si>
    <t>Aguascalientes Coffee</t>
  </si>
  <si>
    <t>Aguascalientes Mango</t>
  </si>
  <si>
    <t>Aguascalientes Strawberry</t>
  </si>
  <si>
    <t>Cazcabel Coffe</t>
  </si>
  <si>
    <t>Don Julio Reposado</t>
  </si>
  <si>
    <t>Don Julio Blanco</t>
  </si>
  <si>
    <t>Don Julio 1942</t>
  </si>
  <si>
    <t xml:space="preserve">Jose cuervo Gold </t>
  </si>
  <si>
    <t>Jose Cuervo Gold 700</t>
  </si>
  <si>
    <t>Jose Cuervo Silver Litre</t>
  </si>
  <si>
    <t>Jose Cuervo Silver 700</t>
  </si>
  <si>
    <t>Mexicali Fresa</t>
  </si>
  <si>
    <t>Tequila rose</t>
  </si>
  <si>
    <t>Tequila rose litre</t>
  </si>
  <si>
    <t>Vodka</t>
  </si>
  <si>
    <t>Absolut Blue</t>
  </si>
  <si>
    <t>Absolut Mango</t>
  </si>
  <si>
    <t>Absolut Wildberries</t>
  </si>
  <si>
    <t>Absolut Raspberry</t>
  </si>
  <si>
    <t>Absolut Peach</t>
  </si>
  <si>
    <t>Abslout Peppar</t>
  </si>
  <si>
    <t>Absolut Passion Fruit</t>
  </si>
  <si>
    <t>Absolut Vanilla</t>
  </si>
  <si>
    <t>AU Raspberry</t>
  </si>
  <si>
    <t>AU Watermelon</t>
  </si>
  <si>
    <t>AU Bubblegum</t>
  </si>
  <si>
    <t>Belvedere</t>
  </si>
  <si>
    <t>Ciroc</t>
  </si>
  <si>
    <t>Ciroc Red Berry</t>
  </si>
  <si>
    <t>Ciroc Pineapple</t>
  </si>
  <si>
    <t>Ciroc Peach</t>
  </si>
  <si>
    <t>Crystal Head</t>
  </si>
  <si>
    <t>Finlandia</t>
  </si>
  <si>
    <t>Grey Goose</t>
  </si>
  <si>
    <t>Grey Goose Citron</t>
  </si>
  <si>
    <t>Jerikoff</t>
  </si>
  <si>
    <t>Jerikoff 30%</t>
  </si>
  <si>
    <t>Ketel 1</t>
  </si>
  <si>
    <t>Moskovskaya</t>
  </si>
  <si>
    <t>Naga Chilli Vodka</t>
  </si>
  <si>
    <t>Rushkinoff</t>
  </si>
  <si>
    <t>Rushkinoff 30%</t>
  </si>
  <si>
    <t>Rushkinoff Caramel</t>
  </si>
  <si>
    <t>Rushkinoff Vanilla</t>
  </si>
  <si>
    <t>Rushkinoff Strawberry</t>
  </si>
  <si>
    <t>Rushkinoff Strawberry  &amp; Lime</t>
  </si>
  <si>
    <t>Rushkinoff Mix Fruit</t>
  </si>
  <si>
    <t>Russian Standard</t>
  </si>
  <si>
    <t>3L</t>
  </si>
  <si>
    <t>Smirnoff 3L</t>
  </si>
  <si>
    <t>Smirnoff Blue</t>
  </si>
  <si>
    <t>Smirnoff Mango Passionfruit</t>
  </si>
  <si>
    <t>Smirnoff Rosca</t>
  </si>
  <si>
    <t>Smirnoff Valve</t>
  </si>
  <si>
    <t>Stolichnaya</t>
  </si>
  <si>
    <t>Titos Handmade</t>
  </si>
  <si>
    <t>XUXU</t>
  </si>
  <si>
    <t>Zubrowka</t>
  </si>
  <si>
    <t>Whiskey American</t>
  </si>
  <si>
    <t xml:space="preserve">Canadian Club </t>
  </si>
  <si>
    <t>Canadian Club</t>
  </si>
  <si>
    <t>Four Roses</t>
  </si>
  <si>
    <t>Gentleman Jack</t>
  </si>
  <si>
    <t>Jack Daniels</t>
  </si>
  <si>
    <t>Jack Daniels Single Barrel</t>
  </si>
  <si>
    <t>Jack Daniels Fire</t>
  </si>
  <si>
    <t>Jack Daniels Honey</t>
  </si>
  <si>
    <t>Jack Daniels Apple</t>
  </si>
  <si>
    <t>Jim beam</t>
  </si>
  <si>
    <t>Jim Beam Honey</t>
  </si>
  <si>
    <t>Southern Comfort</t>
  </si>
  <si>
    <t>Whiskey Irish</t>
  </si>
  <si>
    <t>Black Bush</t>
  </si>
  <si>
    <t xml:space="preserve">Bushmills </t>
  </si>
  <si>
    <t>Jameson</t>
  </si>
  <si>
    <t>Paddy</t>
  </si>
  <si>
    <t>Tullamore Dew</t>
  </si>
  <si>
    <t>Whisky Scotch</t>
  </si>
  <si>
    <t>Ballantines</t>
  </si>
  <si>
    <t>Ballantines 700</t>
  </si>
  <si>
    <t>Bells</t>
  </si>
  <si>
    <t>Cardhu</t>
  </si>
  <si>
    <t>Chivas Regal</t>
  </si>
  <si>
    <t>Cutty Sark</t>
  </si>
  <si>
    <t>Famous Grouse</t>
  </si>
  <si>
    <t>Fireball</t>
  </si>
  <si>
    <t>Glenfiddich</t>
  </si>
  <si>
    <t>Glenmorangie</t>
  </si>
  <si>
    <t>Glenkinchie</t>
  </si>
  <si>
    <t>Goldenheart</t>
  </si>
  <si>
    <t>Grants</t>
  </si>
  <si>
    <t>Highlander</t>
  </si>
  <si>
    <t xml:space="preserve">J&amp;B </t>
  </si>
  <si>
    <t>J&amp;B 700</t>
  </si>
  <si>
    <t>Johnny Walker Black Label</t>
  </si>
  <si>
    <t>Johnny Walker Red LaBEL</t>
  </si>
  <si>
    <t>Johnny Walker Blue Label</t>
  </si>
  <si>
    <t>Macallan 12 yo</t>
  </si>
  <si>
    <t>Talisker</t>
  </si>
  <si>
    <t>Teachers</t>
  </si>
  <si>
    <t>Whyte &amp; Mackay</t>
  </si>
  <si>
    <t>William Lawson</t>
  </si>
  <si>
    <t>WINES</t>
  </si>
  <si>
    <t>Acantus Blanco</t>
  </si>
  <si>
    <t>Sues</t>
  </si>
  <si>
    <t>Acantus Tinto</t>
  </si>
  <si>
    <t>Acantus Rosado</t>
  </si>
  <si>
    <t>Bach Tinto</t>
  </si>
  <si>
    <t>Bach Seco</t>
  </si>
  <si>
    <t>Bach Semi</t>
  </si>
  <si>
    <t>Bach Rosado (Blush)</t>
  </si>
  <si>
    <t>Bicicletes I Peces Rosado</t>
  </si>
  <si>
    <t>Bicicletes I Peces Verdejo</t>
  </si>
  <si>
    <t>Bicicletes I Peces Sauv Blanc</t>
  </si>
  <si>
    <t>Blossom Hill</t>
  </si>
  <si>
    <t>Buckfast</t>
  </si>
  <si>
    <t>Campo Viejo CRIANZA</t>
  </si>
  <si>
    <t>GM</t>
  </si>
  <si>
    <t xml:space="preserve">Casillero Del Diablo </t>
  </si>
  <si>
    <t>Conde De Caralt Rosado</t>
  </si>
  <si>
    <t>Bonet</t>
  </si>
  <si>
    <t>Conde De Caralt Seco</t>
  </si>
  <si>
    <t>Conde De Caralt Semi</t>
  </si>
  <si>
    <t>Conde De Caralt Tinto</t>
  </si>
  <si>
    <t>Conde de Caralt CASE 6</t>
  </si>
  <si>
    <t>Costa D'Or Rosado</t>
  </si>
  <si>
    <t>Costa D'Or Tinto</t>
  </si>
  <si>
    <t>Costa D'Or Select</t>
  </si>
  <si>
    <t>Echo Falls Chardonnay</t>
  </si>
  <si>
    <t>Echo Falls White Zinfandel</t>
  </si>
  <si>
    <t>Echo Falls Pinot Grigio</t>
  </si>
  <si>
    <t>Echo Falls Summer berries</t>
  </si>
  <si>
    <t>El Coto Tinto</t>
  </si>
  <si>
    <t>EL Coto White</t>
  </si>
  <si>
    <t>Faustino I</t>
  </si>
  <si>
    <t>Faustino V</t>
  </si>
  <si>
    <t>Faustino VII Tinto</t>
  </si>
  <si>
    <t>I Heart Pinot Grigio</t>
  </si>
  <si>
    <t>I Heart Merlot</t>
  </si>
  <si>
    <t>I Heart Sauvv Blanc</t>
  </si>
  <si>
    <t>I Heart Chardonnay</t>
  </si>
  <si>
    <t>I Heart Rosado</t>
  </si>
  <si>
    <t>JamShed Chardonnay</t>
  </si>
  <si>
    <t>Lancers</t>
  </si>
  <si>
    <t>Macia Batle Red</t>
  </si>
  <si>
    <t>Macia Batle Rosado</t>
  </si>
  <si>
    <t>Macia Batle White</t>
  </si>
  <si>
    <t>Marques De Caceres Crianza</t>
  </si>
  <si>
    <t>Marques De Caceres Rosado</t>
  </si>
  <si>
    <t>Marques De Caceres White</t>
  </si>
  <si>
    <t>Martin Codax</t>
  </si>
  <si>
    <t>Mateus</t>
  </si>
  <si>
    <t>Sangre Del Toro</t>
  </si>
  <si>
    <t>Sangria Don Simon Plastic</t>
  </si>
  <si>
    <t>Sarria Verdejo</t>
  </si>
  <si>
    <t>Vina Sol</t>
  </si>
  <si>
    <t>Whispering Angel</t>
  </si>
  <si>
    <t>CAVAS</t>
  </si>
  <si>
    <t>Biciclette Pesci</t>
  </si>
  <si>
    <t>Biciclette Pesci 3x200ml</t>
  </si>
  <si>
    <t xml:space="preserve">Canella </t>
  </si>
  <si>
    <t>Canella 24x200ml</t>
  </si>
  <si>
    <t>Freixenet Cordon Negro Mini 3pk</t>
  </si>
  <si>
    <t xml:space="preserve">Freixenet Italian Rose mini </t>
  </si>
  <si>
    <t>Freixenet Italian Rose mini 3x200ml</t>
  </si>
  <si>
    <t>Freixenet mini Prosecco</t>
  </si>
  <si>
    <t>Freixenet mini Prosecco 3x200ml</t>
  </si>
  <si>
    <t>Biciclette Pesci Rosado</t>
  </si>
  <si>
    <t>Freixenet 0% Rose</t>
  </si>
  <si>
    <t>Freixenet 0% White</t>
  </si>
  <si>
    <t>Freixenet Barocco</t>
  </si>
  <si>
    <t>Freixenet Carta Nevada Brut</t>
  </si>
  <si>
    <t>Freixenet Carta Nevada Semi</t>
  </si>
  <si>
    <t>Freixenet Cordon Negro Brut</t>
  </si>
  <si>
    <t>Freixenet Italian Rose</t>
  </si>
  <si>
    <t>Freixenet Prosecco</t>
  </si>
  <si>
    <t>Freixenet Cava Rosado</t>
  </si>
  <si>
    <t>Cava Rigol</t>
  </si>
  <si>
    <t>CHAMPAGNE</t>
  </si>
  <si>
    <t>Moet et Chandon Brut</t>
  </si>
  <si>
    <t>Veuve Clicquot</t>
  </si>
  <si>
    <t>Laurent Perrier Rose</t>
  </si>
  <si>
    <t>Moet et Chandon Rose</t>
  </si>
  <si>
    <t>Plastic 500ml</t>
  </si>
  <si>
    <t>Frans Strawberry</t>
  </si>
  <si>
    <t>Plastic 350ml</t>
  </si>
  <si>
    <t>Absenta Various</t>
  </si>
  <si>
    <t>Palmbridge</t>
  </si>
  <si>
    <t>Palmbridge Pink</t>
  </si>
  <si>
    <t>Peach Schnapps</t>
  </si>
  <si>
    <t>Ron Tobacco</t>
  </si>
  <si>
    <t>Sambuca White</t>
  </si>
  <si>
    <t>Strawberry Schnapps</t>
  </si>
  <si>
    <t>Tia Nadal</t>
  </si>
  <si>
    <t>Glass 350ml</t>
  </si>
  <si>
    <t>Smirnoff</t>
  </si>
  <si>
    <t>Guy in Van</t>
  </si>
  <si>
    <t>Glass</t>
  </si>
  <si>
    <t>Absinthe Bewitched 89.9%</t>
  </si>
  <si>
    <t>Angustura Bitter</t>
  </si>
  <si>
    <t>Bacardi</t>
  </si>
  <si>
    <t>Captain Morgan</t>
  </si>
  <si>
    <t>Gordons Gin</t>
  </si>
  <si>
    <t>Hierbas Dulces</t>
  </si>
  <si>
    <t>Hierbas Mix</t>
  </si>
  <si>
    <t>Hierbas Secas</t>
  </si>
  <si>
    <t>J&amp;B</t>
  </si>
  <si>
    <t>Jack daniels</t>
  </si>
  <si>
    <t>Jager</t>
  </si>
  <si>
    <t>Buy Price 2025</t>
  </si>
  <si>
    <t>Plastic Litres</t>
  </si>
  <si>
    <t>Cherry Brandy</t>
  </si>
  <si>
    <t>Jerikoff Blue</t>
  </si>
  <si>
    <t>Jet Boom Red</t>
  </si>
  <si>
    <t xml:space="preserve">Peach Schnapps </t>
  </si>
  <si>
    <t>Ron Miel Tobacco</t>
  </si>
  <si>
    <t xml:space="preserve">Rushkinoff </t>
  </si>
  <si>
    <t>Sambuca</t>
  </si>
  <si>
    <t>Tobacco</t>
  </si>
  <si>
    <t xml:space="preserve">Triple Sec  </t>
  </si>
  <si>
    <t>Tunel Cinnamon Boom</t>
  </si>
  <si>
    <t>3L Plastics</t>
  </si>
  <si>
    <t>Hierbas Secas 3L</t>
  </si>
  <si>
    <t>Hierbas Mix 3L</t>
  </si>
  <si>
    <t>Hierbas Dulce 3L</t>
  </si>
  <si>
    <t>Banana Liquer 3L</t>
  </si>
  <si>
    <t>Triple Sec 3L</t>
  </si>
  <si>
    <t>Limoncello Ferrone 3L</t>
  </si>
  <si>
    <t>Caiman Love 3L Plastic</t>
  </si>
  <si>
    <t>Single Bottles</t>
  </si>
  <si>
    <t>Absenta</t>
  </si>
  <si>
    <t>Absolut Mandarin</t>
  </si>
  <si>
    <t>Absolut Pear</t>
  </si>
  <si>
    <t>Brugal</t>
  </si>
  <si>
    <t>Courvoisier</t>
  </si>
  <si>
    <t>Johnnie Walker Black Label</t>
  </si>
  <si>
    <t>Johnnie Walker Red Label</t>
  </si>
  <si>
    <t>Larios Rose</t>
  </si>
  <si>
    <t>Underberg</t>
  </si>
  <si>
    <t>Underberg 3 pk</t>
  </si>
  <si>
    <t>Packs</t>
  </si>
  <si>
    <t>Bag 10</t>
  </si>
  <si>
    <t xml:space="preserve">Bag 7 </t>
  </si>
  <si>
    <t>Bag 5</t>
  </si>
  <si>
    <t>3 Pack Hierbas</t>
  </si>
  <si>
    <t>6 Pack Blue</t>
  </si>
  <si>
    <t>5 Pack Barman</t>
  </si>
  <si>
    <t>6 Pack Miniatures</t>
  </si>
  <si>
    <t>5 pack cool shot</t>
  </si>
  <si>
    <t>5 pack Absolut</t>
  </si>
  <si>
    <t>Birra Moretti Bottle 330ml</t>
  </si>
  <si>
    <t>TransMallorca</t>
  </si>
  <si>
    <t>Birra Moretti Bottle Case 24x330ml</t>
  </si>
  <si>
    <t>Budweiser Bottle Case 24x330ml</t>
  </si>
  <si>
    <t>Voldis / Tunel / HG</t>
  </si>
  <si>
    <t>Budweiser Bottle 330ml</t>
  </si>
  <si>
    <t>Budweiser Can 330ml</t>
  </si>
  <si>
    <t>Voldis</t>
  </si>
  <si>
    <t>Budweiser Can Case 24x330ml</t>
  </si>
  <si>
    <t>Carling Can 500ml</t>
  </si>
  <si>
    <t>Tindale</t>
  </si>
  <si>
    <t>Carling Can Case 24x500ml</t>
  </si>
  <si>
    <t>Carlsberg Bottle 330ml</t>
  </si>
  <si>
    <t>Comabe</t>
  </si>
  <si>
    <t>Carlsberg Bottle Case 24x330ml</t>
  </si>
  <si>
    <t>Coors Light Bottle Case 24x33cl</t>
  </si>
  <si>
    <t>Tunel / Comabe</t>
  </si>
  <si>
    <t>Coors Light Bottle 33cl</t>
  </si>
  <si>
    <t>Coors Light Bottle 6x33cl</t>
  </si>
  <si>
    <t>Coors Light Can 500ml</t>
  </si>
  <si>
    <t>Voldis / Tindale</t>
  </si>
  <si>
    <t>Coors Light Can 24x500ml</t>
  </si>
  <si>
    <t xml:space="preserve">Corona Bottle Case 24x35cl </t>
  </si>
  <si>
    <t>Corona Bottle 35cl</t>
  </si>
  <si>
    <t>Corona Bottle 6x35cl</t>
  </si>
  <si>
    <t>Corona LATA 33cl</t>
  </si>
  <si>
    <t>Corona LATA 6x33cl</t>
  </si>
  <si>
    <t>Corona LATA 24x33cl</t>
  </si>
  <si>
    <t>Cruzcampo Can 33cl</t>
  </si>
  <si>
    <t>Cruzcampo Can Case 24x33cl</t>
  </si>
  <si>
    <t>Cruzcampo Shandy Can 33cl</t>
  </si>
  <si>
    <t>Cruzcampo Shandy Can Case 24x33cl</t>
  </si>
  <si>
    <t>Desperados Bottle Case 24x33cl</t>
  </si>
  <si>
    <t>Desprados Bottle 33cl</t>
  </si>
  <si>
    <t>Desprados Bottle 6 x33cl</t>
  </si>
  <si>
    <t>Desperados Can 500ml</t>
  </si>
  <si>
    <t>Desperados Can Case 24x500ml</t>
  </si>
  <si>
    <t>Erdinger 500ml Bottle</t>
  </si>
  <si>
    <t>Erdinger Case 12 x 500ml Bottle</t>
  </si>
  <si>
    <t>Estrella Damm Can 330ml</t>
  </si>
  <si>
    <t>Estrella Damm Can Case 24x330ml</t>
  </si>
  <si>
    <t>Estrella Damm Can 500ml</t>
  </si>
  <si>
    <t>Estrella Damm Can Case 24x500ml</t>
  </si>
  <si>
    <t>Estrella Damm Bottle 330ml</t>
  </si>
  <si>
    <t>Estrella Damm Bottle 24x330ml</t>
  </si>
  <si>
    <t>Estrella Daura Gluten Free Bottle 330ml</t>
  </si>
  <si>
    <t>Estrella Damm Gluten Freee 24x330ml</t>
  </si>
  <si>
    <t>Estrella Galicia Can 500ml</t>
  </si>
  <si>
    <t>Estrella Galicia Can Case 24x500ml</t>
  </si>
  <si>
    <t>Estrella Galicia Can 330ml</t>
  </si>
  <si>
    <t>Estrella Galicia case 24x330ml can</t>
  </si>
  <si>
    <t>Estrella Galicia 6x330ml bottle</t>
  </si>
  <si>
    <t>Estrella Galicia 330ml bottle</t>
  </si>
  <si>
    <t>Estrella Galicia case 24x330ml bottle</t>
  </si>
  <si>
    <t>Damn Free 24x250ml Bottle</t>
  </si>
  <si>
    <t>Damn Free 6x250ml Bottle</t>
  </si>
  <si>
    <t>Damn Free 24x330ml Can</t>
  </si>
  <si>
    <t>Damn Free 330ml Can</t>
  </si>
  <si>
    <t>Guinness Can 440</t>
  </si>
  <si>
    <t xml:space="preserve">Guinness Can Case 24x440 </t>
  </si>
  <si>
    <t>Guinness Zero Can 440</t>
  </si>
  <si>
    <t xml:space="preserve">Guinness Zero Can Case 24x440 </t>
  </si>
  <si>
    <t>Heineken Bottle 330ml</t>
  </si>
  <si>
    <t>Heineken Bottle Case 24x330ml</t>
  </si>
  <si>
    <t>Heineken Can 330ml</t>
  </si>
  <si>
    <t>Heineken Can Case 24x330ml</t>
  </si>
  <si>
    <t>Heineken Can 24x330ml Pack 12</t>
  </si>
  <si>
    <t>Heineken Can 500ml</t>
  </si>
  <si>
    <t>Heineken Can Case 24x500ml</t>
  </si>
  <si>
    <t>Heineken 0% Can 330ml</t>
  </si>
  <si>
    <t>Heineken 0% Can Pack 12x330ml</t>
  </si>
  <si>
    <t>Heineken 0% Can Case 24 x 330ml</t>
  </si>
  <si>
    <t>John Smiths Can</t>
  </si>
  <si>
    <t xml:space="preserve">John Smiths Can Case 24x50cl  </t>
  </si>
  <si>
    <t>Mahou Litre</t>
  </si>
  <si>
    <t>Mahou 5 Star Can 330ml</t>
  </si>
  <si>
    <t>Mahou 5 Star Can 330ml Case 24</t>
  </si>
  <si>
    <t>Mahou 5 Star Can 330ml Pack 12</t>
  </si>
  <si>
    <t>Mahou 5 Star Can 500ml</t>
  </si>
  <si>
    <t>Mahou 5 Star Can 500ml Case 24</t>
  </si>
  <si>
    <t>Mahou 5 Star 24x330ml Bottle</t>
  </si>
  <si>
    <t>Mahou 5 Star Bottle 330ml</t>
  </si>
  <si>
    <t>Mahou Classic Can 330ml</t>
  </si>
  <si>
    <t>Mahou Classic Can 330ml Pack 12</t>
  </si>
  <si>
    <t>Mahou Classic Can 330ml Case 24</t>
  </si>
  <si>
    <t>Mahou Classic Can 500ml</t>
  </si>
  <si>
    <t>Mahou Classic Can 500ml Case 24</t>
  </si>
  <si>
    <t>Mahou Tostado 0% Can 330ml</t>
  </si>
  <si>
    <t>Miller 24x33cl Bottle</t>
  </si>
  <si>
    <t>Miller 33cl Bottle</t>
  </si>
  <si>
    <t>Perroni Nastro Azzuri Bottle Case 24x33cl</t>
  </si>
  <si>
    <t>Perroni Nastro Azzuri Bottle 6 x 33cl</t>
  </si>
  <si>
    <t>Perroni Nastro Azzuri Bottle 33cl</t>
  </si>
  <si>
    <t>San Miguel Radler Can Case 24</t>
  </si>
  <si>
    <t>San Miguel Radler 330ml Can</t>
  </si>
  <si>
    <t>San Miguel Bottle Case Pack 24x33cl</t>
  </si>
  <si>
    <t>San Miguel Bottle Pack 4x33cl</t>
  </si>
  <si>
    <t>San Miguel Bottle  33cl</t>
  </si>
  <si>
    <t>San Miguel Bottle Case 25clx24</t>
  </si>
  <si>
    <t>San Miguel Bottle Pack 25clx12</t>
  </si>
  <si>
    <t xml:space="preserve">San Miguel Bottle Pack 25clx6 </t>
  </si>
  <si>
    <t>San Miguel Can 33cl</t>
  </si>
  <si>
    <t>San Miguel Pack 12x33cl Can</t>
  </si>
  <si>
    <t>San Miguel Case 24x33cl Can</t>
  </si>
  <si>
    <t>San Miguel Can 50cl</t>
  </si>
  <si>
    <t>San Miguel Case24x50cl Can</t>
  </si>
  <si>
    <t>San Miguel Bottle Litre</t>
  </si>
  <si>
    <t>San Miguel Bottle Litre 6 Pack</t>
  </si>
  <si>
    <t xml:space="preserve">Stella Bottle Case 24x33cl </t>
  </si>
  <si>
    <t>Europ Foods</t>
  </si>
  <si>
    <t>Stella Bottle 33cl</t>
  </si>
  <si>
    <t>Tennents Can 500ml</t>
  </si>
  <si>
    <t>Tennents Case 24x50cl Can</t>
  </si>
  <si>
    <t>CIDERS</t>
  </si>
  <si>
    <t xml:space="preserve">Koppaberg Can Pear  </t>
  </si>
  <si>
    <t>Koppaberg Can Pear Case 24</t>
  </si>
  <si>
    <t>Koppaberg Can Strawberry Lime</t>
  </si>
  <si>
    <t>Koppaberg Can Strawberry Lime Case 24</t>
  </si>
  <si>
    <t xml:space="preserve">Koppaberg Can Mix Fruit Tropical </t>
  </si>
  <si>
    <t>Koppaberg Can Mix Fruit</t>
  </si>
  <si>
    <t>Koppaberg Can Mix Fruit Case 24</t>
  </si>
  <si>
    <t>Koppaberg Can Strawberry Lime 0% Alc</t>
  </si>
  <si>
    <t>Koppaberg Can Strawberry Lime Pack 12 0% Alc</t>
  </si>
  <si>
    <t>Magners Bottle 33cl</t>
  </si>
  <si>
    <t>Magners Bottle Case 33clx24</t>
  </si>
  <si>
    <t>Magners Bottle 568ml</t>
  </si>
  <si>
    <t>Magners Bottle Case 568mlx12</t>
  </si>
  <si>
    <t>Magners Can 500ml</t>
  </si>
  <si>
    <t>Magners Can Case 500mlx24</t>
  </si>
  <si>
    <t>Orchard thieves 330ml Can</t>
  </si>
  <si>
    <t>Orchard thieves 24x330ml Can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</si>
  <si>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</si>
  <si>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Rekordelig Can Passion Fruit</t>
  </si>
  <si>
    <t>Voldis / Comabe</t>
  </si>
  <si>
    <t>Rekordelig Can Passion Fruit Case 24</t>
  </si>
  <si>
    <t>Rekordelig Can Strawberry Lime</t>
  </si>
  <si>
    <t>Rekordelig Can Strawberry Lime Case 24</t>
  </si>
  <si>
    <t>Rekordelig Can Wild Berry</t>
  </si>
  <si>
    <t>Rekordelig Can Wild Berry Case 24</t>
  </si>
  <si>
    <t>Rekordelig Can Mango &amp; Raspberry</t>
  </si>
  <si>
    <t>Rekordelig Can Mango &amp; Raspberry Case 24</t>
  </si>
  <si>
    <t xml:space="preserve">Strongbow Can  </t>
  </si>
  <si>
    <t>TransMallorca / Tunel</t>
  </si>
  <si>
    <t>Strongbow Can Case 24</t>
  </si>
  <si>
    <t>Thatchers Can</t>
  </si>
  <si>
    <t>Thatchers Can Case 24</t>
  </si>
  <si>
    <t>Alco-Pops</t>
  </si>
  <si>
    <t>Smirnoff Ice Case 24</t>
  </si>
  <si>
    <t>Smirnoff Ice Bottle</t>
  </si>
  <si>
    <t>.</t>
  </si>
  <si>
    <t>Smirnoff Ice Bottle 700ml x 6</t>
  </si>
  <si>
    <t>WKD Blue Case 24</t>
  </si>
  <si>
    <t>WKD Blue Bottle</t>
  </si>
  <si>
    <t>WKD Blue Bottle 700ml x 6</t>
  </si>
  <si>
    <t>Bacardi Breezer Orange Case 24</t>
  </si>
  <si>
    <t>Bacardi Breezer Orange Bottle</t>
  </si>
  <si>
    <t>Bacardi Breezer Watermelon Case 24</t>
  </si>
  <si>
    <t>Bacardi Breezer Watermelon Bottle</t>
  </si>
  <si>
    <t>Bacardi Breezer Lime Case 24</t>
  </si>
  <si>
    <t>Bacardi Breezer Lime Bottle</t>
  </si>
  <si>
    <t>Bacardi Breezer Passion Fruit &amp; Mango Case 12</t>
  </si>
  <si>
    <t>Bacardi Breezer Passion Fruit &amp; Mango Bottle</t>
  </si>
  <si>
    <t>White Claw Hard Seltzer</t>
  </si>
  <si>
    <t>Cokes &amp; Fantas</t>
  </si>
  <si>
    <t>2L</t>
  </si>
  <si>
    <t>Coke 2L</t>
  </si>
  <si>
    <t>Coke</t>
  </si>
  <si>
    <t>Coke Can</t>
  </si>
  <si>
    <t>Coke / HG</t>
  </si>
  <si>
    <t>Coke Can Case 24</t>
  </si>
  <si>
    <t>Coke 500ml Bottle</t>
  </si>
  <si>
    <t>Coke Light 2L</t>
  </si>
  <si>
    <t>Coke Light Can</t>
  </si>
  <si>
    <t>Coke Light Can Case 24</t>
  </si>
  <si>
    <t>Coke Zero Can</t>
  </si>
  <si>
    <t>Coke Zero Can Case 24</t>
  </si>
  <si>
    <t>Fanta Lemon 2L</t>
  </si>
  <si>
    <t>Fanta Lemon Zero Can</t>
  </si>
  <si>
    <t>Fanta Lemon Zero Can Case 24</t>
  </si>
  <si>
    <t>Fanta Lemon Can</t>
  </si>
  <si>
    <t>Fanta Lemon Can Case 24</t>
  </si>
  <si>
    <t>Fanta Orange 2L</t>
  </si>
  <si>
    <t>Fanta Orange Zero Can</t>
  </si>
  <si>
    <t>Fanta Orange Zero Can Case 24</t>
  </si>
  <si>
    <t>Fanta Orange Can</t>
  </si>
  <si>
    <t>Fanta Orange Can Case 24</t>
  </si>
  <si>
    <t>Nestea Case 24</t>
  </si>
  <si>
    <t>Nestea Can</t>
  </si>
  <si>
    <t>Sprite 2L</t>
  </si>
  <si>
    <t>Sprite Can</t>
  </si>
  <si>
    <t>Sprite Can Case 24</t>
  </si>
  <si>
    <t>Sprite Zero Can</t>
  </si>
  <si>
    <t>Sprite Zero Can Case 24</t>
  </si>
  <si>
    <t>Irn Bru</t>
  </si>
  <si>
    <t>Irn Bru Can</t>
  </si>
  <si>
    <t>Interbalear</t>
  </si>
  <si>
    <t>Irn Bru Can Case 24</t>
  </si>
  <si>
    <t>Irn Bru Diet Can</t>
  </si>
  <si>
    <t>Irn Bru Diet Can Case 24</t>
  </si>
  <si>
    <t>Tonics/Soda etc.</t>
  </si>
  <si>
    <t>Fevertree Tonic 24x250ml CAN</t>
  </si>
  <si>
    <t>Fevertree Tonic 250ml CAN</t>
  </si>
  <si>
    <t>Fevertree Tonic 24x200</t>
  </si>
  <si>
    <t>Fevertree Tonic 4x200</t>
  </si>
  <si>
    <t>Fevertree Tonic Light 24x200</t>
  </si>
  <si>
    <t>Fevertree Tonic Light 4x200</t>
  </si>
  <si>
    <t>Fevertree Sicillian Lemonade 24x200</t>
  </si>
  <si>
    <t>Fevertree Sicillian Lemonade 4x200</t>
  </si>
  <si>
    <t>Fevertree Mediterranean Tonic 24x200</t>
  </si>
  <si>
    <t>Fevertree Mediterranean Tonic 4x200</t>
  </si>
  <si>
    <t>Fevertree Elderflower Tonic 24x200</t>
  </si>
  <si>
    <t>Fevertree Elderflower Tonic 4x200</t>
  </si>
  <si>
    <t>Fevertree Ginger Ale 24x200</t>
  </si>
  <si>
    <t>Fevertree Ginger Ale 4x200</t>
  </si>
  <si>
    <t>Fevertree Ginger Beer 24x200</t>
  </si>
  <si>
    <t>Fevertree Ginger Beer 4x200</t>
  </si>
  <si>
    <t>Fevertree Pink Grapefruit 24x200</t>
  </si>
  <si>
    <t>Fevertree Pink Grapefruit 4x200</t>
  </si>
  <si>
    <t>Fevertree  Soda 24x200</t>
  </si>
  <si>
    <t>Fevertree Soda 4x200</t>
  </si>
  <si>
    <t>Schweppes Tonic Case 24 x 200 bottles</t>
  </si>
  <si>
    <t>Bonet / Voldis</t>
  </si>
  <si>
    <t>Schweppes Tonic Litre</t>
  </si>
  <si>
    <t>Schweppes Tonic Cans</t>
  </si>
  <si>
    <t>Schweppes Tonic Cans Case 24</t>
  </si>
  <si>
    <t>Schweppes Tonic Light 6Pk</t>
  </si>
  <si>
    <t>Schweppes Tonic Light 4Pk Case 24</t>
  </si>
  <si>
    <t>Schweppes Tonic Light Cans</t>
  </si>
  <si>
    <t>Schweppes Tonic Light Cans Case 24</t>
  </si>
  <si>
    <t>Schweppes Tonic Light Case 24 x200ml</t>
  </si>
  <si>
    <t>Schweppes Tonic Light Litre</t>
  </si>
  <si>
    <t>Schweppes Soda 6Pk</t>
  </si>
  <si>
    <t>Schweppes Soda 6Pk Case 24</t>
  </si>
  <si>
    <t>Schweppes Soda Litre</t>
  </si>
  <si>
    <t>Schweppes Ginger 6Pk</t>
  </si>
  <si>
    <t>Schweppes Ginger 4Pk Case 24</t>
  </si>
  <si>
    <t>Schweppes Ginger Litre</t>
  </si>
  <si>
    <t>Juices &amp; Cordials</t>
  </si>
  <si>
    <t>1.5L</t>
  </si>
  <si>
    <t>Juicee Orange</t>
  </si>
  <si>
    <t>Juicee Lime</t>
  </si>
  <si>
    <t>Juicee Summer Fruits</t>
  </si>
  <si>
    <t>Don Simon Apple Disfruta</t>
  </si>
  <si>
    <t>Don Simon Apple Disfruta Case 12</t>
  </si>
  <si>
    <t>Don Simon Orange Disfruta</t>
  </si>
  <si>
    <t>Don Simon Orange Disfruta Case 12</t>
  </si>
  <si>
    <t>Don Simon Orange</t>
  </si>
  <si>
    <t>Don Simon Orange Case 12</t>
  </si>
  <si>
    <t xml:space="preserve">Don Simon Pina Disfruta </t>
  </si>
  <si>
    <t>Don Simon Pina Disfruta Case 12</t>
  </si>
  <si>
    <t>Don Simon Tomato</t>
  </si>
  <si>
    <t>Don Simon Tomato Case 12</t>
  </si>
  <si>
    <t>Robinsons Orange</t>
  </si>
  <si>
    <t>Robinsons Blackcurrant</t>
  </si>
  <si>
    <t>Robinsons Apple &amp; Blackcurrant</t>
  </si>
  <si>
    <t>Cranberry Juice</t>
  </si>
  <si>
    <t>Fruit Shoot</t>
  </si>
  <si>
    <t>Interb / Europ F</t>
  </si>
  <si>
    <t>Energy Drinks and Others</t>
  </si>
  <si>
    <t>Red Bull Can</t>
  </si>
  <si>
    <t>Red Bull Can Case 24</t>
  </si>
  <si>
    <t>Boost Litre</t>
  </si>
  <si>
    <t>Boost Litre x 12</t>
  </si>
  <si>
    <t>Aquarius Orange Can 24x330ml</t>
  </si>
  <si>
    <t>Aquarius Orange Can</t>
  </si>
  <si>
    <t>Aquarius Lemon Can 24x330ml</t>
  </si>
  <si>
    <t>Aquarius Lemon Can</t>
  </si>
  <si>
    <t>Monster Can</t>
  </si>
  <si>
    <t>Monster Can Case</t>
  </si>
  <si>
    <t>Old Jamaica Ginger Beer 24 x 330ml can</t>
  </si>
  <si>
    <t>Old Jamaica Ginger Beer 6 x 330ml can</t>
  </si>
  <si>
    <t>Old Jamaica Ginger Bee can</t>
  </si>
  <si>
    <t>Lucozade Original</t>
  </si>
  <si>
    <t>Lucozade Original 24x380</t>
  </si>
  <si>
    <t>Lucozade Orange</t>
  </si>
  <si>
    <t>Lucozade Sport</t>
  </si>
  <si>
    <t>Vimto</t>
  </si>
  <si>
    <t>Vimto Case 24</t>
  </si>
  <si>
    <t xml:space="preserve">Vimto Light  </t>
  </si>
  <si>
    <t>Vimto Light Case 24</t>
  </si>
  <si>
    <t>Water</t>
  </si>
  <si>
    <t>Aquabona 24x500</t>
  </si>
  <si>
    <t>Aquabona 500</t>
  </si>
  <si>
    <t>Aquabona 6x1.5L</t>
  </si>
  <si>
    <t>Aquabona 1.5L</t>
  </si>
  <si>
    <t>Bezoya 35x330ml</t>
  </si>
  <si>
    <t>Pascual</t>
  </si>
  <si>
    <t>Bezoya 24x500ml</t>
  </si>
  <si>
    <t>Bezoya 6x1.5L</t>
  </si>
  <si>
    <t>Bezoya 1.5L</t>
  </si>
  <si>
    <t>Primavera Agua Con Gas 24x500ml</t>
  </si>
  <si>
    <t>Primavera Agua Con Gas 6x500ml</t>
  </si>
  <si>
    <t>Primavera Agua Con Gas 500ml</t>
  </si>
  <si>
    <t>Cap. (g)</t>
  </si>
  <si>
    <t>Frozen Goods</t>
  </si>
  <si>
    <t>Pies</t>
  </si>
  <si>
    <t>Chicken &amp; Mushroom Pie</t>
  </si>
  <si>
    <t>Mince Meat &amp; Onion Pie</t>
  </si>
  <si>
    <t>Steak &amp; Guinness Pie</t>
  </si>
  <si>
    <t>Steak &amp; Kidney Pie</t>
  </si>
  <si>
    <t>Steak Pie</t>
  </si>
  <si>
    <t>Meat &amp; Potato Pie</t>
  </si>
  <si>
    <t>Cornish Pastie</t>
  </si>
  <si>
    <t>Cheese &amp; Onion Pastie</t>
  </si>
  <si>
    <t>Sausage Roll  Jumbo</t>
  </si>
  <si>
    <t>Frozen Meat</t>
  </si>
  <si>
    <t>Bacon 2.25kg</t>
  </si>
  <si>
    <t>Bacon 400g</t>
  </si>
  <si>
    <t>Bacon 200g</t>
  </si>
  <si>
    <t>Sausage Bag 40</t>
  </si>
  <si>
    <t>Sausage Individual</t>
  </si>
  <si>
    <t>Lorne Sausage 1Kg bag</t>
  </si>
  <si>
    <t>Black Pudding Single</t>
  </si>
  <si>
    <t>Black Pudding Stick 1.36Kg</t>
  </si>
  <si>
    <t>Gammon Joint per Kg</t>
  </si>
  <si>
    <t>7.90 per kg</t>
  </si>
  <si>
    <t>Gammon Steak Pack 2</t>
  </si>
  <si>
    <t>Irish Steak Burger</t>
  </si>
  <si>
    <t>Haggis</t>
  </si>
  <si>
    <t>Chicken Kiev Bag 5</t>
  </si>
  <si>
    <t>Chicken Kiev Single</t>
  </si>
  <si>
    <t>Spicy Chicken Wings Bag 48</t>
  </si>
  <si>
    <t>Spicy Chicken Wings Single</t>
  </si>
  <si>
    <t>Southern Fried Chicken Goujon Strip Bag</t>
  </si>
  <si>
    <t>Pork Pies Pack 4</t>
  </si>
  <si>
    <t>Bread  / Cake</t>
  </si>
  <si>
    <t>Thick Bread</t>
  </si>
  <si>
    <t>Medium Bread</t>
  </si>
  <si>
    <t>Wholemeal Bread</t>
  </si>
  <si>
    <t>Malted Wholegrain</t>
  </si>
  <si>
    <t>Dutch Baps Pack 8</t>
  </si>
  <si>
    <t>Tea Cakes Pack 5</t>
  </si>
  <si>
    <t>Crumpets Pack 6</t>
  </si>
  <si>
    <t>Muffins Pack 4</t>
  </si>
  <si>
    <t>Fruit Scones Single</t>
  </si>
  <si>
    <t>Various</t>
  </si>
  <si>
    <t>Jacket Potato Bag 7</t>
  </si>
  <si>
    <t>Jacket Potato Single</t>
  </si>
  <si>
    <t>Hash Brown 2.5KG</t>
  </si>
  <si>
    <t>Chips 2.5KG bag</t>
  </si>
  <si>
    <t>Potato Scones</t>
  </si>
  <si>
    <t>YOrkshire Puddings Bag 20</t>
  </si>
  <si>
    <t>Yorkshire Puddings Single</t>
  </si>
  <si>
    <t>Dried Goods</t>
  </si>
  <si>
    <t>Beans</t>
  </si>
  <si>
    <t>Branston Pickle</t>
  </si>
  <si>
    <t>Colmans Mustard</t>
  </si>
  <si>
    <t>Corned Beef</t>
  </si>
  <si>
    <t>Crackers</t>
  </si>
  <si>
    <t>240g</t>
  </si>
  <si>
    <t>Gravy</t>
  </si>
  <si>
    <t>Heinz Ketchup</t>
  </si>
  <si>
    <t>HP Sauce</t>
  </si>
  <si>
    <t>Lea &amp; Perrins</t>
  </si>
  <si>
    <t>Mint Sauce</t>
  </si>
  <si>
    <t>Mushy Peas</t>
  </si>
  <si>
    <t>Pot Noodle</t>
  </si>
  <si>
    <t>Sarsons Vinegar</t>
  </si>
  <si>
    <t>Soup Chicken</t>
  </si>
  <si>
    <t>Soup Tomato</t>
  </si>
  <si>
    <t>Tabasco</t>
  </si>
  <si>
    <t>Tea Bags Tetley</t>
  </si>
  <si>
    <t>SWEETS</t>
  </si>
  <si>
    <t>Twirl</t>
  </si>
  <si>
    <t>Cabalsa</t>
  </si>
  <si>
    <t>Dairy Milk</t>
  </si>
  <si>
    <t>Whole Nut</t>
  </si>
  <si>
    <t>Fruit &amp; Nut</t>
  </si>
  <si>
    <t>Crunchie</t>
  </si>
  <si>
    <t>Caramel</t>
  </si>
  <si>
    <t>CRISPS</t>
  </si>
  <si>
    <t>Walkers All Flavours Bag</t>
  </si>
  <si>
    <t>Walkers All Flavours Box 32</t>
  </si>
  <si>
    <t>LAYS Big Bags</t>
  </si>
  <si>
    <t>Pepsico</t>
  </si>
  <si>
    <t>OTHERS</t>
  </si>
  <si>
    <t>Golden Wonder Salted Nuts</t>
  </si>
  <si>
    <t>KPSalted Nuts</t>
  </si>
  <si>
    <t>Bacon Fries</t>
  </si>
  <si>
    <t>Scampi Fries</t>
  </si>
  <si>
    <t>Pork Scratchings</t>
  </si>
  <si>
    <t>Orbit Chewing Gum</t>
  </si>
  <si>
    <t>Rotger/GM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</si>
</sst>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#,##0.00\ [$€-401]\ ;\-#,##0.00\ [$€-401]\ ;&quot; -&quot;#\ [$€-401]\ "/>
  </numFmts>
  <fonts count="1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4"/>
      <color rgb="FF000000"/>
      <name val="Arial"/>
    </font>
    <font>
      <b/>
      <sz val="10"/>
      <color rgb="FF000000"/>
      <name val="Arial"/>
      <scheme val="minor"/>
    </font>
    <font>
      <b/>
      <sz val="10"/>
      <color rgb="FF000000"/>
      <name val="Arial"/>
    </font>
    <font>
      <b/>
      <i/>
      <sz val="10"/>
      <color rgb="FF000000"/>
      <name val="Arial"/>
    </font>
    <font>
      <sz val="10"/>
      <color rgb="FF000000"/>
      <name val="Times New Roman"/>
    </font>
    <font>
      <sz val="24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sz val="8"/>
      <color rgb="FF000000"/>
      <name val="Arial"/>
    </font>
    <font>
      <i/>
      <sz val="10"/>
      <color rgb="FF000000"/>
      <name val="Arial"/>
    </font>
    <font>
      <sz val="9"/>
      <color rgb="FF000000"/>
      <name val="Arial"/>
    </font>
    <font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right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0" xfId="0" applyNumberFormat="1" applyFont="1"/>
    <xf numFmtId="2" fontId="4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2" fontId="6" fillId="0" borderId="0" xfId="0" applyNumberFormat="1" applyFont="1" applyAlignment="1">
      <alignment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2" fontId="7" fillId="0" borderId="0" xfId="0" applyNumberFormat="1" applyFont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2" fontId="3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/>
    </xf>
    <xf numFmtId="2" fontId="6" fillId="0" borderId="0" xfId="0" applyNumberFormat="1" applyFont="1" applyAlignment="1">
      <alignment horizontal="left"/>
    </xf>
    <xf numFmtId="2" fontId="6" fillId="0" borderId="0" xfId="0" applyNumberFormat="1" applyFont="1"/>
    <xf numFmtId="0" fontId="2" fillId="0" borderId="0" xfId="0" applyFont="1" applyAlignment="1">
      <alignment vertical="center"/>
    </xf>
    <xf numFmtId="2" fontId="3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3" xfId="0" applyNumberFormat="1" applyFont="1" applyBorder="1" applyAlignment="1">
      <alignment horizontal="left"/>
    </xf>
    <xf numFmtId="1" fontId="3" fillId="0" borderId="0" xfId="0" applyNumberFormat="1" applyFont="1"/>
    <xf numFmtId="1" fontId="6" fillId="0" borderId="0" xfId="0" applyNumberFormat="1" applyFont="1"/>
    <xf numFmtId="2" fontId="3" fillId="0" borderId="2" xfId="0" applyNumberFormat="1" applyFont="1" applyBorder="1"/>
    <xf numFmtId="2" fontId="3" fillId="0" borderId="3" xfId="0" applyNumberFormat="1" applyFont="1" applyBorder="1"/>
    <xf numFmtId="2" fontId="4" fillId="0" borderId="0" xfId="0" applyNumberFormat="1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2" xfId="0" applyNumberFormat="1" applyFont="1" applyBorder="1"/>
    <xf numFmtId="2" fontId="6" fillId="0" borderId="3" xfId="0" applyNumberFormat="1" applyFont="1" applyBorder="1"/>
    <xf numFmtId="2" fontId="6" fillId="0" borderId="3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12" fillId="0" borderId="0" xfId="0" applyNumberFormat="1" applyFont="1"/>
    <xf numFmtId="2" fontId="2" fillId="0" borderId="2" xfId="0" applyNumberFormat="1" applyFont="1" applyBorder="1" applyAlignment="1">
      <alignment vertical="center"/>
    </xf>
    <xf numFmtId="2" fontId="2" fillId="0" borderId="3" xfId="0" applyNumberFormat="1" applyFont="1" applyBorder="1" applyAlignment="1">
      <alignment vertical="center"/>
    </xf>
    <xf numFmtId="1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center"/>
    </xf>
    <xf numFmtId="2" fontId="6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right"/>
    </xf>
    <xf numFmtId="0" fontId="6" fillId="0" borderId="0" xfId="0" applyFont="1"/>
    <xf numFmtId="0" fontId="12" fillId="0" borderId="0" xfId="0" applyFont="1" applyAlignment="1">
      <alignment vertical="center"/>
    </xf>
    <xf numFmtId="2" fontId="13" fillId="0" borderId="0" xfId="0" applyNumberFormat="1" applyFont="1"/>
    <xf numFmtId="0" fontId="14" fillId="0" borderId="0" xfId="0" applyFont="1"/>
    <xf numFmtId="2" fontId="14" fillId="0" borderId="0" xfId="0" applyNumberFormat="1" applyFont="1" applyAlignment="1">
      <alignment horizontal="right"/>
    </xf>
    <xf numFmtId="2" fontId="2" fillId="0" borderId="2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right"/>
    </xf>
    <xf numFmtId="2" fontId="15" fillId="0" borderId="0" xfId="0" applyNumberFormat="1" applyFont="1"/>
    <xf numFmtId="2" fontId="16" fillId="0" borderId="0" xfId="0" applyNumberFormat="1" applyFont="1" applyAlignment="1">
      <alignment horizontal="center"/>
    </xf>
    <xf numFmtId="2" fontId="16" fillId="0" borderId="0" xfId="0" applyNumberFormat="1" applyFont="1"/>
    <xf numFmtId="0" fontId="16" fillId="0" borderId="0" xfId="0" applyFont="1"/>
    <xf numFmtId="2" fontId="16" fillId="0" borderId="0" xfId="0" applyNumberFormat="1" applyFont="1" applyAlignment="1">
      <alignment horizontal="right"/>
    </xf>
    <xf numFmtId="0" fontId="7" fillId="0" borderId="0" xfId="0" applyFont="1"/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2" fontId="17" fillId="0" borderId="3" xfId="0" applyNumberFormat="1" applyFont="1" applyBorder="1" applyAlignment="1">
      <alignment horizontal="center"/>
    </xf>
    <xf numFmtId="2" fontId="17" fillId="0" borderId="4" xfId="0" applyNumberFormat="1" applyFont="1" applyBorder="1" applyAlignment="1">
      <alignment horizontal="center"/>
    </xf>
    <xf numFmtId="2" fontId="17" fillId="0" borderId="0" xfId="0" applyNumberFormat="1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vertical="center"/>
    </xf>
    <xf numFmtId="2" fontId="17" fillId="0" borderId="4" xfId="0" applyNumberFormat="1" applyFont="1" applyBorder="1" applyAlignment="1">
      <alignment vertical="center"/>
    </xf>
    <xf numFmtId="2" fontId="17" fillId="2" borderId="0" xfId="0" applyNumberFormat="1" applyFont="1" applyFill="1" applyAlignment="1">
      <alignment horizontal="center" vertical="center"/>
    </xf>
    <xf numFmtId="2" fontId="17" fillId="0" borderId="2" xfId="0" applyNumberFormat="1" applyFont="1" applyBorder="1" applyAlignment="1">
      <alignment horizontal="center"/>
    </xf>
    <xf numFmtId="2" fontId="17" fillId="0" borderId="3" xfId="0" applyNumberFormat="1" applyFont="1" applyBorder="1"/>
    <xf numFmtId="2" fontId="17" fillId="0" borderId="0" xfId="0" applyNumberFormat="1" applyFont="1"/>
    <xf numFmtId="2" fontId="17" fillId="0" borderId="0" xfId="0" applyNumberFormat="1" applyFont="1" applyAlignment="1">
      <alignment vertical="center"/>
    </xf>
    <xf numFmtId="2" fontId="17" fillId="0" borderId="4" xfId="0" applyNumberFormat="1" applyFont="1" applyBorder="1"/>
    <xf numFmtId="2" fontId="17" fillId="3" borderId="4" xfId="0" applyNumberFormat="1" applyFont="1" applyFill="1" applyBorder="1" applyAlignment="1">
      <alignment horizontal="center"/>
    </xf>
    <xf numFmtId="2" fontId="17" fillId="2" borderId="0" xfId="0" applyNumberFormat="1" applyFont="1" applyFill="1" applyAlignment="1">
      <alignment horizontal="center"/>
    </xf>
    <xf numFmtId="2" fontId="17" fillId="0" borderId="0" xfId="0" applyNumberFormat="1" applyFont="1" applyAlignment="1">
      <alignment horizontal="center" vertical="center"/>
    </xf>
    <xf numFmtId="2" fontId="11" fillId="0" borderId="0" xfId="0" applyNumberFormat="1" applyFont="1"/>
    <xf numFmtId="0" fontId="6" fillId="0" borderId="0" xfId="0" applyFont="1" applyAlignment="1">
      <alignment horizontal="right"/>
    </xf>
    <xf numFmtId="2" fontId="14" fillId="0" borderId="0" xfId="0" applyNumberFormat="1" applyFont="1" applyAlignment="1">
      <alignment horizontal="center"/>
    </xf>
    <xf numFmtId="2" fontId="17" fillId="0" borderId="3" xfId="0" applyNumberFormat="1" applyFont="1" applyBorder="1" applyAlignment="1">
      <alignment horizontal="center" vertical="center"/>
    </xf>
    <xf numFmtId="2" fontId="10" fillId="0" borderId="0" xfId="0" applyNumberFormat="1" applyFont="1"/>
    <xf numFmtId="1" fontId="11" fillId="0" borderId="0" xfId="0" applyNumberFormat="1" applyFont="1"/>
    <xf numFmtId="2" fontId="11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2" fontId="14" fillId="0" borderId="0" xfId="0" applyNumberFormat="1" applyFont="1"/>
    <xf numFmtId="1" fontId="14" fillId="0" borderId="0" xfId="0" applyNumberFormat="1" applyFont="1"/>
    <xf numFmtId="0" fontId="2" fillId="0" borderId="3" xfId="0" applyFont="1" applyBorder="1" applyAlignment="1">
      <alignment vertical="center"/>
    </xf>
    <xf numFmtId="2" fontId="18" fillId="0" borderId="0" xfId="0" applyNumberFormat="1" applyFont="1" applyAlignment="1">
      <alignment horizontal="center"/>
    </xf>
    <xf numFmtId="1" fontId="16" fillId="0" borderId="0" xfId="0" applyNumberFormat="1" applyFont="1"/>
    <xf numFmtId="0" fontId="17" fillId="0" borderId="0" xfId="0" applyFont="1"/>
    <xf numFmtId="0" fontId="17" fillId="0" borderId="3" xfId="0" applyFont="1" applyBorder="1"/>
    <xf numFmtId="0" fontId="14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</cellXfs>
  <cellStyles count="1">
    <cellStyle name="Normal" xfId="0" builtinId="0"/>
  </cellStyles>
  <dxfs count="25"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March" id="{E0EB6A30-DDD3-436C-94F8-FA4F62C8DA50}" userId="" providerId="google-sheets"/>
  <person displayName="Arthurs SantaPonsa" id="{D0681D5C-7C35-49E1-93A2-142D1DC5A20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4" dT="2025-12-02T10:32:25.00" personId="{E0EB6A30-DDD3-436C-94F8-FA4F62C8DA50}" id="{D3652D6E-0714-4422-9A80-FE5A1952ED8B}">
    <text>Includes 3 in corner</text>
  </threadedComment>
  <threadedComment ref="H64" dT="2026-01-06T09:37:32.00" personId="{D0681D5C-7C35-49E1-93A2-142D1DC5A20C}" id="{56D82443-297B-448F-83F0-BAAC27F153E9}" parentId="{D3652D6E-0714-4422-9A80-FE5A1952ED8B}">
    <text>2 in corner</text>
  </threadedComment>
  <threadedComment ref="H67" dT="2025-12-02T10:33:29.00" personId="{E0EB6A30-DDD3-436C-94F8-FA4F62C8DA50}" id="{C5C049FB-947C-462A-84F1-0EEBDF8203E9}">
    <text>Includes 1 in corner</text>
  </threadedComment>
  <threadedComment ref="H69" dT="2025-12-02T10:34:31.00" personId="{E0EB6A30-DDD3-436C-94F8-FA4F62C8DA50}" id="{8789A5CF-15D4-41E7-AFEC-9FC669749C49}">
    <text>Includes 1 in corner</text>
  </threadedComment>
  <threadedComment ref="H72" dT="2025-12-02T10:36:18.00" personId="{E0EB6A30-DDD3-436C-94F8-FA4F62C8DA50}" id="{8D7833FD-E90A-45AD-AB9E-FD2C5EADDA61}">
    <text>Includes 2 in corner</text>
  </threadedComment>
  <threadedComment ref="H72" dT="2026-01-08T10:00:32.00" personId="{D0681D5C-7C35-49E1-93A2-142D1DC5A20C}" id="{E164156B-A681-4054-A67E-94D4AAF40C62}" parentId="{8D7833FD-E90A-45AD-AB9E-FD2C5EADDA61}">
    <text>1 now</text>
  </threadedComment>
  <threadedComment ref="H72" dT="2026-01-08T10:00:34.00" personId="{D0681D5C-7C35-49E1-93A2-142D1DC5A20C}" id="{334DD8DE-324A-4BA8-AC4F-33BC73409E8F}" parentId="{8D7833FD-E90A-45AD-AB9E-FD2C5EADDA61}">
    <text>1 now</text>
  </threadedComment>
  <threadedComment ref="H204" dT="2025-12-02T10:16:43.00" personId="{E0EB6A30-DDD3-436C-94F8-FA4F62C8DA50}" id="{F38566A7-48F6-4C49-828B-FBAFB9CD6928}">
    <text>Includes corner assorted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15"/>
  <sheetViews>
    <sheetView workbookViewId="0"/>
  </sheetViews>
  <sheetFormatPr defaultColWidth="12.6640625" defaultRowHeight="15" customHeight="1" x14ac:dyDescent="0.25"/>
  <sheetData>
    <row r="2" spans="1:3" x14ac:dyDescent="0.25">
      <c r="A2" s="1" t="s">
        <v>0</v>
      </c>
      <c r="B2" s="2">
        <f>SUM(B4:B15)</f>
        <v>32522.69999999999</v>
      </c>
    </row>
    <row r="3" spans="1:3" x14ac:dyDescent="0.25">
      <c r="A3" s="1"/>
    </row>
    <row r="4" spans="1:3" x14ac:dyDescent="0.25">
      <c r="A4" s="1" t="s">
        <v>1</v>
      </c>
      <c r="B4" s="2">
        <f>Spirits!K2</f>
        <v>21319.049999999985</v>
      </c>
    </row>
    <row r="5" spans="1:3" x14ac:dyDescent="0.25">
      <c r="A5" s="1" t="s">
        <v>2</v>
      </c>
      <c r="B5" s="2">
        <f>'Wines, Cava &amp; Champ.'!K2</f>
        <v>3704.3100000000004</v>
      </c>
    </row>
    <row r="6" spans="1:3" x14ac:dyDescent="0.25">
      <c r="A6" s="1" t="s">
        <v>3</v>
      </c>
      <c r="B6" s="2">
        <f>'Plastic Litre or More'!K2</f>
        <v>1177.02</v>
      </c>
    </row>
    <row r="7" spans="1:3" x14ac:dyDescent="0.25">
      <c r="A7" s="1" t="s">
        <v>4</v>
      </c>
      <c r="B7" s="2">
        <f>Miniatures!J2</f>
        <v>115.00999999999999</v>
      </c>
    </row>
    <row r="8" spans="1:3" x14ac:dyDescent="0.25">
      <c r="A8" s="1" t="s">
        <v>5</v>
      </c>
      <c r="B8" s="2">
        <f>'Spirits Less than 700ml'!K2</f>
        <v>1181.6600000000001</v>
      </c>
    </row>
    <row r="9" spans="1:3" x14ac:dyDescent="0.25">
      <c r="A9" s="1" t="s">
        <v>6</v>
      </c>
      <c r="B9" s="2">
        <f>Beers!K2</f>
        <v>1695.5600000000004</v>
      </c>
    </row>
    <row r="10" spans="1:3" x14ac:dyDescent="0.25">
      <c r="A10" s="1" t="s">
        <v>7</v>
      </c>
      <c r="B10" s="2">
        <f>Ciders!K2</f>
        <v>1022.06</v>
      </c>
    </row>
    <row r="11" spans="1:3" x14ac:dyDescent="0.25">
      <c r="A11" s="1" t="s">
        <v>8</v>
      </c>
      <c r="B11" s="2">
        <f>'Alco Pops'!K2</f>
        <v>917.96999999999991</v>
      </c>
    </row>
    <row r="12" spans="1:3" x14ac:dyDescent="0.25">
      <c r="A12" s="1" t="s">
        <v>9</v>
      </c>
      <c r="C12" s="2">
        <f>'Frozen Food'!K2</f>
        <v>359.57000000000005</v>
      </c>
    </row>
    <row r="13" spans="1:3" x14ac:dyDescent="0.25">
      <c r="A13" s="1" t="s">
        <v>10</v>
      </c>
      <c r="B13" s="2">
        <f>'Dried Food'!K2</f>
        <v>0</v>
      </c>
    </row>
    <row r="14" spans="1:3" x14ac:dyDescent="0.25">
      <c r="A14" s="1" t="s">
        <v>11</v>
      </c>
      <c r="B14" s="2">
        <f>'Soft Drinks &amp; Mixers'!K2</f>
        <v>1390.06</v>
      </c>
    </row>
    <row r="15" spans="1:3" x14ac:dyDescent="0.25">
      <c r="A15" s="1" t="s">
        <v>12</v>
      </c>
      <c r="B15" s="2">
        <f>'Sweets &amp; Crisps'!J2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76"/>
  <sheetViews>
    <sheetView tabSelected="1" workbookViewId="0">
      <pane xSplit="2" ySplit="1" topLeftCell="C137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" customHeight="1" x14ac:dyDescent="0.25"/>
  <cols>
    <col min="1" max="1" width="7.44140625" customWidth="1"/>
    <col min="2" max="2" width="28.33203125" customWidth="1"/>
    <col min="3" max="3" width="11.88671875" customWidth="1"/>
    <col min="4" max="4" width="11" customWidth="1"/>
    <col min="5" max="5" width="11.33203125" customWidth="1"/>
    <col min="6" max="7" width="12.21875" customWidth="1"/>
    <col min="8" max="8" width="11.21875" customWidth="1"/>
    <col min="9" max="9" width="12.21875" customWidth="1"/>
    <col min="10" max="10" width="12.33203125" customWidth="1"/>
    <col min="11" max="11" width="16.44140625" customWidth="1"/>
    <col min="12" max="12" width="15.88671875" customWidth="1"/>
    <col min="13" max="13" width="25.88671875" customWidth="1"/>
    <col min="14" max="14" width="33.44140625" customWidth="1"/>
    <col min="15" max="15" width="14.44140625" customWidth="1"/>
    <col min="16" max="18" width="11.44140625" customWidth="1"/>
    <col min="19" max="30" width="10" customWidth="1"/>
  </cols>
  <sheetData>
    <row r="1" spans="1:30" ht="12.75" customHeight="1" x14ac:dyDescent="0.25">
      <c r="A1" s="3" t="s">
        <v>13</v>
      </c>
      <c r="B1" s="4" t="s">
        <v>14</v>
      </c>
      <c r="C1" s="5" t="s">
        <v>15</v>
      </c>
      <c r="D1" s="5" t="s">
        <v>16</v>
      </c>
      <c r="E1" s="5" t="s">
        <v>17</v>
      </c>
      <c r="F1" s="6" t="s">
        <v>18</v>
      </c>
      <c r="G1" s="7" t="s">
        <v>19</v>
      </c>
      <c r="H1" s="7" t="s">
        <v>20</v>
      </c>
      <c r="I1" s="7" t="s">
        <v>21</v>
      </c>
      <c r="J1" s="8" t="s">
        <v>22</v>
      </c>
      <c r="K1" s="9" t="s">
        <v>23</v>
      </c>
      <c r="L1" s="5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12.75" customHeight="1" x14ac:dyDescent="0.25">
      <c r="A2" s="10"/>
      <c r="B2" s="10"/>
      <c r="C2" s="10"/>
      <c r="D2" s="10"/>
      <c r="E2" s="10"/>
      <c r="F2" s="11"/>
      <c r="G2" s="12"/>
      <c r="H2" s="12"/>
      <c r="I2" s="12"/>
      <c r="J2" s="13"/>
      <c r="K2" s="9">
        <f>SUM(K3:K470)</f>
        <v>21319.049999999985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2.75" customHeight="1" x14ac:dyDescent="0.25">
      <c r="A3" s="3"/>
      <c r="B3" s="4"/>
      <c r="C3" s="5"/>
      <c r="D3" s="5"/>
      <c r="E3" s="5"/>
      <c r="F3" s="6"/>
      <c r="G3" s="7"/>
      <c r="H3" s="7"/>
      <c r="I3" s="7"/>
      <c r="J3" s="8"/>
      <c r="K3" s="9"/>
      <c r="L3" s="5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2.75" customHeight="1" x14ac:dyDescent="0.25">
      <c r="A4" s="3"/>
      <c r="B4" s="4"/>
      <c r="C4" s="5"/>
      <c r="D4" s="5"/>
      <c r="E4" s="5"/>
      <c r="F4" s="6"/>
      <c r="G4" s="7"/>
      <c r="H4" s="7"/>
      <c r="I4" s="7"/>
      <c r="J4" s="8"/>
      <c r="K4" s="9"/>
      <c r="L4" s="5"/>
      <c r="M4" s="9"/>
      <c r="N4" s="9"/>
      <c r="O4" s="9"/>
      <c r="P4" s="9"/>
      <c r="Q4" s="9"/>
      <c r="R4" s="9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2.75" customHeight="1" x14ac:dyDescent="0.3">
      <c r="A5" s="3"/>
      <c r="B5" s="15" t="s">
        <v>24</v>
      </c>
      <c r="C5" s="5"/>
      <c r="D5" s="5"/>
      <c r="E5" s="5"/>
      <c r="F5" s="6"/>
      <c r="G5" s="7"/>
      <c r="H5" s="7"/>
      <c r="I5" s="7"/>
      <c r="J5" s="8"/>
      <c r="K5" s="9"/>
      <c r="L5" s="5"/>
      <c r="M5" s="9"/>
      <c r="N5" s="9"/>
      <c r="O5" s="9"/>
      <c r="P5" s="9"/>
      <c r="Q5" s="9"/>
      <c r="R5" s="9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12.75" customHeight="1" x14ac:dyDescent="0.25">
      <c r="A6" s="3"/>
      <c r="B6" s="4"/>
      <c r="C6" s="5"/>
      <c r="D6" s="5"/>
      <c r="E6" s="5"/>
      <c r="F6" s="6"/>
      <c r="G6" s="7"/>
      <c r="H6" s="7"/>
      <c r="I6" s="7"/>
      <c r="J6" s="8"/>
      <c r="K6" s="9"/>
      <c r="L6" s="5"/>
      <c r="M6" s="9"/>
      <c r="N6" s="9"/>
      <c r="O6" s="9"/>
      <c r="P6" s="9"/>
      <c r="Q6" s="9"/>
      <c r="R6" s="9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spans="1:30" ht="12.75" customHeight="1" x14ac:dyDescent="0.25">
      <c r="A7" s="3"/>
      <c r="B7" s="4"/>
      <c r="C7" s="5"/>
      <c r="D7" s="5"/>
      <c r="E7" s="5"/>
      <c r="F7" s="6"/>
      <c r="G7" s="7"/>
      <c r="H7" s="7"/>
      <c r="I7" s="7"/>
      <c r="J7" s="8"/>
      <c r="K7" s="9"/>
      <c r="L7" s="5"/>
      <c r="M7" s="9"/>
      <c r="N7" s="9"/>
      <c r="O7" s="9"/>
      <c r="P7" s="9"/>
      <c r="Q7" s="9"/>
      <c r="R7" s="9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ht="12.75" customHeight="1" x14ac:dyDescent="0.25">
      <c r="A8" s="3"/>
      <c r="B8" s="4"/>
      <c r="C8" s="5"/>
      <c r="D8" s="5"/>
      <c r="E8" s="5"/>
      <c r="F8" s="6"/>
      <c r="G8" s="7"/>
      <c r="H8" s="7"/>
      <c r="I8" s="7"/>
      <c r="J8" s="8"/>
      <c r="K8" s="9"/>
      <c r="L8" s="5"/>
      <c r="M8" s="9"/>
      <c r="N8" s="9"/>
      <c r="O8" s="9"/>
      <c r="P8" s="9"/>
      <c r="Q8" s="9"/>
      <c r="R8" s="9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ht="12.75" customHeight="1" x14ac:dyDescent="0.3">
      <c r="A9" s="3"/>
      <c r="B9" s="15" t="s">
        <v>25</v>
      </c>
      <c r="C9" s="5"/>
      <c r="D9" s="5"/>
      <c r="E9" s="5"/>
      <c r="F9" s="6"/>
      <c r="G9" s="7"/>
      <c r="H9" s="7"/>
      <c r="I9" s="7"/>
      <c r="J9" s="8"/>
      <c r="K9" s="9"/>
      <c r="L9" s="5"/>
      <c r="M9" s="9"/>
      <c r="N9" s="9"/>
      <c r="O9" s="9"/>
      <c r="P9" s="9"/>
      <c r="Q9" s="9"/>
      <c r="R9" s="9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ht="12.75" customHeight="1" x14ac:dyDescent="0.25">
      <c r="A10" s="3"/>
      <c r="B10" s="4"/>
      <c r="C10" s="5"/>
      <c r="D10" s="5"/>
      <c r="E10" s="5"/>
      <c r="F10" s="6"/>
      <c r="G10" s="7"/>
      <c r="H10" s="7"/>
      <c r="I10" s="7"/>
      <c r="J10" s="8"/>
      <c r="K10" s="9"/>
      <c r="L10" s="5"/>
      <c r="M10" s="9"/>
      <c r="N10" s="9"/>
      <c r="O10" s="9"/>
      <c r="P10" s="9"/>
      <c r="Q10" s="9"/>
      <c r="R10" s="9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ht="12.75" customHeight="1" x14ac:dyDescent="0.25">
      <c r="A11" s="3">
        <v>700</v>
      </c>
      <c r="B11" s="4" t="s">
        <v>26</v>
      </c>
      <c r="C11" s="16">
        <v>8.7899999999999991</v>
      </c>
      <c r="D11" s="17">
        <v>9.9</v>
      </c>
      <c r="E11" s="17">
        <v>9.9</v>
      </c>
      <c r="F11" s="6" t="s">
        <v>27</v>
      </c>
      <c r="G11" s="7">
        <v>0</v>
      </c>
      <c r="H11" s="7">
        <v>2</v>
      </c>
      <c r="I11" s="7"/>
      <c r="J11" s="8">
        <f t="shared" ref="J11:J20" si="0">SUM(G11:I11)</f>
        <v>2</v>
      </c>
      <c r="K11" s="9">
        <f t="shared" ref="K11:K20" si="1">SUM(C11*J11)</f>
        <v>17.579999999999998</v>
      </c>
      <c r="L11" s="5"/>
      <c r="M11" s="18"/>
      <c r="N11" s="9"/>
      <c r="O11" s="9"/>
      <c r="P11" s="9"/>
      <c r="Q11" s="9"/>
      <c r="R11" s="9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12.75" customHeight="1" x14ac:dyDescent="0.25">
      <c r="A12" s="3">
        <v>700</v>
      </c>
      <c r="B12" s="4" t="s">
        <v>28</v>
      </c>
      <c r="C12" s="16">
        <v>10.23</v>
      </c>
      <c r="D12" s="17">
        <v>10.9</v>
      </c>
      <c r="E12" s="17">
        <v>10.9</v>
      </c>
      <c r="F12" s="6" t="s">
        <v>27</v>
      </c>
      <c r="G12" s="7"/>
      <c r="H12" s="7">
        <v>3</v>
      </c>
      <c r="I12" s="7"/>
      <c r="J12" s="8">
        <f t="shared" si="0"/>
        <v>3</v>
      </c>
      <c r="K12" s="9">
        <f t="shared" si="1"/>
        <v>30.69</v>
      </c>
      <c r="L12" s="5"/>
      <c r="M12" s="18"/>
      <c r="N12" s="9"/>
      <c r="O12" s="9"/>
      <c r="P12" s="9"/>
      <c r="Q12" s="9"/>
      <c r="R12" s="9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ht="12.75" customHeight="1" x14ac:dyDescent="0.25">
      <c r="A13" s="3">
        <v>700</v>
      </c>
      <c r="B13" s="19" t="s">
        <v>29</v>
      </c>
      <c r="C13" s="16">
        <v>14.4</v>
      </c>
      <c r="D13" s="17">
        <v>16.5</v>
      </c>
      <c r="E13" s="17">
        <v>16.5</v>
      </c>
      <c r="F13" s="6" t="s">
        <v>27</v>
      </c>
      <c r="G13" s="7"/>
      <c r="H13" s="7">
        <v>2</v>
      </c>
      <c r="I13" s="7"/>
      <c r="J13" s="8">
        <f t="shared" si="0"/>
        <v>2</v>
      </c>
      <c r="K13" s="9">
        <f t="shared" si="1"/>
        <v>28.8</v>
      </c>
      <c r="L13" s="5"/>
      <c r="M13" s="18"/>
      <c r="N13" s="9"/>
      <c r="O13" s="20"/>
      <c r="P13" s="21"/>
      <c r="Q13" s="21"/>
      <c r="R13" s="21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12.75" customHeight="1" x14ac:dyDescent="0.25">
      <c r="A14" s="3" t="s">
        <v>30</v>
      </c>
      <c r="B14" s="4" t="s">
        <v>31</v>
      </c>
      <c r="C14" s="16">
        <v>9.85</v>
      </c>
      <c r="D14" s="17">
        <v>11.95</v>
      </c>
      <c r="E14" s="17">
        <v>11.95</v>
      </c>
      <c r="F14" s="6" t="s">
        <v>27</v>
      </c>
      <c r="G14" s="7">
        <v>1</v>
      </c>
      <c r="H14" s="7">
        <v>7</v>
      </c>
      <c r="I14" s="7"/>
      <c r="J14" s="8">
        <f t="shared" si="0"/>
        <v>8</v>
      </c>
      <c r="K14" s="9">
        <f t="shared" si="1"/>
        <v>78.8</v>
      </c>
      <c r="L14" s="5"/>
      <c r="M14" s="18"/>
      <c r="N14" s="9"/>
      <c r="O14" s="9"/>
      <c r="P14" s="9"/>
      <c r="Q14" s="9"/>
      <c r="R14" s="9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ht="12.75" customHeight="1" x14ac:dyDescent="0.25">
      <c r="A15" s="3" t="s">
        <v>30</v>
      </c>
      <c r="B15" s="4" t="s">
        <v>32</v>
      </c>
      <c r="C15" s="16">
        <v>10.8</v>
      </c>
      <c r="D15" s="17">
        <v>12.95</v>
      </c>
      <c r="E15" s="17">
        <v>12.95</v>
      </c>
      <c r="F15" s="6" t="s">
        <v>27</v>
      </c>
      <c r="G15" s="7"/>
      <c r="H15" s="7">
        <v>8</v>
      </c>
      <c r="I15" s="7"/>
      <c r="J15" s="8">
        <f t="shared" si="0"/>
        <v>8</v>
      </c>
      <c r="K15" s="9">
        <f t="shared" si="1"/>
        <v>86.4</v>
      </c>
      <c r="L15" s="5"/>
      <c r="M15" s="18"/>
      <c r="N15" s="9"/>
      <c r="O15" s="9"/>
      <c r="P15" s="9"/>
      <c r="Q15" s="9"/>
      <c r="R15" s="9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ht="12.75" customHeight="1" x14ac:dyDescent="0.25">
      <c r="A16" s="3" t="s">
        <v>30</v>
      </c>
      <c r="B16" s="4" t="s">
        <v>33</v>
      </c>
      <c r="C16" s="16">
        <v>12.2</v>
      </c>
      <c r="D16" s="17">
        <v>13.95</v>
      </c>
      <c r="E16" s="17">
        <v>13.95</v>
      </c>
      <c r="F16" s="6" t="s">
        <v>27</v>
      </c>
      <c r="G16" s="7"/>
      <c r="H16" s="7">
        <v>7</v>
      </c>
      <c r="I16" s="7"/>
      <c r="J16" s="8">
        <f t="shared" si="0"/>
        <v>7</v>
      </c>
      <c r="K16" s="9">
        <f t="shared" si="1"/>
        <v>85.399999999999991</v>
      </c>
      <c r="L16" s="5"/>
      <c r="M16" s="18"/>
      <c r="N16" s="9"/>
      <c r="O16" s="9"/>
      <c r="P16" s="9"/>
      <c r="Q16" s="9"/>
      <c r="R16" s="9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ht="12.75" customHeight="1" x14ac:dyDescent="0.25">
      <c r="A17" s="3">
        <v>700</v>
      </c>
      <c r="B17" s="19" t="s">
        <v>34</v>
      </c>
      <c r="C17" s="17">
        <v>9.1999999999999993</v>
      </c>
      <c r="D17" s="17">
        <v>10.5</v>
      </c>
      <c r="E17" s="17">
        <v>11.5</v>
      </c>
      <c r="F17" s="6" t="s">
        <v>27</v>
      </c>
      <c r="G17" s="7"/>
      <c r="H17" s="7">
        <v>3</v>
      </c>
      <c r="I17" s="7"/>
      <c r="J17" s="8">
        <f t="shared" si="0"/>
        <v>3</v>
      </c>
      <c r="K17" s="9">
        <f t="shared" si="1"/>
        <v>27.599999999999998</v>
      </c>
      <c r="L17" s="5"/>
      <c r="M17" s="18"/>
      <c r="N17" s="21"/>
      <c r="O17" s="20"/>
      <c r="P17" s="21"/>
      <c r="Q17" s="21"/>
      <c r="R17" s="21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12.75" customHeight="1" x14ac:dyDescent="0.25">
      <c r="A18" s="3">
        <v>700</v>
      </c>
      <c r="B18" s="4" t="s">
        <v>35</v>
      </c>
      <c r="C18" s="16">
        <v>9.89</v>
      </c>
      <c r="D18" s="17">
        <v>11.5</v>
      </c>
      <c r="E18" s="17">
        <v>11.95</v>
      </c>
      <c r="F18" s="6" t="s">
        <v>27</v>
      </c>
      <c r="G18" s="7"/>
      <c r="H18" s="7"/>
      <c r="I18" s="7"/>
      <c r="J18" s="8">
        <f t="shared" si="0"/>
        <v>0</v>
      </c>
      <c r="K18" s="9">
        <f t="shared" si="1"/>
        <v>0</v>
      </c>
      <c r="L18" s="5"/>
      <c r="M18" s="18"/>
      <c r="N18" s="9"/>
      <c r="O18" s="9"/>
      <c r="P18" s="9"/>
      <c r="Q18" s="9"/>
      <c r="R18" s="9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ht="12.75" customHeight="1" x14ac:dyDescent="0.25">
      <c r="A19" s="3" t="s">
        <v>30</v>
      </c>
      <c r="B19" s="4" t="s">
        <v>36</v>
      </c>
      <c r="C19" s="16">
        <v>16.5</v>
      </c>
      <c r="D19" s="17">
        <v>18.5</v>
      </c>
      <c r="E19" s="17">
        <v>18.5</v>
      </c>
      <c r="F19" s="6" t="s">
        <v>27</v>
      </c>
      <c r="G19" s="7"/>
      <c r="H19" s="7">
        <v>4</v>
      </c>
      <c r="I19" s="7"/>
      <c r="J19" s="8">
        <f t="shared" si="0"/>
        <v>4</v>
      </c>
      <c r="K19" s="9">
        <f t="shared" si="1"/>
        <v>66</v>
      </c>
      <c r="L19" s="5"/>
      <c r="M19" s="18"/>
      <c r="N19" s="9"/>
      <c r="O19" s="9"/>
      <c r="P19" s="9"/>
      <c r="Q19" s="9"/>
      <c r="R19" s="9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ht="12.75" customHeight="1" x14ac:dyDescent="0.25">
      <c r="A20" s="3" t="s">
        <v>30</v>
      </c>
      <c r="B20" s="4" t="s">
        <v>37</v>
      </c>
      <c r="C20" s="16">
        <v>16.71</v>
      </c>
      <c r="D20" s="17">
        <v>18.5</v>
      </c>
      <c r="E20" s="17">
        <v>18.5</v>
      </c>
      <c r="F20" s="6" t="s">
        <v>27</v>
      </c>
      <c r="G20" s="7"/>
      <c r="H20" s="7">
        <v>4</v>
      </c>
      <c r="I20" s="7"/>
      <c r="J20" s="8">
        <f t="shared" si="0"/>
        <v>4</v>
      </c>
      <c r="K20" s="9">
        <f t="shared" si="1"/>
        <v>66.84</v>
      </c>
      <c r="L20" s="5"/>
      <c r="M20" s="18"/>
      <c r="N20" s="9"/>
      <c r="O20" s="9"/>
      <c r="P20" s="9"/>
      <c r="Q20" s="9"/>
      <c r="R20" s="9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ht="12.75" customHeight="1" x14ac:dyDescent="0.25">
      <c r="A21" s="3"/>
      <c r="B21" s="19"/>
      <c r="C21" s="5"/>
      <c r="D21" s="5"/>
      <c r="E21" s="5"/>
      <c r="F21" s="6"/>
      <c r="G21" s="7"/>
      <c r="H21" s="7"/>
      <c r="I21" s="7"/>
      <c r="J21" s="8"/>
      <c r="K21" s="9"/>
      <c r="L21" s="5"/>
      <c r="M21" s="9"/>
      <c r="N21" s="21"/>
      <c r="O21" s="20"/>
      <c r="P21" s="21"/>
      <c r="Q21" s="21"/>
      <c r="R21" s="21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12.75" customHeight="1" x14ac:dyDescent="0.25">
      <c r="A22" s="3"/>
      <c r="B22" s="19"/>
      <c r="C22" s="5"/>
      <c r="D22" s="5"/>
      <c r="E22" s="5"/>
      <c r="F22" s="6"/>
      <c r="G22" s="7"/>
      <c r="H22" s="7"/>
      <c r="I22" s="7"/>
      <c r="J22" s="8"/>
      <c r="K22" s="9"/>
      <c r="L22" s="5"/>
      <c r="M22" s="9"/>
      <c r="N22" s="21"/>
      <c r="O22" s="20"/>
      <c r="P22" s="21"/>
      <c r="Q22" s="21"/>
      <c r="R22" s="21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12.75" customHeight="1" x14ac:dyDescent="0.3">
      <c r="A23" s="3"/>
      <c r="B23" s="15" t="s">
        <v>38</v>
      </c>
      <c r="C23" s="5"/>
      <c r="D23" s="5"/>
      <c r="E23" s="5"/>
      <c r="F23" s="6"/>
      <c r="G23" s="7"/>
      <c r="H23" s="7"/>
      <c r="I23" s="7"/>
      <c r="J23" s="8"/>
      <c r="K23" s="9"/>
      <c r="L23" s="5"/>
      <c r="M23" s="9"/>
      <c r="N23" s="9"/>
      <c r="O23" s="9"/>
      <c r="P23" s="9"/>
      <c r="Q23" s="9"/>
      <c r="R23" s="9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1:30" ht="12.75" customHeight="1" x14ac:dyDescent="0.25">
      <c r="A24" s="3"/>
      <c r="B24" s="4"/>
      <c r="C24" s="5"/>
      <c r="D24" s="5"/>
      <c r="E24" s="5"/>
      <c r="F24" s="6"/>
      <c r="G24" s="7"/>
      <c r="H24" s="7"/>
      <c r="I24" s="7"/>
      <c r="J24" s="8"/>
      <c r="K24" s="9"/>
      <c r="L24" s="5"/>
      <c r="M24" s="9"/>
      <c r="N24" s="9"/>
      <c r="O24" s="9"/>
      <c r="P24" s="9"/>
      <c r="Q24" s="9"/>
      <c r="R24" s="9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1:30" ht="12.75" customHeight="1" x14ac:dyDescent="0.25">
      <c r="A25" s="3" t="s">
        <v>30</v>
      </c>
      <c r="B25" s="4" t="s">
        <v>39</v>
      </c>
      <c r="C25" s="17">
        <v>17.690000000000001</v>
      </c>
      <c r="D25" s="17">
        <v>18.95</v>
      </c>
      <c r="E25" s="17">
        <v>18.95</v>
      </c>
      <c r="F25" s="6" t="s">
        <v>27</v>
      </c>
      <c r="G25" s="7"/>
      <c r="H25" s="7">
        <v>2</v>
      </c>
      <c r="I25" s="7"/>
      <c r="J25" s="8">
        <f t="shared" ref="J25:J30" si="2">SUM(G25:I25)</f>
        <v>2</v>
      </c>
      <c r="K25" s="9">
        <f t="shared" ref="K25:K30" si="3">SUM(C25*J25)</f>
        <v>35.380000000000003</v>
      </c>
      <c r="L25" s="5"/>
      <c r="M25" s="18"/>
      <c r="N25" s="9"/>
      <c r="O25" s="9"/>
      <c r="P25" s="9"/>
      <c r="Q25" s="9"/>
      <c r="R25" s="9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1:30" ht="12.75" customHeight="1" x14ac:dyDescent="0.25">
      <c r="A26" s="3">
        <v>750</v>
      </c>
      <c r="B26" s="4" t="s">
        <v>40</v>
      </c>
      <c r="C26" s="17">
        <v>8.5</v>
      </c>
      <c r="D26" s="17">
        <v>10.5</v>
      </c>
      <c r="E26" s="17">
        <v>10.5</v>
      </c>
      <c r="F26" s="6" t="s">
        <v>27</v>
      </c>
      <c r="G26" s="7"/>
      <c r="H26" s="7">
        <v>2</v>
      </c>
      <c r="I26" s="7"/>
      <c r="J26" s="8">
        <f t="shared" si="2"/>
        <v>2</v>
      </c>
      <c r="K26" s="9">
        <f t="shared" si="3"/>
        <v>17</v>
      </c>
      <c r="L26" s="5"/>
      <c r="M26" s="18"/>
      <c r="N26" s="9"/>
      <c r="O26" s="9"/>
      <c r="P26" s="9"/>
      <c r="Q26" s="9"/>
      <c r="R26" s="9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12.75" customHeight="1" x14ac:dyDescent="0.25">
      <c r="A27" s="3" t="s">
        <v>30</v>
      </c>
      <c r="B27" s="4" t="s">
        <v>41</v>
      </c>
      <c r="C27" s="17">
        <v>9.1999999999999993</v>
      </c>
      <c r="D27" s="17">
        <v>10.5</v>
      </c>
      <c r="E27" s="17">
        <v>10.5</v>
      </c>
      <c r="F27" s="6" t="s">
        <v>27</v>
      </c>
      <c r="G27" s="7"/>
      <c r="H27" s="7">
        <v>2</v>
      </c>
      <c r="I27" s="7"/>
      <c r="J27" s="8">
        <f t="shared" si="2"/>
        <v>2</v>
      </c>
      <c r="K27" s="9">
        <f t="shared" si="3"/>
        <v>18.399999999999999</v>
      </c>
      <c r="L27" s="5"/>
      <c r="M27" s="18"/>
      <c r="N27" s="9"/>
      <c r="O27" s="9"/>
      <c r="P27" s="9"/>
      <c r="Q27" s="9"/>
      <c r="R27" s="9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ht="12.75" customHeight="1" x14ac:dyDescent="0.25">
      <c r="A28" s="3" t="s">
        <v>30</v>
      </c>
      <c r="B28" s="4" t="s">
        <v>42</v>
      </c>
      <c r="C28" s="17">
        <v>9.51</v>
      </c>
      <c r="D28" s="17">
        <v>10.5</v>
      </c>
      <c r="E28" s="17">
        <v>10.5</v>
      </c>
      <c r="F28" s="6" t="s">
        <v>27</v>
      </c>
      <c r="G28" s="7"/>
      <c r="H28" s="7">
        <v>8</v>
      </c>
      <c r="I28" s="7"/>
      <c r="J28" s="8">
        <f t="shared" si="2"/>
        <v>8</v>
      </c>
      <c r="K28" s="9">
        <f t="shared" si="3"/>
        <v>76.08</v>
      </c>
      <c r="L28" s="5"/>
      <c r="M28" s="18"/>
      <c r="N28" s="9"/>
      <c r="O28" s="9"/>
      <c r="P28" s="9"/>
      <c r="Q28" s="9"/>
      <c r="R28" s="9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12.75" customHeight="1" x14ac:dyDescent="0.25">
      <c r="A29" s="3" t="s">
        <v>30</v>
      </c>
      <c r="B29" s="4" t="s">
        <v>43</v>
      </c>
      <c r="C29" s="17">
        <v>9.1999999999999993</v>
      </c>
      <c r="D29" s="17">
        <v>10.5</v>
      </c>
      <c r="E29" s="17">
        <v>10.5</v>
      </c>
      <c r="F29" s="6" t="s">
        <v>27</v>
      </c>
      <c r="G29" s="7"/>
      <c r="H29" s="7">
        <v>8</v>
      </c>
      <c r="I29" s="7"/>
      <c r="J29" s="8">
        <f t="shared" si="2"/>
        <v>8</v>
      </c>
      <c r="K29" s="9">
        <f t="shared" si="3"/>
        <v>73.599999999999994</v>
      </c>
      <c r="L29" s="5"/>
      <c r="M29" s="18"/>
      <c r="N29" s="9"/>
      <c r="O29" s="9"/>
      <c r="P29" s="9"/>
      <c r="Q29" s="9"/>
      <c r="R29" s="9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12.75" customHeight="1" x14ac:dyDescent="0.25">
      <c r="A30" s="3" t="s">
        <v>30</v>
      </c>
      <c r="B30" s="10" t="s">
        <v>44</v>
      </c>
      <c r="C30" s="22">
        <v>6.69</v>
      </c>
      <c r="D30" s="22">
        <v>7.5</v>
      </c>
      <c r="E30" s="22">
        <v>7.7</v>
      </c>
      <c r="F30" s="6" t="s">
        <v>27</v>
      </c>
      <c r="G30" s="23"/>
      <c r="H30" s="23">
        <v>3</v>
      </c>
      <c r="I30" s="23"/>
      <c r="J30" s="8">
        <f t="shared" si="2"/>
        <v>3</v>
      </c>
      <c r="K30" s="9">
        <f t="shared" si="3"/>
        <v>20.07</v>
      </c>
      <c r="L30" s="24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2.75" customHeight="1" x14ac:dyDescent="0.25">
      <c r="A31" s="3"/>
      <c r="B31" s="19"/>
      <c r="C31" s="5"/>
      <c r="D31" s="5"/>
      <c r="E31" s="5"/>
      <c r="F31" s="6"/>
      <c r="G31" s="7"/>
      <c r="H31" s="7"/>
      <c r="I31" s="7"/>
      <c r="J31" s="8"/>
      <c r="K31" s="9"/>
      <c r="L31" s="5"/>
      <c r="M31" s="9"/>
      <c r="N31" s="21"/>
      <c r="O31" s="20"/>
      <c r="P31" s="21"/>
      <c r="Q31" s="21"/>
      <c r="R31" s="21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2.75" customHeight="1" x14ac:dyDescent="0.3">
      <c r="A32" s="3"/>
      <c r="B32" s="15" t="s">
        <v>45</v>
      </c>
      <c r="C32" s="5"/>
      <c r="D32" s="5"/>
      <c r="E32" s="5"/>
      <c r="F32" s="6"/>
      <c r="G32" s="7"/>
      <c r="H32" s="7"/>
      <c r="I32" s="7"/>
      <c r="J32" s="8"/>
      <c r="K32" s="9"/>
      <c r="L32" s="5"/>
      <c r="M32" s="9"/>
      <c r="N32" s="9"/>
      <c r="O32" s="9"/>
      <c r="P32" s="9"/>
      <c r="Q32" s="9"/>
      <c r="R32" s="9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ht="12.75" customHeight="1" x14ac:dyDescent="0.3">
      <c r="A33" s="3"/>
      <c r="B33" s="15"/>
      <c r="C33" s="5"/>
      <c r="D33" s="5"/>
      <c r="E33" s="5"/>
      <c r="F33" s="6"/>
      <c r="G33" s="7"/>
      <c r="H33" s="7"/>
      <c r="I33" s="7"/>
      <c r="J33" s="8"/>
      <c r="K33" s="9"/>
      <c r="L33" s="5"/>
      <c r="M33" s="9"/>
      <c r="N33" s="9"/>
      <c r="O33" s="9"/>
      <c r="P33" s="9"/>
      <c r="Q33" s="9"/>
      <c r="R33" s="9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ht="12.75" customHeight="1" x14ac:dyDescent="0.25">
      <c r="A34" s="3" t="s">
        <v>30</v>
      </c>
      <c r="B34" s="25">
        <v>103</v>
      </c>
      <c r="C34" s="17">
        <v>12.34</v>
      </c>
      <c r="D34" s="17">
        <v>13.5</v>
      </c>
      <c r="E34" s="17">
        <v>13.95</v>
      </c>
      <c r="F34" s="6" t="s">
        <v>27</v>
      </c>
      <c r="G34" s="7"/>
      <c r="H34" s="7">
        <v>1</v>
      </c>
      <c r="I34" s="7"/>
      <c r="J34" s="8">
        <f t="shared" ref="J34:J51" si="4">SUM(G34:I34)</f>
        <v>1</v>
      </c>
      <c r="K34" s="9">
        <f t="shared" ref="K34:K51" si="5">SUM(C34*J34)</f>
        <v>12.34</v>
      </c>
      <c r="L34" s="5"/>
      <c r="M34" s="18"/>
      <c r="N34" s="9"/>
      <c r="O34" s="9"/>
      <c r="P34" s="9"/>
      <c r="Q34" s="9"/>
      <c r="R34" s="9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ht="12.75" customHeight="1" x14ac:dyDescent="0.25">
      <c r="A35" s="3" t="s">
        <v>30</v>
      </c>
      <c r="B35" s="25" t="s">
        <v>46</v>
      </c>
      <c r="C35" s="17">
        <v>17.73</v>
      </c>
      <c r="D35" s="17">
        <v>19.95</v>
      </c>
      <c r="E35" s="17">
        <v>22</v>
      </c>
      <c r="F35" s="6" t="s">
        <v>27</v>
      </c>
      <c r="G35" s="7"/>
      <c r="H35" s="7">
        <v>3</v>
      </c>
      <c r="I35" s="7"/>
      <c r="J35" s="8">
        <f t="shared" si="4"/>
        <v>3</v>
      </c>
      <c r="K35" s="9">
        <f t="shared" si="5"/>
        <v>53.19</v>
      </c>
      <c r="L35" s="5"/>
      <c r="M35" s="9"/>
      <c r="N35" s="21"/>
      <c r="O35" s="9"/>
      <c r="P35" s="21"/>
      <c r="Q35" s="21"/>
      <c r="R35" s="21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2.75" customHeight="1" x14ac:dyDescent="0.25">
      <c r="A36" s="3">
        <v>700</v>
      </c>
      <c r="B36" s="25" t="s">
        <v>47</v>
      </c>
      <c r="C36" s="17">
        <v>20.23</v>
      </c>
      <c r="D36" s="17">
        <v>24</v>
      </c>
      <c r="E36" s="17">
        <v>24.95</v>
      </c>
      <c r="F36" s="6" t="s">
        <v>27</v>
      </c>
      <c r="G36" s="7"/>
      <c r="H36" s="7">
        <v>5</v>
      </c>
      <c r="I36" s="7"/>
      <c r="J36" s="8">
        <f t="shared" si="4"/>
        <v>5</v>
      </c>
      <c r="K36" s="9">
        <f t="shared" si="5"/>
        <v>101.15</v>
      </c>
      <c r="L36" s="5"/>
      <c r="M36" s="9"/>
      <c r="N36" s="9"/>
      <c r="O36" s="9"/>
      <c r="P36" s="21"/>
      <c r="Q36" s="21"/>
      <c r="R36" s="21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2.75" customHeight="1" x14ac:dyDescent="0.25">
      <c r="A37" s="3">
        <v>700</v>
      </c>
      <c r="B37" s="25" t="s">
        <v>48</v>
      </c>
      <c r="C37" s="17">
        <v>19.670000000000002</v>
      </c>
      <c r="D37" s="17">
        <v>23.5</v>
      </c>
      <c r="E37" s="17">
        <v>23.95</v>
      </c>
      <c r="F37" s="6" t="s">
        <v>49</v>
      </c>
      <c r="G37" s="7"/>
      <c r="H37" s="7">
        <v>1</v>
      </c>
      <c r="I37" s="7"/>
      <c r="J37" s="8">
        <f t="shared" si="4"/>
        <v>1</v>
      </c>
      <c r="K37" s="9">
        <f t="shared" si="5"/>
        <v>19.670000000000002</v>
      </c>
      <c r="L37" s="5"/>
      <c r="M37" s="9"/>
      <c r="N37" s="21"/>
      <c r="O37" s="9"/>
      <c r="P37" s="21"/>
      <c r="Q37" s="21"/>
      <c r="R37" s="21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2.75" customHeight="1" x14ac:dyDescent="0.25">
      <c r="A38" s="3" t="s">
        <v>30</v>
      </c>
      <c r="B38" s="25" t="s">
        <v>48</v>
      </c>
      <c r="C38" s="17">
        <v>24.55</v>
      </c>
      <c r="D38" s="17">
        <v>29.95</v>
      </c>
      <c r="E38" s="17">
        <v>29.95</v>
      </c>
      <c r="F38" s="6" t="s">
        <v>49</v>
      </c>
      <c r="G38" s="7"/>
      <c r="H38" s="7">
        <v>3</v>
      </c>
      <c r="I38" s="7"/>
      <c r="J38" s="8">
        <f t="shared" si="4"/>
        <v>3</v>
      </c>
      <c r="K38" s="9">
        <f t="shared" si="5"/>
        <v>73.650000000000006</v>
      </c>
      <c r="L38" s="5"/>
      <c r="M38" s="9"/>
      <c r="N38" s="21"/>
      <c r="O38" s="9"/>
      <c r="P38" s="21"/>
      <c r="Q38" s="21"/>
      <c r="R38" s="21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2.75" customHeight="1" x14ac:dyDescent="0.25">
      <c r="A39" s="3">
        <v>700</v>
      </c>
      <c r="B39" s="19" t="s">
        <v>50</v>
      </c>
      <c r="C39" s="5"/>
      <c r="D39" s="17">
        <v>12.5</v>
      </c>
      <c r="E39" s="17">
        <v>12.5</v>
      </c>
      <c r="F39" s="6" t="s">
        <v>27</v>
      </c>
      <c r="G39" s="7"/>
      <c r="H39" s="7"/>
      <c r="I39" s="7"/>
      <c r="J39" s="8">
        <f t="shared" si="4"/>
        <v>0</v>
      </c>
      <c r="K39" s="9">
        <f t="shared" si="5"/>
        <v>0</v>
      </c>
      <c r="L39" s="5"/>
      <c r="M39" s="9"/>
      <c r="N39" s="9"/>
      <c r="O39" s="9"/>
      <c r="P39" s="21"/>
      <c r="Q39" s="21"/>
      <c r="R39" s="21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2.75" customHeight="1" x14ac:dyDescent="0.25">
      <c r="A40" s="3">
        <v>700</v>
      </c>
      <c r="B40" s="19" t="s">
        <v>51</v>
      </c>
      <c r="C40" s="5">
        <v>21.57</v>
      </c>
      <c r="D40" s="5">
        <v>24</v>
      </c>
      <c r="E40" s="5">
        <v>24.95</v>
      </c>
      <c r="F40" s="6" t="s">
        <v>27</v>
      </c>
      <c r="G40" s="7"/>
      <c r="H40" s="7"/>
      <c r="I40" s="7"/>
      <c r="J40" s="8">
        <f t="shared" si="4"/>
        <v>0</v>
      </c>
      <c r="K40" s="9">
        <f t="shared" si="5"/>
        <v>0</v>
      </c>
      <c r="L40" s="5"/>
      <c r="M40" s="9"/>
      <c r="N40" s="21"/>
      <c r="O40" s="9"/>
      <c r="P40" s="21"/>
      <c r="Q40" s="21"/>
      <c r="R40" s="21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2.75" customHeight="1" x14ac:dyDescent="0.25">
      <c r="A41" s="3">
        <v>700</v>
      </c>
      <c r="B41" s="19" t="s">
        <v>52</v>
      </c>
      <c r="C41" s="17">
        <v>19.61</v>
      </c>
      <c r="D41" s="17">
        <v>24</v>
      </c>
      <c r="E41" s="17">
        <v>24.95</v>
      </c>
      <c r="F41" s="6" t="s">
        <v>27</v>
      </c>
      <c r="G41" s="7"/>
      <c r="H41" s="7"/>
      <c r="I41" s="7"/>
      <c r="J41" s="8">
        <f t="shared" si="4"/>
        <v>0</v>
      </c>
      <c r="K41" s="9">
        <f t="shared" si="5"/>
        <v>0</v>
      </c>
      <c r="L41" s="5"/>
      <c r="M41" s="9"/>
      <c r="N41" s="9"/>
      <c r="O41" s="9"/>
      <c r="P41" s="21"/>
      <c r="Q41" s="21"/>
      <c r="R41" s="21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2.75" customHeight="1" x14ac:dyDescent="0.25">
      <c r="A42" s="3" t="s">
        <v>30</v>
      </c>
      <c r="B42" s="19" t="s">
        <v>53</v>
      </c>
      <c r="C42" s="17">
        <v>13.04</v>
      </c>
      <c r="D42" s="17">
        <v>14.95</v>
      </c>
      <c r="E42" s="17">
        <v>14.95</v>
      </c>
      <c r="F42" s="6" t="s">
        <v>49</v>
      </c>
      <c r="G42" s="7">
        <v>6</v>
      </c>
      <c r="H42" s="7">
        <v>2</v>
      </c>
      <c r="I42" s="7"/>
      <c r="J42" s="8">
        <f t="shared" si="4"/>
        <v>8</v>
      </c>
      <c r="K42" s="9">
        <f t="shared" si="5"/>
        <v>104.32</v>
      </c>
      <c r="L42" s="5"/>
      <c r="M42" s="9"/>
      <c r="N42" s="21"/>
      <c r="O42" s="9"/>
      <c r="P42" s="21"/>
      <c r="Q42" s="21"/>
      <c r="R42" s="21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2.75" customHeight="1" x14ac:dyDescent="0.25">
      <c r="A43" s="3" t="s">
        <v>30</v>
      </c>
      <c r="B43" s="19" t="s">
        <v>54</v>
      </c>
      <c r="C43" s="17">
        <v>14.08</v>
      </c>
      <c r="D43" s="17">
        <v>17.95</v>
      </c>
      <c r="E43" s="17">
        <v>17.95</v>
      </c>
      <c r="F43" s="6" t="s">
        <v>27</v>
      </c>
      <c r="G43" s="7"/>
      <c r="H43" s="7"/>
      <c r="I43" s="7"/>
      <c r="J43" s="8">
        <f t="shared" si="4"/>
        <v>0</v>
      </c>
      <c r="K43" s="9">
        <f t="shared" si="5"/>
        <v>0</v>
      </c>
      <c r="L43" s="5"/>
      <c r="M43" s="9"/>
      <c r="N43" s="9"/>
      <c r="O43" s="9"/>
      <c r="P43" s="21"/>
      <c r="Q43" s="21"/>
      <c r="R43" s="21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2.75" customHeight="1" x14ac:dyDescent="0.25">
      <c r="A44" s="3" t="s">
        <v>30</v>
      </c>
      <c r="B44" s="19" t="s">
        <v>55</v>
      </c>
      <c r="C44" s="17">
        <v>16.82</v>
      </c>
      <c r="D44" s="17">
        <v>19.95</v>
      </c>
      <c r="E44" s="17">
        <v>19.95</v>
      </c>
      <c r="F44" s="6" t="s">
        <v>27</v>
      </c>
      <c r="G44" s="7"/>
      <c r="H44" s="7">
        <v>2</v>
      </c>
      <c r="I44" s="7"/>
      <c r="J44" s="8">
        <f t="shared" si="4"/>
        <v>2</v>
      </c>
      <c r="K44" s="9">
        <f t="shared" si="5"/>
        <v>33.64</v>
      </c>
      <c r="L44" s="5"/>
      <c r="M44" s="9"/>
      <c r="N44" s="21"/>
      <c r="O44" s="9"/>
      <c r="P44" s="21"/>
      <c r="Q44" s="21"/>
      <c r="R44" s="21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2.75" customHeight="1" x14ac:dyDescent="0.25">
      <c r="A45" s="3">
        <v>700</v>
      </c>
      <c r="B45" s="19" t="s">
        <v>56</v>
      </c>
      <c r="C45" s="17">
        <v>9.98</v>
      </c>
      <c r="D45" s="5">
        <v>11.5</v>
      </c>
      <c r="E45" s="5">
        <v>11.5</v>
      </c>
      <c r="F45" s="6" t="s">
        <v>27</v>
      </c>
      <c r="G45" s="7"/>
      <c r="H45" s="7">
        <v>6</v>
      </c>
      <c r="I45" s="7"/>
      <c r="J45" s="8">
        <f t="shared" si="4"/>
        <v>6</v>
      </c>
      <c r="K45" s="9">
        <f t="shared" si="5"/>
        <v>59.88</v>
      </c>
      <c r="L45" s="5"/>
      <c r="M45" s="9"/>
      <c r="N45" s="21"/>
      <c r="O45" s="9"/>
      <c r="P45" s="21"/>
      <c r="Q45" s="21"/>
      <c r="R45" s="21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2.75" customHeight="1" x14ac:dyDescent="0.25">
      <c r="A46" s="3" t="s">
        <v>30</v>
      </c>
      <c r="B46" s="19" t="s">
        <v>57</v>
      </c>
      <c r="C46" s="17">
        <v>9.8699999999999992</v>
      </c>
      <c r="D46" s="17">
        <v>11.5</v>
      </c>
      <c r="E46" s="17">
        <v>11.5</v>
      </c>
      <c r="F46" s="6" t="s">
        <v>27</v>
      </c>
      <c r="G46" s="7">
        <v>3</v>
      </c>
      <c r="H46" s="7">
        <v>9</v>
      </c>
      <c r="I46" s="7"/>
      <c r="J46" s="8">
        <f t="shared" si="4"/>
        <v>12</v>
      </c>
      <c r="K46" s="9">
        <f t="shared" si="5"/>
        <v>118.44</v>
      </c>
      <c r="L46" s="5"/>
      <c r="M46" s="9"/>
      <c r="N46" s="21"/>
      <c r="O46" s="9"/>
      <c r="P46" s="21"/>
      <c r="Q46" s="21"/>
      <c r="R46" s="21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2.75" customHeight="1" x14ac:dyDescent="0.25">
      <c r="A47" s="3" t="s">
        <v>30</v>
      </c>
      <c r="B47" s="19" t="s">
        <v>58</v>
      </c>
      <c r="C47" s="17">
        <v>9.92</v>
      </c>
      <c r="D47" s="17">
        <v>11.5</v>
      </c>
      <c r="E47" s="17">
        <v>11.5</v>
      </c>
      <c r="F47" s="6" t="s">
        <v>27</v>
      </c>
      <c r="G47" s="7"/>
      <c r="H47" s="7">
        <v>5</v>
      </c>
      <c r="I47" s="7"/>
      <c r="J47" s="8">
        <f t="shared" si="4"/>
        <v>5</v>
      </c>
      <c r="K47" s="9">
        <f t="shared" si="5"/>
        <v>49.6</v>
      </c>
      <c r="L47" s="5"/>
      <c r="M47" s="9"/>
      <c r="N47" s="21"/>
      <c r="O47" s="9"/>
      <c r="P47" s="21"/>
      <c r="Q47" s="21"/>
      <c r="R47" s="21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2.75" customHeight="1" x14ac:dyDescent="0.25">
      <c r="A48" s="3" t="s">
        <v>30</v>
      </c>
      <c r="B48" s="19" t="s">
        <v>59</v>
      </c>
      <c r="C48" s="17">
        <v>5.97</v>
      </c>
      <c r="D48" s="17">
        <v>7.5</v>
      </c>
      <c r="E48" s="17">
        <v>7.95</v>
      </c>
      <c r="F48" s="6" t="s">
        <v>27</v>
      </c>
      <c r="G48" s="7">
        <v>4</v>
      </c>
      <c r="H48" s="7">
        <v>4</v>
      </c>
      <c r="I48" s="7"/>
      <c r="J48" s="8">
        <f t="shared" si="4"/>
        <v>8</v>
      </c>
      <c r="K48" s="9">
        <f t="shared" si="5"/>
        <v>47.76</v>
      </c>
      <c r="L48" s="5"/>
      <c r="M48" s="9"/>
      <c r="N48" s="21"/>
      <c r="O48" s="9"/>
      <c r="P48" s="21"/>
      <c r="Q48" s="21"/>
      <c r="R48" s="21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2.75" customHeight="1" x14ac:dyDescent="0.25">
      <c r="A49" s="3">
        <v>700</v>
      </c>
      <c r="B49" s="19" t="s">
        <v>60</v>
      </c>
      <c r="C49" s="17">
        <v>11.77</v>
      </c>
      <c r="D49" s="26">
        <v>12.95</v>
      </c>
      <c r="E49" s="26">
        <v>12.95</v>
      </c>
      <c r="F49" s="6" t="s">
        <v>27</v>
      </c>
      <c r="G49" s="7"/>
      <c r="H49" s="7"/>
      <c r="I49" s="7"/>
      <c r="J49" s="8">
        <f t="shared" si="4"/>
        <v>0</v>
      </c>
      <c r="K49" s="9">
        <f t="shared" si="5"/>
        <v>0</v>
      </c>
      <c r="L49" s="5"/>
      <c r="M49" s="9"/>
      <c r="N49" s="21"/>
      <c r="O49" s="9"/>
      <c r="P49" s="21"/>
      <c r="Q49" s="21"/>
      <c r="R49" s="21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2.75" customHeight="1" x14ac:dyDescent="0.25">
      <c r="A50" s="3">
        <v>700</v>
      </c>
      <c r="B50" s="19" t="s">
        <v>61</v>
      </c>
      <c r="C50" s="17">
        <v>9.07</v>
      </c>
      <c r="D50" s="17">
        <v>10.95</v>
      </c>
      <c r="E50" s="17">
        <v>10.95</v>
      </c>
      <c r="F50" s="6" t="s">
        <v>27</v>
      </c>
      <c r="G50" s="7"/>
      <c r="H50" s="7"/>
      <c r="I50" s="7"/>
      <c r="J50" s="8">
        <f t="shared" si="4"/>
        <v>0</v>
      </c>
      <c r="K50" s="9">
        <f t="shared" si="5"/>
        <v>0</v>
      </c>
      <c r="L50" s="5"/>
      <c r="M50" s="9"/>
      <c r="N50" s="9"/>
      <c r="O50" s="9"/>
      <c r="P50" s="9"/>
      <c r="Q50" s="9"/>
      <c r="R50" s="9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1:30" ht="12.75" customHeight="1" x14ac:dyDescent="0.25">
      <c r="A51" s="27" t="s">
        <v>30</v>
      </c>
      <c r="B51" s="19" t="s">
        <v>62</v>
      </c>
      <c r="C51" s="28">
        <v>10.74</v>
      </c>
      <c r="D51" s="17">
        <v>11.5</v>
      </c>
      <c r="E51" s="17">
        <v>11.5</v>
      </c>
      <c r="F51" s="6" t="s">
        <v>27</v>
      </c>
      <c r="G51" s="7"/>
      <c r="H51" s="7">
        <v>2</v>
      </c>
      <c r="I51" s="7"/>
      <c r="J51" s="8">
        <f t="shared" si="4"/>
        <v>2</v>
      </c>
      <c r="K51" s="9">
        <f t="shared" si="5"/>
        <v>21.48</v>
      </c>
      <c r="L51" s="5"/>
      <c r="M51" s="9"/>
      <c r="N51" s="21"/>
      <c r="O51" s="9"/>
      <c r="P51" s="21"/>
      <c r="Q51" s="21"/>
      <c r="R51" s="21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2.75" customHeight="1" x14ac:dyDescent="0.25">
      <c r="A52" s="3"/>
      <c r="B52" s="19"/>
      <c r="C52" s="5"/>
      <c r="D52" s="5" t="s">
        <v>63</v>
      </c>
      <c r="E52" s="5"/>
      <c r="F52" s="6"/>
      <c r="G52" s="7"/>
      <c r="H52" s="7"/>
      <c r="I52" s="7"/>
      <c r="J52" s="8"/>
      <c r="K52" s="9"/>
      <c r="L52" s="5"/>
      <c r="M52" s="9"/>
      <c r="N52" s="21"/>
      <c r="O52" s="9"/>
      <c r="P52" s="21"/>
      <c r="Q52" s="21"/>
      <c r="R52" s="21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2.75" customHeight="1" x14ac:dyDescent="0.25">
      <c r="A53" s="3"/>
      <c r="B53" s="19"/>
      <c r="C53" s="5"/>
      <c r="D53" s="5"/>
      <c r="E53" s="5"/>
      <c r="F53" s="6"/>
      <c r="G53" s="7"/>
      <c r="H53" s="7"/>
      <c r="I53" s="7"/>
      <c r="J53" s="8"/>
      <c r="K53" s="9"/>
      <c r="L53" s="5"/>
      <c r="M53" s="9"/>
      <c r="N53" s="21"/>
      <c r="O53" s="9"/>
      <c r="P53" s="21"/>
      <c r="Q53" s="21"/>
      <c r="R53" s="21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2.75" customHeight="1" x14ac:dyDescent="0.3">
      <c r="A54" s="3"/>
      <c r="B54" s="15" t="s">
        <v>64</v>
      </c>
      <c r="C54" s="5"/>
      <c r="D54" s="5"/>
      <c r="E54" s="5"/>
      <c r="F54" s="6"/>
      <c r="G54" s="7"/>
      <c r="H54" s="7"/>
      <c r="I54" s="7"/>
      <c r="J54" s="8"/>
      <c r="K54" s="9"/>
      <c r="L54" s="5"/>
      <c r="M54" s="9"/>
      <c r="N54" s="9"/>
      <c r="O54" s="9"/>
      <c r="P54" s="9"/>
      <c r="Q54" s="9"/>
      <c r="R54" s="9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1:30" ht="12.75" customHeight="1" x14ac:dyDescent="0.25">
      <c r="A55" s="3"/>
      <c r="B55" s="4"/>
      <c r="C55" s="5"/>
      <c r="D55" s="5"/>
      <c r="E55" s="5"/>
      <c r="F55" s="6"/>
      <c r="G55" s="7"/>
      <c r="H55" s="7"/>
      <c r="I55" s="7"/>
      <c r="J55" s="8"/>
      <c r="K55" s="9"/>
      <c r="L55" s="5"/>
      <c r="M55" s="9"/>
      <c r="N55" s="9"/>
      <c r="O55" s="9"/>
      <c r="P55" s="9"/>
      <c r="Q55" s="9"/>
      <c r="R55" s="9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1:30" ht="12.75" customHeight="1" x14ac:dyDescent="0.25">
      <c r="A56" s="3" t="s">
        <v>65</v>
      </c>
      <c r="B56" s="19" t="s">
        <v>66</v>
      </c>
      <c r="C56" s="17">
        <v>31.47</v>
      </c>
      <c r="D56" s="17">
        <v>37.5</v>
      </c>
      <c r="E56" s="17">
        <v>39.5</v>
      </c>
      <c r="F56" s="6" t="s">
        <v>49</v>
      </c>
      <c r="G56" s="7"/>
      <c r="H56" s="7">
        <v>0</v>
      </c>
      <c r="I56" s="7"/>
      <c r="J56" s="8">
        <f t="shared" ref="J56:J58" si="6">SUM(G56:I56)</f>
        <v>0</v>
      </c>
      <c r="K56" s="9">
        <f t="shared" ref="K56:K58" si="7">SUM(C56*J56)</f>
        <v>0</v>
      </c>
      <c r="L56" s="5"/>
      <c r="M56" s="9"/>
      <c r="N56" s="21"/>
      <c r="O56" s="9"/>
      <c r="P56" s="21"/>
      <c r="Q56" s="21"/>
      <c r="R56" s="21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2.75" customHeight="1" x14ac:dyDescent="0.25">
      <c r="A57" s="3">
        <v>700</v>
      </c>
      <c r="B57" s="19" t="s">
        <v>67</v>
      </c>
      <c r="C57" s="17">
        <v>36.33</v>
      </c>
      <c r="D57" s="22">
        <v>39</v>
      </c>
      <c r="E57" s="17">
        <v>39</v>
      </c>
      <c r="F57" s="6" t="s">
        <v>27</v>
      </c>
      <c r="G57" s="7"/>
      <c r="H57" s="7">
        <v>4</v>
      </c>
      <c r="I57" s="7"/>
      <c r="J57" s="8">
        <f t="shared" si="6"/>
        <v>4</v>
      </c>
      <c r="K57" s="9">
        <f t="shared" si="7"/>
        <v>145.32</v>
      </c>
      <c r="L57" s="5"/>
      <c r="M57" s="9"/>
      <c r="N57" s="21"/>
      <c r="O57" s="9"/>
      <c r="P57" s="21"/>
      <c r="Q57" s="21"/>
      <c r="R57" s="21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2.75" customHeight="1" x14ac:dyDescent="0.25">
      <c r="A58" s="3">
        <v>700</v>
      </c>
      <c r="B58" s="19" t="s">
        <v>68</v>
      </c>
      <c r="C58" s="17">
        <v>35</v>
      </c>
      <c r="D58" s="17">
        <v>37.5</v>
      </c>
      <c r="E58" s="17">
        <v>37.5</v>
      </c>
      <c r="F58" s="6" t="s">
        <v>27</v>
      </c>
      <c r="G58" s="7"/>
      <c r="H58" s="7">
        <v>5</v>
      </c>
      <c r="I58" s="7"/>
      <c r="J58" s="8">
        <f t="shared" si="6"/>
        <v>5</v>
      </c>
      <c r="K58" s="9">
        <f t="shared" si="7"/>
        <v>175</v>
      </c>
      <c r="L58" s="5"/>
      <c r="M58" s="9"/>
      <c r="N58" s="21"/>
      <c r="O58" s="9"/>
      <c r="P58" s="21"/>
      <c r="Q58" s="21"/>
      <c r="R58" s="21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2.75" customHeight="1" x14ac:dyDescent="0.25">
      <c r="A59" s="3"/>
      <c r="B59" s="19"/>
      <c r="C59" s="5"/>
      <c r="D59" s="5"/>
      <c r="E59" s="5"/>
      <c r="F59" s="6"/>
      <c r="G59" s="7"/>
      <c r="H59" s="7"/>
      <c r="I59" s="7"/>
      <c r="J59" s="8"/>
      <c r="K59" s="9"/>
      <c r="L59" s="5"/>
      <c r="M59" s="9"/>
      <c r="N59" s="21"/>
      <c r="O59" s="9"/>
      <c r="P59" s="21"/>
      <c r="Q59" s="21"/>
      <c r="R59" s="21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2.75" customHeight="1" x14ac:dyDescent="0.3">
      <c r="A60" s="3"/>
      <c r="B60" s="15" t="s">
        <v>69</v>
      </c>
      <c r="C60" s="5"/>
      <c r="D60" s="5"/>
      <c r="E60" s="5"/>
      <c r="F60" s="6"/>
      <c r="G60" s="7"/>
      <c r="H60" s="7"/>
      <c r="I60" s="7"/>
      <c r="J60" s="8"/>
      <c r="K60" s="9"/>
      <c r="L60" s="5"/>
      <c r="M60" s="9"/>
      <c r="N60" s="9"/>
      <c r="O60" s="9"/>
      <c r="P60" s="9"/>
      <c r="Q60" s="9"/>
      <c r="R60" s="9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1:30" ht="12.75" customHeight="1" x14ac:dyDescent="0.25">
      <c r="A61" s="3"/>
      <c r="B61" s="4"/>
      <c r="C61" s="5"/>
      <c r="D61" s="5"/>
      <c r="E61" s="5"/>
      <c r="F61" s="6"/>
      <c r="G61" s="7"/>
      <c r="H61" s="7"/>
      <c r="I61" s="7"/>
      <c r="J61" s="8"/>
      <c r="K61" s="9"/>
      <c r="L61" s="5"/>
      <c r="M61" s="9"/>
      <c r="N61" s="9"/>
      <c r="O61" s="9"/>
      <c r="P61" s="9"/>
      <c r="Q61" s="9"/>
      <c r="R61" s="9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1:30" ht="12.75" customHeight="1" x14ac:dyDescent="0.25">
      <c r="A62" s="3" t="s">
        <v>30</v>
      </c>
      <c r="B62" s="19" t="s">
        <v>70</v>
      </c>
      <c r="C62" s="17">
        <v>2.82</v>
      </c>
      <c r="D62" s="17">
        <v>3.75</v>
      </c>
      <c r="E62" s="17">
        <v>4.5</v>
      </c>
      <c r="F62" s="6" t="s">
        <v>27</v>
      </c>
      <c r="G62" s="7"/>
      <c r="H62" s="7">
        <v>5</v>
      </c>
      <c r="I62" s="7"/>
      <c r="J62" s="8">
        <f t="shared" ref="J62:J75" si="8">SUM(G62:I62)</f>
        <v>5</v>
      </c>
      <c r="K62" s="9">
        <f t="shared" ref="K62:K75" si="9">SUM(C62*J62)</f>
        <v>14.1</v>
      </c>
      <c r="L62" s="5"/>
      <c r="M62" s="9"/>
      <c r="N62" s="9"/>
      <c r="O62" s="9"/>
      <c r="P62" s="9"/>
      <c r="Q62" s="9"/>
      <c r="R62" s="9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1:30" ht="12.75" customHeight="1" x14ac:dyDescent="0.25">
      <c r="A63" s="3" t="s">
        <v>30</v>
      </c>
      <c r="B63" s="19" t="s">
        <v>71</v>
      </c>
      <c r="C63" s="22">
        <v>3.36</v>
      </c>
      <c r="D63" s="17">
        <v>4.3</v>
      </c>
      <c r="E63" s="17">
        <v>4.5</v>
      </c>
      <c r="F63" s="6" t="s">
        <v>27</v>
      </c>
      <c r="G63" s="7"/>
      <c r="H63" s="7">
        <v>8</v>
      </c>
      <c r="I63" s="7">
        <v>18</v>
      </c>
      <c r="J63" s="8">
        <f t="shared" si="8"/>
        <v>26</v>
      </c>
      <c r="K63" s="9">
        <f t="shared" si="9"/>
        <v>87.36</v>
      </c>
      <c r="L63" s="5"/>
      <c r="M63" s="9"/>
      <c r="N63" s="21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2.75" customHeight="1" x14ac:dyDescent="0.25">
      <c r="A64" s="3" t="s">
        <v>30</v>
      </c>
      <c r="B64" s="4" t="s">
        <v>72</v>
      </c>
      <c r="C64" s="22">
        <v>3.31</v>
      </c>
      <c r="D64" s="17">
        <v>4.25</v>
      </c>
      <c r="E64" s="17">
        <v>4.5</v>
      </c>
      <c r="F64" s="6" t="s">
        <v>27</v>
      </c>
      <c r="G64" s="7"/>
      <c r="H64" s="7">
        <v>10</v>
      </c>
      <c r="I64" s="7"/>
      <c r="J64" s="8">
        <f t="shared" si="8"/>
        <v>10</v>
      </c>
      <c r="K64" s="9">
        <f t="shared" si="9"/>
        <v>33.1</v>
      </c>
      <c r="L64" s="5"/>
      <c r="M64" s="9"/>
      <c r="N64" s="21"/>
      <c r="O64" s="9"/>
      <c r="P64" s="9"/>
      <c r="Q64" s="9"/>
      <c r="R64" s="9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spans="1:30" ht="12.75" customHeight="1" x14ac:dyDescent="0.25">
      <c r="A65" s="3" t="s">
        <v>30</v>
      </c>
      <c r="B65" s="19" t="s">
        <v>73</v>
      </c>
      <c r="C65" s="22">
        <v>3.63</v>
      </c>
      <c r="D65" s="17">
        <v>4.5</v>
      </c>
      <c r="E65" s="17">
        <v>2</v>
      </c>
      <c r="F65" s="6" t="s">
        <v>27</v>
      </c>
      <c r="G65" s="7"/>
      <c r="H65" s="7">
        <v>3</v>
      </c>
      <c r="I65" s="7">
        <v>6</v>
      </c>
      <c r="J65" s="8">
        <f t="shared" si="8"/>
        <v>9</v>
      </c>
      <c r="K65" s="9">
        <f t="shared" si="9"/>
        <v>32.67</v>
      </c>
      <c r="L65" s="5"/>
      <c r="M65" s="9"/>
      <c r="N65" s="21"/>
      <c r="O65" s="9"/>
      <c r="P65" s="21"/>
      <c r="Q65" s="21"/>
      <c r="R65" s="21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2.75" customHeight="1" x14ac:dyDescent="0.25">
      <c r="A66" s="3" t="s">
        <v>30</v>
      </c>
      <c r="B66" s="19" t="s">
        <v>74</v>
      </c>
      <c r="C66" s="22">
        <v>3.63</v>
      </c>
      <c r="D66" s="17">
        <v>4.5</v>
      </c>
      <c r="E66" s="17">
        <v>4.75</v>
      </c>
      <c r="F66" s="6" t="s">
        <v>27</v>
      </c>
      <c r="G66" s="7"/>
      <c r="H66" s="7">
        <v>4</v>
      </c>
      <c r="I66" s="7"/>
      <c r="J66" s="8">
        <f t="shared" si="8"/>
        <v>4</v>
      </c>
      <c r="K66" s="9">
        <f t="shared" si="9"/>
        <v>14.52</v>
      </c>
      <c r="L66" s="5"/>
      <c r="M66" s="9"/>
      <c r="N66" s="21"/>
      <c r="O66" s="9"/>
      <c r="P66" s="21"/>
      <c r="Q66" s="21"/>
      <c r="R66" s="21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2.75" customHeight="1" x14ac:dyDescent="0.25">
      <c r="A67" s="3" t="s">
        <v>30</v>
      </c>
      <c r="B67" s="19" t="s">
        <v>75</v>
      </c>
      <c r="C67" s="22">
        <v>2.2200000000000002</v>
      </c>
      <c r="D67" s="17">
        <v>2.95</v>
      </c>
      <c r="E67" s="17">
        <v>3.5</v>
      </c>
      <c r="F67" s="6" t="s">
        <v>27</v>
      </c>
      <c r="G67" s="7"/>
      <c r="H67" s="7">
        <v>4</v>
      </c>
      <c r="I67" s="7"/>
      <c r="J67" s="8">
        <f t="shared" si="8"/>
        <v>4</v>
      </c>
      <c r="K67" s="9">
        <f t="shared" si="9"/>
        <v>8.8800000000000008</v>
      </c>
      <c r="L67" s="5"/>
      <c r="M67" s="9"/>
      <c r="N67" s="21"/>
      <c r="O67" s="9"/>
      <c r="P67" s="21"/>
      <c r="Q67" s="21"/>
      <c r="R67" s="21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2.75" customHeight="1" x14ac:dyDescent="0.25">
      <c r="A68" s="3" t="s">
        <v>30</v>
      </c>
      <c r="B68" s="19" t="s">
        <v>76</v>
      </c>
      <c r="C68" s="22">
        <v>2.96</v>
      </c>
      <c r="D68" s="17">
        <v>3.95</v>
      </c>
      <c r="E68" s="17">
        <v>4.5</v>
      </c>
      <c r="F68" s="6" t="s">
        <v>27</v>
      </c>
      <c r="G68" s="7"/>
      <c r="H68" s="7">
        <v>6</v>
      </c>
      <c r="I68" s="7">
        <v>30</v>
      </c>
      <c r="J68" s="8">
        <f t="shared" si="8"/>
        <v>36</v>
      </c>
      <c r="K68" s="9">
        <f t="shared" si="9"/>
        <v>106.56</v>
      </c>
      <c r="L68" s="5"/>
      <c r="M68" s="9"/>
      <c r="N68" s="21"/>
      <c r="O68" s="9"/>
      <c r="P68" s="21"/>
      <c r="Q68" s="21"/>
      <c r="R68" s="21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2.75" customHeight="1" x14ac:dyDescent="0.25">
      <c r="A69" s="3" t="s">
        <v>30</v>
      </c>
      <c r="B69" s="19" t="s">
        <v>77</v>
      </c>
      <c r="C69" s="22">
        <v>3.4</v>
      </c>
      <c r="D69" s="17">
        <v>4.25</v>
      </c>
      <c r="E69" s="17">
        <v>4.5</v>
      </c>
      <c r="F69" s="6" t="s">
        <v>27</v>
      </c>
      <c r="G69" s="7"/>
      <c r="H69" s="7">
        <v>4</v>
      </c>
      <c r="I69" s="7"/>
      <c r="J69" s="8">
        <f t="shared" si="8"/>
        <v>4</v>
      </c>
      <c r="K69" s="9">
        <f t="shared" si="9"/>
        <v>13.6</v>
      </c>
      <c r="L69" s="5"/>
      <c r="M69" s="9"/>
      <c r="N69" s="21"/>
      <c r="O69" s="9"/>
      <c r="P69" s="21"/>
      <c r="Q69" s="21"/>
      <c r="R69" s="21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2.75" customHeight="1" x14ac:dyDescent="0.25">
      <c r="A70" s="3" t="s">
        <v>30</v>
      </c>
      <c r="B70" s="19" t="s">
        <v>78</v>
      </c>
      <c r="C70" s="22">
        <v>2.36</v>
      </c>
      <c r="D70" s="17">
        <v>3.25</v>
      </c>
      <c r="E70" s="17">
        <v>3.8</v>
      </c>
      <c r="F70" s="6" t="s">
        <v>27</v>
      </c>
      <c r="G70" s="7"/>
      <c r="H70" s="7">
        <v>3</v>
      </c>
      <c r="I70" s="7">
        <v>12</v>
      </c>
      <c r="J70" s="8">
        <f t="shared" si="8"/>
        <v>15</v>
      </c>
      <c r="K70" s="9">
        <f t="shared" si="9"/>
        <v>35.4</v>
      </c>
      <c r="L70" s="5"/>
      <c r="M70" s="9"/>
      <c r="N70" s="21"/>
      <c r="O70" s="9"/>
      <c r="P70" s="21"/>
      <c r="Q70" s="21"/>
      <c r="R70" s="21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2.75" customHeight="1" x14ac:dyDescent="0.25">
      <c r="A71" s="3" t="s">
        <v>30</v>
      </c>
      <c r="B71" s="19" t="s">
        <v>79</v>
      </c>
      <c r="C71" s="22">
        <v>4.3499999999999996</v>
      </c>
      <c r="D71" s="17">
        <v>5.25</v>
      </c>
      <c r="E71" s="17">
        <v>5.5</v>
      </c>
      <c r="F71" s="6" t="s">
        <v>27</v>
      </c>
      <c r="G71" s="7"/>
      <c r="H71" s="7">
        <v>2</v>
      </c>
      <c r="I71" s="7"/>
      <c r="J71" s="8">
        <f t="shared" si="8"/>
        <v>2</v>
      </c>
      <c r="K71" s="9">
        <f t="shared" si="9"/>
        <v>8.6999999999999993</v>
      </c>
      <c r="L71" s="5"/>
      <c r="M71" s="9"/>
      <c r="N71" s="21"/>
      <c r="O71" s="9"/>
      <c r="P71" s="21"/>
      <c r="Q71" s="21"/>
      <c r="R71" s="21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2.75" customHeight="1" x14ac:dyDescent="0.25">
      <c r="A72" s="3" t="s">
        <v>30</v>
      </c>
      <c r="B72" s="19" t="s">
        <v>80</v>
      </c>
      <c r="C72" s="22">
        <v>2.2200000000000002</v>
      </c>
      <c r="D72" s="17">
        <v>2.95</v>
      </c>
      <c r="E72" s="17">
        <v>3.5</v>
      </c>
      <c r="F72" s="6" t="s">
        <v>27</v>
      </c>
      <c r="G72" s="7"/>
      <c r="H72" s="7">
        <v>6</v>
      </c>
      <c r="I72" s="7"/>
      <c r="J72" s="8">
        <f t="shared" si="8"/>
        <v>6</v>
      </c>
      <c r="K72" s="9">
        <f t="shared" si="9"/>
        <v>13.32</v>
      </c>
      <c r="L72" s="5"/>
      <c r="M72" s="9"/>
      <c r="N72" s="21"/>
      <c r="O72" s="9"/>
      <c r="P72" s="21"/>
      <c r="Q72" s="21"/>
      <c r="R72" s="21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2.75" customHeight="1" x14ac:dyDescent="0.25">
      <c r="A73" s="3" t="s">
        <v>30</v>
      </c>
      <c r="B73" s="19" t="s">
        <v>81</v>
      </c>
      <c r="C73" s="22">
        <v>3.63</v>
      </c>
      <c r="D73" s="17">
        <v>4.5</v>
      </c>
      <c r="E73" s="17">
        <v>4.75</v>
      </c>
      <c r="F73" s="6" t="s">
        <v>27</v>
      </c>
      <c r="G73" s="7"/>
      <c r="H73" s="7">
        <v>3</v>
      </c>
      <c r="I73" s="7">
        <v>6</v>
      </c>
      <c r="J73" s="8">
        <f t="shared" si="8"/>
        <v>9</v>
      </c>
      <c r="K73" s="9">
        <f t="shared" si="9"/>
        <v>32.67</v>
      </c>
      <c r="L73" s="5"/>
      <c r="M73" s="29"/>
      <c r="N73" s="21"/>
      <c r="O73" s="9"/>
      <c r="P73" s="21"/>
      <c r="Q73" s="21"/>
      <c r="R73" s="21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2.75" customHeight="1" x14ac:dyDescent="0.25">
      <c r="A74" s="3" t="s">
        <v>30</v>
      </c>
      <c r="B74" s="19" t="s">
        <v>82</v>
      </c>
      <c r="C74" s="22">
        <v>3.18</v>
      </c>
      <c r="D74" s="17">
        <v>4.25</v>
      </c>
      <c r="E74" s="17">
        <v>4.5</v>
      </c>
      <c r="F74" s="6" t="s">
        <v>27</v>
      </c>
      <c r="G74" s="7"/>
      <c r="H74" s="7">
        <v>1</v>
      </c>
      <c r="I74" s="7"/>
      <c r="J74" s="8">
        <f t="shared" si="8"/>
        <v>1</v>
      </c>
      <c r="K74" s="9">
        <f t="shared" si="9"/>
        <v>3.18</v>
      </c>
      <c r="L74" s="5"/>
      <c r="M74" s="30"/>
      <c r="N74" s="21"/>
      <c r="O74" s="9"/>
      <c r="P74" s="21"/>
      <c r="Q74" s="21"/>
      <c r="R74" s="21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2.75" customHeight="1" x14ac:dyDescent="0.25">
      <c r="A75" s="3" t="s">
        <v>30</v>
      </c>
      <c r="B75" s="19" t="s">
        <v>83</v>
      </c>
      <c r="C75" s="22">
        <v>4.3499999999999996</v>
      </c>
      <c r="D75" s="17">
        <v>5.25</v>
      </c>
      <c r="E75" s="17">
        <v>5.5</v>
      </c>
      <c r="F75" s="6" t="s">
        <v>27</v>
      </c>
      <c r="G75" s="7"/>
      <c r="H75" s="7">
        <v>4</v>
      </c>
      <c r="I75" s="7">
        <v>0</v>
      </c>
      <c r="J75" s="8">
        <f t="shared" si="8"/>
        <v>4</v>
      </c>
      <c r="K75" s="9">
        <f t="shared" si="9"/>
        <v>17.399999999999999</v>
      </c>
      <c r="L75" s="5"/>
      <c r="M75" s="30"/>
      <c r="N75" s="21"/>
      <c r="O75" s="9"/>
      <c r="P75" s="21"/>
      <c r="Q75" s="21"/>
      <c r="R75" s="21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2.75" customHeight="1" x14ac:dyDescent="0.25">
      <c r="A76" s="3"/>
      <c r="B76" s="19"/>
      <c r="C76" s="24"/>
      <c r="D76" s="5"/>
      <c r="E76" s="5"/>
      <c r="F76" s="6"/>
      <c r="G76" s="7"/>
      <c r="H76" s="7"/>
      <c r="I76" s="7"/>
      <c r="J76" s="8"/>
      <c r="K76" s="9"/>
      <c r="L76" s="5"/>
      <c r="M76" s="30"/>
      <c r="N76" s="21"/>
      <c r="O76" s="9"/>
      <c r="P76" s="21"/>
      <c r="Q76" s="21"/>
      <c r="R76" s="21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2.75" customHeight="1" x14ac:dyDescent="0.25">
      <c r="A77" s="3"/>
      <c r="B77" s="19"/>
      <c r="C77" s="24"/>
      <c r="D77" s="5"/>
      <c r="E77" s="5"/>
      <c r="F77" s="6"/>
      <c r="G77" s="7"/>
      <c r="H77" s="7"/>
      <c r="I77" s="7"/>
      <c r="J77" s="8"/>
      <c r="K77" s="9"/>
      <c r="L77" s="5"/>
      <c r="M77" s="30"/>
      <c r="N77" s="21"/>
      <c r="O77" s="9"/>
      <c r="P77" s="21"/>
      <c r="Q77" s="21"/>
      <c r="R77" s="21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2.75" customHeight="1" x14ac:dyDescent="0.25">
      <c r="A78" s="3" t="s">
        <v>84</v>
      </c>
      <c r="B78" s="19" t="s">
        <v>85</v>
      </c>
      <c r="C78" s="24">
        <v>8.41</v>
      </c>
      <c r="D78" s="5">
        <v>9.5</v>
      </c>
      <c r="E78" s="5">
        <v>9.9499999999999993</v>
      </c>
      <c r="F78" s="6" t="s">
        <v>27</v>
      </c>
      <c r="G78" s="7"/>
      <c r="H78" s="7"/>
      <c r="I78" s="7"/>
      <c r="J78" s="8">
        <f t="shared" ref="J78:J79" si="10">SUM(G78:I78)</f>
        <v>0</v>
      </c>
      <c r="K78" s="9">
        <f t="shared" ref="K78:K79" si="11">SUM(C78*J78)</f>
        <v>0</v>
      </c>
      <c r="L78" s="5"/>
      <c r="M78" s="30"/>
      <c r="N78" s="21"/>
      <c r="O78" s="9"/>
      <c r="P78" s="21"/>
      <c r="Q78" s="21"/>
      <c r="R78" s="21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2.75" customHeight="1" x14ac:dyDescent="0.25">
      <c r="A79" s="3" t="s">
        <v>84</v>
      </c>
      <c r="B79" s="19" t="s">
        <v>86</v>
      </c>
      <c r="C79" s="24">
        <v>8.41</v>
      </c>
      <c r="D79" s="5">
        <v>9.5</v>
      </c>
      <c r="E79" s="5">
        <v>9.9499999999999993</v>
      </c>
      <c r="F79" s="6" t="s">
        <v>27</v>
      </c>
      <c r="G79" s="7"/>
      <c r="H79" s="7">
        <v>3</v>
      </c>
      <c r="I79" s="7"/>
      <c r="J79" s="8">
        <f t="shared" si="10"/>
        <v>3</v>
      </c>
      <c r="K79" s="9">
        <f t="shared" si="11"/>
        <v>25.23</v>
      </c>
      <c r="L79" s="5"/>
      <c r="M79" s="30"/>
      <c r="N79" s="21"/>
      <c r="O79" s="9"/>
      <c r="P79" s="21"/>
      <c r="Q79" s="21"/>
      <c r="R79" s="21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2.75" customHeight="1" x14ac:dyDescent="0.25">
      <c r="A80" s="3"/>
      <c r="B80" s="19"/>
      <c r="C80" s="24"/>
      <c r="D80" s="5" t="s">
        <v>63</v>
      </c>
      <c r="E80" s="5"/>
      <c r="F80" s="6"/>
      <c r="G80" s="7"/>
      <c r="H80" s="7"/>
      <c r="I80" s="7"/>
      <c r="J80" s="8"/>
      <c r="K80" s="9"/>
      <c r="L80" s="5"/>
      <c r="M80" s="9"/>
      <c r="N80" s="21"/>
      <c r="O80" s="9"/>
      <c r="P80" s="21"/>
      <c r="Q80" s="21"/>
      <c r="R80" s="21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2.75" customHeight="1" x14ac:dyDescent="0.25">
      <c r="A81" s="3">
        <v>700</v>
      </c>
      <c r="B81" s="19" t="s">
        <v>87</v>
      </c>
      <c r="C81" s="31">
        <v>7.48</v>
      </c>
      <c r="D81" s="31">
        <v>8.5</v>
      </c>
      <c r="E81" s="31">
        <v>8.9499999999999993</v>
      </c>
      <c r="F81" s="6" t="s">
        <v>27</v>
      </c>
      <c r="G81" s="7"/>
      <c r="H81" s="7">
        <v>2</v>
      </c>
      <c r="I81" s="7"/>
      <c r="J81" s="8">
        <f t="shared" ref="J81:J88" si="12">SUM(G81:I81)</f>
        <v>2</v>
      </c>
      <c r="K81" s="9">
        <f t="shared" ref="K81:K88" si="13">SUM(C81*J81)</f>
        <v>14.96</v>
      </c>
      <c r="L81" s="5"/>
      <c r="M81" s="9"/>
      <c r="N81" s="21"/>
      <c r="O81" s="9"/>
      <c r="P81" s="21"/>
      <c r="Q81" s="21"/>
      <c r="R81" s="21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2.75" customHeight="1" x14ac:dyDescent="0.25">
      <c r="A82" s="3">
        <v>700</v>
      </c>
      <c r="B82" s="19" t="s">
        <v>88</v>
      </c>
      <c r="C82" s="22">
        <v>5.85</v>
      </c>
      <c r="D82" s="31">
        <v>6.95</v>
      </c>
      <c r="E82" s="31">
        <v>6.95</v>
      </c>
      <c r="F82" s="6" t="s">
        <v>27</v>
      </c>
      <c r="G82" s="7"/>
      <c r="H82" s="7">
        <v>2</v>
      </c>
      <c r="I82" s="7"/>
      <c r="J82" s="8">
        <f t="shared" si="12"/>
        <v>2</v>
      </c>
      <c r="K82" s="9">
        <f t="shared" si="13"/>
        <v>11.7</v>
      </c>
      <c r="L82" s="5"/>
      <c r="M82" s="9"/>
      <c r="N82" s="21"/>
      <c r="O82" s="9"/>
      <c r="P82" s="21"/>
      <c r="Q82" s="21"/>
      <c r="R82" s="21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2.75" customHeight="1" x14ac:dyDescent="0.25">
      <c r="A83" s="3">
        <v>700</v>
      </c>
      <c r="B83" s="19" t="s">
        <v>89</v>
      </c>
      <c r="C83" s="22">
        <v>4.37</v>
      </c>
      <c r="D83" s="17">
        <v>5.45</v>
      </c>
      <c r="E83" s="17">
        <v>5.95</v>
      </c>
      <c r="F83" s="6" t="s">
        <v>27</v>
      </c>
      <c r="G83" s="7"/>
      <c r="H83" s="7">
        <v>1</v>
      </c>
      <c r="I83" s="7">
        <v>6</v>
      </c>
      <c r="J83" s="8">
        <f t="shared" si="12"/>
        <v>7</v>
      </c>
      <c r="K83" s="9">
        <f t="shared" si="13"/>
        <v>30.59</v>
      </c>
      <c r="L83" s="5"/>
      <c r="M83" s="9"/>
      <c r="N83" s="21"/>
      <c r="O83" s="9"/>
      <c r="P83" s="21"/>
      <c r="Q83" s="21"/>
      <c r="R83" s="21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2.75" customHeight="1" x14ac:dyDescent="0.25">
      <c r="A84" s="3">
        <v>700</v>
      </c>
      <c r="B84" s="19" t="s">
        <v>90</v>
      </c>
      <c r="C84" s="22">
        <v>5.85</v>
      </c>
      <c r="D84" s="31">
        <v>6.95</v>
      </c>
      <c r="E84" s="31">
        <v>6.95</v>
      </c>
      <c r="F84" s="6" t="s">
        <v>27</v>
      </c>
      <c r="G84" s="7"/>
      <c r="H84" s="7"/>
      <c r="I84" s="7"/>
      <c r="J84" s="8">
        <f t="shared" si="12"/>
        <v>0</v>
      </c>
      <c r="K84" s="9">
        <f t="shared" si="13"/>
        <v>0</v>
      </c>
      <c r="L84" s="5"/>
      <c r="M84" s="9"/>
      <c r="N84" s="21"/>
      <c r="O84" s="9"/>
      <c r="P84" s="21"/>
      <c r="Q84" s="21"/>
      <c r="R84" s="21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2.75" customHeight="1" x14ac:dyDescent="0.25">
      <c r="A85" s="3">
        <v>700</v>
      </c>
      <c r="B85" s="19" t="s">
        <v>91</v>
      </c>
      <c r="C85" s="22">
        <v>5.85</v>
      </c>
      <c r="D85" s="31">
        <v>6.95</v>
      </c>
      <c r="E85" s="31">
        <v>6.95</v>
      </c>
      <c r="F85" s="6" t="s">
        <v>27</v>
      </c>
      <c r="G85" s="7"/>
      <c r="H85" s="7"/>
      <c r="I85" s="7"/>
      <c r="J85" s="8">
        <f t="shared" si="12"/>
        <v>0</v>
      </c>
      <c r="K85" s="9">
        <f t="shared" si="13"/>
        <v>0</v>
      </c>
      <c r="L85" s="5"/>
      <c r="M85" s="9"/>
      <c r="N85" s="21"/>
      <c r="O85" s="9"/>
      <c r="P85" s="21"/>
      <c r="Q85" s="21"/>
      <c r="R85" s="21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2.75" customHeight="1" x14ac:dyDescent="0.25">
      <c r="A86" s="10">
        <v>700</v>
      </c>
      <c r="B86" s="10" t="s">
        <v>92</v>
      </c>
      <c r="C86" s="31">
        <v>5.49</v>
      </c>
      <c r="D86" s="31">
        <v>6.95</v>
      </c>
      <c r="E86" s="31">
        <v>6.95</v>
      </c>
      <c r="F86" s="6" t="s">
        <v>27</v>
      </c>
      <c r="G86" s="12"/>
      <c r="H86" s="12">
        <v>1</v>
      </c>
      <c r="I86" s="12">
        <v>6</v>
      </c>
      <c r="J86" s="8">
        <f t="shared" si="12"/>
        <v>7</v>
      </c>
      <c r="K86" s="9">
        <f t="shared" si="13"/>
        <v>38.43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2.75" customHeight="1" x14ac:dyDescent="0.25">
      <c r="A87" s="3">
        <v>700</v>
      </c>
      <c r="B87" s="19" t="s">
        <v>93</v>
      </c>
      <c r="C87" s="22">
        <v>5.85</v>
      </c>
      <c r="D87" s="31">
        <v>6.95</v>
      </c>
      <c r="E87" s="31">
        <v>6.95</v>
      </c>
      <c r="F87" s="6" t="s">
        <v>27</v>
      </c>
      <c r="G87" s="7"/>
      <c r="H87" s="7">
        <v>5</v>
      </c>
      <c r="I87" s="7"/>
      <c r="J87" s="8">
        <f t="shared" si="12"/>
        <v>5</v>
      </c>
      <c r="K87" s="9">
        <f t="shared" si="13"/>
        <v>29.25</v>
      </c>
      <c r="L87" s="5"/>
      <c r="M87" s="9"/>
      <c r="N87" s="21"/>
      <c r="O87" s="9"/>
      <c r="P87" s="21"/>
      <c r="Q87" s="21"/>
      <c r="R87" s="21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2.75" customHeight="1" x14ac:dyDescent="0.25">
      <c r="A88" s="3">
        <v>700</v>
      </c>
      <c r="B88" s="19" t="s">
        <v>94</v>
      </c>
      <c r="C88" s="24">
        <v>5.95</v>
      </c>
      <c r="D88" s="31">
        <v>6.95</v>
      </c>
      <c r="E88" s="31">
        <v>6.95</v>
      </c>
      <c r="F88" s="6" t="s">
        <v>27</v>
      </c>
      <c r="G88" s="7"/>
      <c r="H88" s="7">
        <v>2</v>
      </c>
      <c r="I88" s="7"/>
      <c r="J88" s="8">
        <f t="shared" si="12"/>
        <v>2</v>
      </c>
      <c r="K88" s="9">
        <f t="shared" si="13"/>
        <v>11.9</v>
      </c>
      <c r="L88" s="5"/>
      <c r="M88" s="9"/>
      <c r="N88" s="21"/>
      <c r="O88" s="9"/>
      <c r="P88" s="21"/>
      <c r="Q88" s="21"/>
      <c r="R88" s="21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2.75" customHeight="1" x14ac:dyDescent="0.25">
      <c r="A89" s="3"/>
      <c r="B89" s="19"/>
      <c r="C89" s="24"/>
      <c r="D89" s="5"/>
      <c r="E89" s="5"/>
      <c r="F89" s="6"/>
      <c r="G89" s="7"/>
      <c r="H89" s="7"/>
      <c r="I89" s="7"/>
      <c r="J89" s="8"/>
      <c r="K89" s="9"/>
      <c r="L89" s="5"/>
      <c r="M89" s="9"/>
      <c r="N89" s="21"/>
      <c r="O89" s="9"/>
      <c r="P89" s="21"/>
      <c r="Q89" s="21"/>
      <c r="R89" s="21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2.75" customHeight="1" x14ac:dyDescent="0.3">
      <c r="A90" s="3"/>
      <c r="B90" s="15" t="s">
        <v>95</v>
      </c>
      <c r="C90" s="5"/>
      <c r="D90" s="5"/>
      <c r="E90" s="5"/>
      <c r="F90" s="6"/>
      <c r="G90" s="7"/>
      <c r="H90" s="7"/>
      <c r="I90" s="7"/>
      <c r="J90" s="8"/>
      <c r="K90" s="9"/>
      <c r="L90" s="5"/>
      <c r="M90" s="9"/>
      <c r="N90" s="9"/>
      <c r="O90" s="9"/>
      <c r="P90" s="9"/>
      <c r="Q90" s="9"/>
      <c r="R90" s="9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spans="1:30" ht="12.75" customHeight="1" x14ac:dyDescent="0.25">
      <c r="A91" s="3"/>
      <c r="B91" s="4"/>
      <c r="C91" s="5"/>
      <c r="D91" s="5"/>
      <c r="E91" s="5"/>
      <c r="F91" s="6"/>
      <c r="G91" s="7"/>
      <c r="H91" s="7"/>
      <c r="I91" s="7"/>
      <c r="J91" s="8"/>
      <c r="K91" s="9"/>
      <c r="L91" s="5"/>
      <c r="M91" s="9"/>
      <c r="N91" s="9"/>
      <c r="O91" s="9"/>
      <c r="P91" s="9"/>
      <c r="Q91" s="9"/>
      <c r="R91" s="9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12.75" customHeight="1" x14ac:dyDescent="0.25">
      <c r="A92" s="3" t="s">
        <v>13</v>
      </c>
      <c r="B92" s="4" t="s">
        <v>14</v>
      </c>
      <c r="C92" s="5"/>
      <c r="D92" s="5"/>
      <c r="E92" s="5"/>
      <c r="F92" s="6"/>
      <c r="G92" s="7"/>
      <c r="H92" s="7"/>
      <c r="I92" s="7"/>
      <c r="J92" s="8"/>
      <c r="K92" s="9"/>
      <c r="L92" s="5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2.75" customHeight="1" x14ac:dyDescent="0.25">
      <c r="A93" s="3"/>
      <c r="B93" s="4"/>
      <c r="C93" s="5"/>
      <c r="D93" s="5"/>
      <c r="E93" s="5"/>
      <c r="F93" s="6"/>
      <c r="G93" s="7"/>
      <c r="H93" s="7"/>
      <c r="I93" s="7"/>
      <c r="J93" s="8"/>
      <c r="K93" s="9"/>
      <c r="L93" s="5"/>
      <c r="M93" s="9"/>
      <c r="N93" s="9"/>
      <c r="O93" s="9"/>
      <c r="P93" s="9"/>
      <c r="Q93" s="9"/>
      <c r="R93" s="9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spans="1:30" ht="12.75" customHeight="1" x14ac:dyDescent="0.25">
      <c r="A94" s="3" t="s">
        <v>30</v>
      </c>
      <c r="B94" s="19" t="s">
        <v>96</v>
      </c>
      <c r="C94" s="5">
        <v>16.09</v>
      </c>
      <c r="D94" s="17">
        <v>19.95</v>
      </c>
      <c r="E94" s="17">
        <v>21</v>
      </c>
      <c r="F94" s="6" t="s">
        <v>49</v>
      </c>
      <c r="G94" s="7"/>
      <c r="H94" s="7">
        <v>3</v>
      </c>
      <c r="I94" s="7"/>
      <c r="J94" s="8">
        <f t="shared" ref="J94:J136" si="14">SUM(G94:I94)</f>
        <v>3</v>
      </c>
      <c r="K94" s="9">
        <f t="shared" ref="K94:K136" si="15">SUM(C94*J94)</f>
        <v>48.269999999999996</v>
      </c>
      <c r="L94" s="5"/>
      <c r="M94" s="9"/>
      <c r="N94" s="21"/>
      <c r="O94" s="21"/>
      <c r="P94" s="21"/>
      <c r="Q94" s="21"/>
      <c r="R94" s="21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2.75" customHeight="1" x14ac:dyDescent="0.25">
      <c r="A95" s="3" t="s">
        <v>30</v>
      </c>
      <c r="B95" s="19" t="s">
        <v>97</v>
      </c>
      <c r="C95" s="24">
        <v>19.329999999999998</v>
      </c>
      <c r="D95" s="17">
        <v>22.95</v>
      </c>
      <c r="E95" s="17">
        <v>23.5</v>
      </c>
      <c r="F95" s="6" t="s">
        <v>27</v>
      </c>
      <c r="G95" s="7">
        <v>4</v>
      </c>
      <c r="H95" s="7">
        <v>4</v>
      </c>
      <c r="I95" s="7"/>
      <c r="J95" s="8">
        <f t="shared" si="14"/>
        <v>8</v>
      </c>
      <c r="K95" s="9">
        <f t="shared" si="15"/>
        <v>154.63999999999999</v>
      </c>
      <c r="L95" s="5"/>
      <c r="M95" s="9"/>
      <c r="N95" s="9"/>
      <c r="O95" s="21"/>
      <c r="P95" s="21"/>
      <c r="Q95" s="21"/>
      <c r="R95" s="21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2.75" customHeight="1" x14ac:dyDescent="0.25">
      <c r="A96" s="3">
        <v>700</v>
      </c>
      <c r="B96" s="19" t="s">
        <v>98</v>
      </c>
      <c r="C96" s="22">
        <v>30.6</v>
      </c>
      <c r="D96" s="17">
        <v>32.950000000000003</v>
      </c>
      <c r="E96" s="17">
        <v>33.5</v>
      </c>
      <c r="F96" s="6" t="s">
        <v>27</v>
      </c>
      <c r="G96" s="7"/>
      <c r="H96" s="7"/>
      <c r="I96" s="7"/>
      <c r="J96" s="8">
        <f t="shared" si="14"/>
        <v>0</v>
      </c>
      <c r="K96" s="9">
        <f t="shared" si="15"/>
        <v>0</v>
      </c>
      <c r="L96" s="5"/>
      <c r="M96" s="9"/>
      <c r="N96" s="9"/>
      <c r="O96" s="21"/>
      <c r="P96" s="21"/>
      <c r="Q96" s="21"/>
      <c r="R96" s="21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2.75" customHeight="1" x14ac:dyDescent="0.25">
      <c r="A97" s="3">
        <v>700</v>
      </c>
      <c r="B97" s="19" t="s">
        <v>99</v>
      </c>
      <c r="C97" s="17">
        <v>13.04</v>
      </c>
      <c r="D97" s="17">
        <v>14.5</v>
      </c>
      <c r="E97" s="17">
        <v>14.95</v>
      </c>
      <c r="F97" s="6" t="s">
        <v>27</v>
      </c>
      <c r="G97" s="7"/>
      <c r="H97" s="7"/>
      <c r="I97" s="7"/>
      <c r="J97" s="8">
        <f t="shared" si="14"/>
        <v>0</v>
      </c>
      <c r="K97" s="9">
        <f t="shared" si="15"/>
        <v>0</v>
      </c>
      <c r="L97" s="5"/>
      <c r="M97" s="9"/>
      <c r="N97" s="9"/>
      <c r="O97" s="21"/>
      <c r="P97" s="21"/>
      <c r="Q97" s="21"/>
      <c r="R97" s="21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2.75" customHeight="1" x14ac:dyDescent="0.25">
      <c r="A98" s="3" t="s">
        <v>30</v>
      </c>
      <c r="B98" s="19" t="s">
        <v>100</v>
      </c>
      <c r="C98" s="22">
        <v>21.13</v>
      </c>
      <c r="D98" s="17">
        <v>22.95</v>
      </c>
      <c r="E98" s="17">
        <v>23.95</v>
      </c>
      <c r="F98" s="6" t="s">
        <v>27</v>
      </c>
      <c r="G98" s="7"/>
      <c r="H98" s="7">
        <v>7</v>
      </c>
      <c r="I98" s="7"/>
      <c r="J98" s="8">
        <f t="shared" si="14"/>
        <v>7</v>
      </c>
      <c r="K98" s="9">
        <f t="shared" si="15"/>
        <v>147.91</v>
      </c>
      <c r="L98" s="5"/>
      <c r="M98" s="9"/>
      <c r="N98" s="9"/>
      <c r="O98" s="21"/>
      <c r="P98" s="21"/>
      <c r="Q98" s="21"/>
      <c r="R98" s="21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2.75" customHeight="1" x14ac:dyDescent="0.25">
      <c r="A99" s="3" t="s">
        <v>30</v>
      </c>
      <c r="B99" s="19" t="s">
        <v>101</v>
      </c>
      <c r="C99" s="17">
        <v>17.84</v>
      </c>
      <c r="D99" s="17">
        <v>22</v>
      </c>
      <c r="E99" s="17">
        <v>22</v>
      </c>
      <c r="F99" s="6" t="s">
        <v>49</v>
      </c>
      <c r="G99" s="7"/>
      <c r="H99" s="7">
        <v>5</v>
      </c>
      <c r="I99" s="7"/>
      <c r="J99" s="8">
        <f t="shared" si="14"/>
        <v>5</v>
      </c>
      <c r="K99" s="9">
        <f t="shared" si="15"/>
        <v>89.2</v>
      </c>
      <c r="L99" s="5"/>
      <c r="M99" s="9"/>
      <c r="N99" s="21"/>
      <c r="O99" s="21"/>
      <c r="P99" s="21"/>
      <c r="Q99" s="21"/>
      <c r="R99" s="21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2.75" customHeight="1" x14ac:dyDescent="0.25">
      <c r="A100" s="3" t="s">
        <v>30</v>
      </c>
      <c r="B100" s="19" t="s">
        <v>102</v>
      </c>
      <c r="C100" s="17">
        <v>24.7</v>
      </c>
      <c r="D100" s="17">
        <v>32</v>
      </c>
      <c r="E100" s="17">
        <v>35</v>
      </c>
      <c r="F100" s="6" t="s">
        <v>49</v>
      </c>
      <c r="G100" s="7"/>
      <c r="H100" s="7"/>
      <c r="I100" s="7"/>
      <c r="J100" s="8">
        <f t="shared" si="14"/>
        <v>0</v>
      </c>
      <c r="K100" s="9">
        <f t="shared" si="15"/>
        <v>0</v>
      </c>
      <c r="L100" s="5"/>
      <c r="M100" s="9"/>
      <c r="N100" s="21"/>
      <c r="O100" s="21"/>
      <c r="P100" s="21"/>
      <c r="Q100" s="21"/>
      <c r="R100" s="21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2.75" customHeight="1" x14ac:dyDescent="0.25">
      <c r="A101" s="3">
        <v>700</v>
      </c>
      <c r="B101" s="19" t="s">
        <v>102</v>
      </c>
      <c r="C101" s="17">
        <v>21.78</v>
      </c>
      <c r="D101" s="17">
        <v>27</v>
      </c>
      <c r="E101" s="17">
        <v>29.95</v>
      </c>
      <c r="F101" s="6" t="s">
        <v>27</v>
      </c>
      <c r="G101" s="7"/>
      <c r="H101" s="7">
        <v>5</v>
      </c>
      <c r="I101" s="7"/>
      <c r="J101" s="8">
        <f t="shared" si="14"/>
        <v>5</v>
      </c>
      <c r="K101" s="9">
        <f t="shared" si="15"/>
        <v>108.9</v>
      </c>
      <c r="L101" s="5"/>
      <c r="M101" s="9"/>
      <c r="N101" s="21"/>
      <c r="O101" s="21"/>
      <c r="P101" s="21"/>
      <c r="Q101" s="21"/>
      <c r="R101" s="21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2.75" customHeight="1" x14ac:dyDescent="0.25">
      <c r="A102" s="3" t="s">
        <v>30</v>
      </c>
      <c r="B102" s="19" t="s">
        <v>103</v>
      </c>
      <c r="C102" s="5">
        <v>37.479999999999997</v>
      </c>
      <c r="D102" s="5">
        <v>33.5</v>
      </c>
      <c r="E102" s="5">
        <v>39.950000000000003</v>
      </c>
      <c r="F102" s="6" t="s">
        <v>49</v>
      </c>
      <c r="G102" s="7"/>
      <c r="H102" s="7">
        <v>4</v>
      </c>
      <c r="I102" s="7"/>
      <c r="J102" s="8">
        <f t="shared" si="14"/>
        <v>4</v>
      </c>
      <c r="K102" s="9">
        <f t="shared" si="15"/>
        <v>149.91999999999999</v>
      </c>
      <c r="L102" s="5"/>
      <c r="M102" s="9"/>
      <c r="N102" s="21"/>
      <c r="O102" s="21"/>
      <c r="P102" s="21"/>
      <c r="Q102" s="21"/>
      <c r="R102" s="21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2.75" customHeight="1" x14ac:dyDescent="0.25">
      <c r="A103" s="3">
        <v>700</v>
      </c>
      <c r="B103" s="19" t="s">
        <v>104</v>
      </c>
      <c r="C103" s="17">
        <v>27.2</v>
      </c>
      <c r="D103" s="17">
        <v>29.95</v>
      </c>
      <c r="E103" s="17">
        <v>32</v>
      </c>
      <c r="F103" s="6" t="s">
        <v>27</v>
      </c>
      <c r="G103" s="7"/>
      <c r="H103" s="7">
        <v>1</v>
      </c>
      <c r="I103" s="7"/>
      <c r="J103" s="8">
        <f t="shared" si="14"/>
        <v>1</v>
      </c>
      <c r="K103" s="9">
        <f t="shared" si="15"/>
        <v>27.2</v>
      </c>
      <c r="L103" s="5"/>
      <c r="M103" s="9"/>
      <c r="N103" s="9"/>
      <c r="O103" s="21"/>
      <c r="P103" s="21"/>
      <c r="Q103" s="21"/>
      <c r="R103" s="21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2.75" customHeight="1" x14ac:dyDescent="0.25">
      <c r="A104" s="3" t="s">
        <v>30</v>
      </c>
      <c r="B104" s="19" t="s">
        <v>105</v>
      </c>
      <c r="C104" s="17">
        <v>13.91</v>
      </c>
      <c r="D104" s="17">
        <v>15.9</v>
      </c>
      <c r="E104" s="17">
        <v>16</v>
      </c>
      <c r="F104" s="6" t="s">
        <v>27</v>
      </c>
      <c r="G104" s="7"/>
      <c r="H104" s="7">
        <v>6</v>
      </c>
      <c r="I104" s="7">
        <v>18</v>
      </c>
      <c r="J104" s="8">
        <f t="shared" si="14"/>
        <v>24</v>
      </c>
      <c r="K104" s="9">
        <f t="shared" si="15"/>
        <v>333.84000000000003</v>
      </c>
      <c r="L104" s="5"/>
      <c r="M104" s="9"/>
      <c r="N104" s="21"/>
      <c r="O104" s="21"/>
      <c r="P104" s="21"/>
      <c r="Q104" s="21"/>
      <c r="R104" s="21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2.75" customHeight="1" x14ac:dyDescent="0.25">
      <c r="A105" s="3" t="s">
        <v>84</v>
      </c>
      <c r="B105" s="19" t="s">
        <v>106</v>
      </c>
      <c r="C105" s="17">
        <v>10.68</v>
      </c>
      <c r="D105" s="17">
        <v>12.95</v>
      </c>
      <c r="E105" s="17">
        <v>13.5</v>
      </c>
      <c r="F105" s="6" t="s">
        <v>49</v>
      </c>
      <c r="G105" s="7"/>
      <c r="H105" s="7">
        <v>7</v>
      </c>
      <c r="I105" s="7"/>
      <c r="J105" s="8">
        <f t="shared" si="14"/>
        <v>7</v>
      </c>
      <c r="K105" s="9">
        <f t="shared" si="15"/>
        <v>74.759999999999991</v>
      </c>
      <c r="L105" s="5"/>
      <c r="M105" s="9"/>
      <c r="N105" s="21"/>
      <c r="O105" s="21"/>
      <c r="P105" s="21"/>
      <c r="Q105" s="21"/>
      <c r="R105" s="21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2.75" customHeight="1" x14ac:dyDescent="0.25">
      <c r="A106" s="3" t="s">
        <v>30</v>
      </c>
      <c r="B106" s="19" t="s">
        <v>107</v>
      </c>
      <c r="C106" s="17">
        <v>12.35</v>
      </c>
      <c r="D106" s="17">
        <v>16.5</v>
      </c>
      <c r="E106" s="17">
        <v>16.95</v>
      </c>
      <c r="F106" s="6" t="s">
        <v>108</v>
      </c>
      <c r="G106" s="7"/>
      <c r="H106" s="7">
        <v>10</v>
      </c>
      <c r="I106" s="7">
        <v>9</v>
      </c>
      <c r="J106" s="8">
        <f t="shared" si="14"/>
        <v>19</v>
      </c>
      <c r="K106" s="9">
        <f t="shared" si="15"/>
        <v>234.65</v>
      </c>
      <c r="L106" s="5"/>
      <c r="M106" s="9"/>
      <c r="N106" s="21"/>
      <c r="O106" s="21"/>
      <c r="P106" s="21"/>
      <c r="Q106" s="21"/>
      <c r="R106" s="21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2.75" customHeight="1" x14ac:dyDescent="0.25">
      <c r="A107" s="3">
        <v>700</v>
      </c>
      <c r="B107" s="19" t="s">
        <v>109</v>
      </c>
      <c r="C107" s="17">
        <v>15.24</v>
      </c>
      <c r="D107" s="17">
        <v>11.5</v>
      </c>
      <c r="E107" s="17">
        <v>16.95</v>
      </c>
      <c r="F107" s="6" t="s">
        <v>49</v>
      </c>
      <c r="G107" s="7"/>
      <c r="H107" s="7"/>
      <c r="I107" s="7"/>
      <c r="J107" s="8">
        <f t="shared" si="14"/>
        <v>0</v>
      </c>
      <c r="K107" s="9">
        <f t="shared" si="15"/>
        <v>0</v>
      </c>
      <c r="L107" s="5"/>
      <c r="M107" s="9"/>
      <c r="N107" s="21"/>
      <c r="O107" s="21"/>
      <c r="P107" s="21"/>
      <c r="Q107" s="21"/>
      <c r="R107" s="21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2.75" customHeight="1" x14ac:dyDescent="0.25">
      <c r="A108" s="3">
        <v>700</v>
      </c>
      <c r="B108" s="19" t="s">
        <v>110</v>
      </c>
      <c r="C108" s="5">
        <v>24.57</v>
      </c>
      <c r="D108" s="5">
        <v>33.950000000000003</v>
      </c>
      <c r="E108" s="5">
        <v>33.950000000000003</v>
      </c>
      <c r="F108" s="6" t="s">
        <v>27</v>
      </c>
      <c r="G108" s="7"/>
      <c r="H108" s="7">
        <v>2</v>
      </c>
      <c r="I108" s="7"/>
      <c r="J108" s="8">
        <f t="shared" si="14"/>
        <v>2</v>
      </c>
      <c r="K108" s="9">
        <f t="shared" si="15"/>
        <v>49.14</v>
      </c>
      <c r="L108" s="5"/>
      <c r="M108" s="9"/>
      <c r="N108" s="9"/>
      <c r="O108" s="21"/>
      <c r="P108" s="21"/>
      <c r="Q108" s="21"/>
      <c r="R108" s="21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2.75" customHeight="1" x14ac:dyDescent="0.25">
      <c r="A109" s="3" t="s">
        <v>30</v>
      </c>
      <c r="B109" s="19" t="s">
        <v>110</v>
      </c>
      <c r="C109" s="5">
        <v>30.79</v>
      </c>
      <c r="D109" s="17">
        <v>39.950000000000003</v>
      </c>
      <c r="E109" s="17">
        <v>39.950000000000003</v>
      </c>
      <c r="F109" s="6" t="s">
        <v>27</v>
      </c>
      <c r="G109" s="7"/>
      <c r="H109" s="7">
        <v>3</v>
      </c>
      <c r="I109" s="7"/>
      <c r="J109" s="8">
        <f t="shared" si="14"/>
        <v>3</v>
      </c>
      <c r="K109" s="9">
        <f t="shared" si="15"/>
        <v>92.37</v>
      </c>
      <c r="L109" s="5"/>
      <c r="M109" s="9"/>
      <c r="N109" s="21"/>
      <c r="O109" s="21"/>
      <c r="P109" s="21"/>
      <c r="Q109" s="21"/>
      <c r="R109" s="21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2.75" customHeight="1" x14ac:dyDescent="0.25">
      <c r="A110" s="3" t="s">
        <v>30</v>
      </c>
      <c r="B110" s="4" t="s">
        <v>111</v>
      </c>
      <c r="C110" s="17">
        <v>12.25</v>
      </c>
      <c r="D110" s="17">
        <v>13.5</v>
      </c>
      <c r="E110" s="17">
        <v>13.95</v>
      </c>
      <c r="F110" s="6" t="s">
        <v>27</v>
      </c>
      <c r="G110" s="7"/>
      <c r="H110" s="7">
        <v>6</v>
      </c>
      <c r="I110" s="7"/>
      <c r="J110" s="8">
        <f t="shared" si="14"/>
        <v>6</v>
      </c>
      <c r="K110" s="9">
        <f t="shared" si="15"/>
        <v>73.5</v>
      </c>
      <c r="L110" s="5"/>
      <c r="M110" s="9"/>
      <c r="N110" s="9"/>
      <c r="O110" s="9"/>
      <c r="P110" s="9"/>
      <c r="Q110" s="9"/>
      <c r="R110" s="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spans="1:30" ht="12.75" customHeight="1" x14ac:dyDescent="0.25">
      <c r="A111" s="3">
        <v>700</v>
      </c>
      <c r="B111" s="4" t="s">
        <v>112</v>
      </c>
      <c r="C111" s="5">
        <v>11.77</v>
      </c>
      <c r="D111" s="5">
        <v>13.95</v>
      </c>
      <c r="E111" s="5">
        <v>14.95</v>
      </c>
      <c r="F111" s="6" t="s">
        <v>27</v>
      </c>
      <c r="G111" s="7"/>
      <c r="H111" s="7">
        <v>2</v>
      </c>
      <c r="I111" s="7"/>
      <c r="J111" s="8">
        <f t="shared" si="14"/>
        <v>2</v>
      </c>
      <c r="K111" s="9">
        <f t="shared" si="15"/>
        <v>23.54</v>
      </c>
      <c r="L111" s="5"/>
      <c r="M111" s="9"/>
      <c r="N111" s="9"/>
      <c r="O111" s="9"/>
      <c r="P111" s="9"/>
      <c r="Q111" s="9"/>
      <c r="R111" s="9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spans="1:30" ht="12.75" customHeight="1" x14ac:dyDescent="0.25">
      <c r="A112" s="3" t="s">
        <v>30</v>
      </c>
      <c r="B112" s="4" t="s">
        <v>113</v>
      </c>
      <c r="C112" s="5">
        <v>13.49</v>
      </c>
      <c r="D112" s="5">
        <v>16.5</v>
      </c>
      <c r="E112" s="5">
        <v>16.95</v>
      </c>
      <c r="F112" s="6" t="s">
        <v>49</v>
      </c>
      <c r="G112" s="7"/>
      <c r="H112" s="7">
        <v>4</v>
      </c>
      <c r="I112" s="7"/>
      <c r="J112" s="8">
        <f t="shared" si="14"/>
        <v>4</v>
      </c>
      <c r="K112" s="9">
        <f t="shared" si="15"/>
        <v>53.96</v>
      </c>
      <c r="L112" s="5"/>
      <c r="M112" s="18"/>
      <c r="N112" s="9"/>
      <c r="O112" s="9"/>
      <c r="P112" s="9"/>
      <c r="Q112" s="9"/>
      <c r="R112" s="9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spans="1:30" ht="12.75" customHeight="1" x14ac:dyDescent="0.25">
      <c r="A113" s="3">
        <v>700</v>
      </c>
      <c r="B113" s="4" t="s">
        <v>114</v>
      </c>
      <c r="C113" s="5">
        <v>26.68</v>
      </c>
      <c r="D113" s="5">
        <v>29.5</v>
      </c>
      <c r="E113" s="5">
        <v>32</v>
      </c>
      <c r="F113" s="6" t="s">
        <v>27</v>
      </c>
      <c r="G113" s="7"/>
      <c r="H113" s="7">
        <v>1</v>
      </c>
      <c r="I113" s="7"/>
      <c r="J113" s="8">
        <f t="shared" si="14"/>
        <v>1</v>
      </c>
      <c r="K113" s="9">
        <f t="shared" si="15"/>
        <v>26.68</v>
      </c>
      <c r="L113" s="5"/>
      <c r="M113" s="9"/>
      <c r="N113" s="9"/>
      <c r="O113" s="9"/>
      <c r="P113" s="9"/>
      <c r="Q113" s="9"/>
      <c r="R113" s="9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spans="1:30" ht="12.75" customHeight="1" x14ac:dyDescent="0.25">
      <c r="A114" s="3">
        <v>700</v>
      </c>
      <c r="B114" s="4" t="s">
        <v>115</v>
      </c>
      <c r="C114" s="17">
        <v>25.47</v>
      </c>
      <c r="D114" s="17">
        <v>29.95</v>
      </c>
      <c r="E114" s="17">
        <v>29.95</v>
      </c>
      <c r="F114" s="6" t="s">
        <v>27</v>
      </c>
      <c r="G114" s="7"/>
      <c r="H114" s="7">
        <v>4</v>
      </c>
      <c r="I114" s="7"/>
      <c r="J114" s="8">
        <f t="shared" si="14"/>
        <v>4</v>
      </c>
      <c r="K114" s="9">
        <f t="shared" si="15"/>
        <v>101.88</v>
      </c>
      <c r="L114" s="5"/>
      <c r="M114" s="9"/>
      <c r="N114" s="9"/>
      <c r="O114" s="9"/>
      <c r="P114" s="9"/>
      <c r="Q114" s="9"/>
      <c r="R114" s="9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spans="1:30" ht="12.75" customHeight="1" x14ac:dyDescent="0.25">
      <c r="A115" s="3">
        <v>500</v>
      </c>
      <c r="B115" s="4" t="s">
        <v>116</v>
      </c>
      <c r="C115" s="5">
        <v>31.07</v>
      </c>
      <c r="D115" s="5">
        <v>37</v>
      </c>
      <c r="E115" s="5">
        <v>37</v>
      </c>
      <c r="F115" s="6" t="s">
        <v>49</v>
      </c>
      <c r="G115" s="7"/>
      <c r="H115" s="7">
        <v>1</v>
      </c>
      <c r="I115" s="7"/>
      <c r="J115" s="8">
        <f t="shared" si="14"/>
        <v>1</v>
      </c>
      <c r="K115" s="9">
        <f t="shared" si="15"/>
        <v>31.07</v>
      </c>
      <c r="L115" s="5"/>
      <c r="M115" s="9"/>
      <c r="N115" s="9"/>
      <c r="O115" s="9"/>
      <c r="P115" s="9"/>
      <c r="Q115" s="9"/>
      <c r="R115" s="9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 spans="1:30" ht="12.75" customHeight="1" x14ac:dyDescent="0.25">
      <c r="A116" s="3" t="s">
        <v>30</v>
      </c>
      <c r="B116" s="4" t="s">
        <v>117</v>
      </c>
      <c r="C116" s="17">
        <v>21.9</v>
      </c>
      <c r="D116" s="17">
        <v>25</v>
      </c>
      <c r="E116" s="17">
        <v>26</v>
      </c>
      <c r="F116" s="6" t="s">
        <v>49</v>
      </c>
      <c r="G116" s="7"/>
      <c r="H116" s="7">
        <v>1</v>
      </c>
      <c r="I116" s="7"/>
      <c r="J116" s="8">
        <f t="shared" si="14"/>
        <v>1</v>
      </c>
      <c r="K116" s="9">
        <f t="shared" si="15"/>
        <v>21.9</v>
      </c>
      <c r="L116" s="5"/>
      <c r="M116" s="9"/>
      <c r="N116" s="9"/>
      <c r="O116" s="9"/>
      <c r="P116" s="9"/>
      <c r="Q116" s="9"/>
      <c r="R116" s="9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spans="1:30" ht="12.75" customHeight="1" x14ac:dyDescent="0.25">
      <c r="A117" s="3" t="s">
        <v>30</v>
      </c>
      <c r="B117" s="19" t="s">
        <v>118</v>
      </c>
      <c r="C117" s="26">
        <v>6.82</v>
      </c>
      <c r="D117" s="26">
        <v>7.95</v>
      </c>
      <c r="E117" s="26">
        <v>8.5</v>
      </c>
      <c r="F117" s="6" t="s">
        <v>27</v>
      </c>
      <c r="G117" s="7">
        <v>10</v>
      </c>
      <c r="H117" s="7">
        <v>3</v>
      </c>
      <c r="I117" s="7"/>
      <c r="J117" s="8">
        <f t="shared" si="14"/>
        <v>13</v>
      </c>
      <c r="K117" s="9">
        <f t="shared" si="15"/>
        <v>88.66</v>
      </c>
      <c r="L117" s="5"/>
      <c r="M117" s="9"/>
      <c r="N117" s="21"/>
      <c r="O117" s="21"/>
      <c r="P117" s="21"/>
      <c r="Q117" s="21"/>
      <c r="R117" s="21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2.75" customHeight="1" x14ac:dyDescent="0.25">
      <c r="A118" s="3" t="s">
        <v>30</v>
      </c>
      <c r="B118" s="19" t="s">
        <v>119</v>
      </c>
      <c r="C118" s="17">
        <v>9.07</v>
      </c>
      <c r="D118" s="17">
        <v>10.5</v>
      </c>
      <c r="E118" s="17">
        <v>10.95</v>
      </c>
      <c r="F118" s="6" t="s">
        <v>27</v>
      </c>
      <c r="G118" s="7"/>
      <c r="H118" s="7">
        <v>3</v>
      </c>
      <c r="I118" s="7">
        <v>6</v>
      </c>
      <c r="J118" s="8">
        <f t="shared" si="14"/>
        <v>9</v>
      </c>
      <c r="K118" s="9">
        <f t="shared" si="15"/>
        <v>81.63</v>
      </c>
      <c r="L118" s="5"/>
      <c r="M118" s="9"/>
      <c r="N118" s="21"/>
      <c r="O118" s="21"/>
      <c r="P118" s="21"/>
      <c r="Q118" s="21"/>
      <c r="R118" s="21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2.75" customHeight="1" x14ac:dyDescent="0.25">
      <c r="A119" s="3">
        <v>700</v>
      </c>
      <c r="B119" s="19" t="s">
        <v>120</v>
      </c>
      <c r="C119" s="17">
        <v>14.15</v>
      </c>
      <c r="D119" s="17">
        <v>16.95</v>
      </c>
      <c r="E119" s="17">
        <v>16.95</v>
      </c>
      <c r="F119" s="6" t="s">
        <v>27</v>
      </c>
      <c r="H119" s="7">
        <v>4</v>
      </c>
      <c r="I119" s="7"/>
      <c r="J119" s="8">
        <f t="shared" si="14"/>
        <v>4</v>
      </c>
      <c r="K119" s="9">
        <f t="shared" si="15"/>
        <v>56.6</v>
      </c>
      <c r="L119" s="5"/>
      <c r="M119" s="9"/>
      <c r="N119" s="21"/>
      <c r="O119" s="20"/>
      <c r="P119" s="21"/>
      <c r="Q119" s="21"/>
      <c r="R119" s="21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2.75" customHeight="1" x14ac:dyDescent="0.25">
      <c r="A120" s="3">
        <v>700</v>
      </c>
      <c r="B120" s="19" t="s">
        <v>121</v>
      </c>
      <c r="C120" s="5">
        <v>14.76</v>
      </c>
      <c r="D120" s="17">
        <v>16.95</v>
      </c>
      <c r="E120" s="17">
        <v>16.95</v>
      </c>
      <c r="F120" s="6" t="s">
        <v>27</v>
      </c>
      <c r="G120" s="7"/>
      <c r="H120" s="7">
        <v>4</v>
      </c>
      <c r="I120" s="7"/>
      <c r="J120" s="8">
        <f t="shared" si="14"/>
        <v>4</v>
      </c>
      <c r="K120" s="9">
        <f t="shared" si="15"/>
        <v>59.04</v>
      </c>
      <c r="L120" s="5"/>
      <c r="M120" s="9"/>
      <c r="N120" s="21"/>
      <c r="O120" s="21"/>
      <c r="P120" s="21"/>
      <c r="Q120" s="21"/>
      <c r="R120" s="21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2.75" customHeight="1" x14ac:dyDescent="0.25">
      <c r="A121" s="3">
        <v>700</v>
      </c>
      <c r="B121" s="19" t="s">
        <v>122</v>
      </c>
      <c r="C121" s="5">
        <v>22</v>
      </c>
      <c r="D121" s="5">
        <v>29</v>
      </c>
      <c r="E121" s="5">
        <v>29.95</v>
      </c>
      <c r="F121" s="6" t="s">
        <v>27</v>
      </c>
      <c r="G121" s="7"/>
      <c r="H121" s="7">
        <v>1</v>
      </c>
      <c r="I121" s="7"/>
      <c r="J121" s="8">
        <f t="shared" si="14"/>
        <v>1</v>
      </c>
      <c r="K121" s="9">
        <f t="shared" si="15"/>
        <v>22</v>
      </c>
      <c r="L121" s="5"/>
      <c r="M121" s="9"/>
      <c r="N121" s="21"/>
      <c r="O121" s="21"/>
      <c r="P121" s="21"/>
      <c r="Q121" s="21"/>
      <c r="R121" s="21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2.75" customHeight="1" x14ac:dyDescent="0.25">
      <c r="A122" s="3">
        <v>700</v>
      </c>
      <c r="B122" s="19" t="s">
        <v>123</v>
      </c>
      <c r="C122" s="5">
        <v>19.05</v>
      </c>
      <c r="D122" s="5">
        <v>22</v>
      </c>
      <c r="E122" s="5">
        <v>22.95</v>
      </c>
      <c r="F122" s="6" t="s">
        <v>27</v>
      </c>
      <c r="G122" s="7"/>
      <c r="H122" s="7">
        <v>2</v>
      </c>
      <c r="I122" s="7"/>
      <c r="J122" s="8">
        <f t="shared" si="14"/>
        <v>2</v>
      </c>
      <c r="K122" s="9">
        <f t="shared" si="15"/>
        <v>38.1</v>
      </c>
      <c r="L122" s="5"/>
      <c r="M122" s="9"/>
      <c r="N122" s="21"/>
      <c r="O122" s="21"/>
      <c r="P122" s="21"/>
      <c r="Q122" s="21"/>
      <c r="R122" s="21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2.75" customHeight="1" x14ac:dyDescent="0.25">
      <c r="A123" s="3">
        <v>700</v>
      </c>
      <c r="B123" s="19" t="s">
        <v>124</v>
      </c>
      <c r="C123" s="17">
        <v>13.57</v>
      </c>
      <c r="D123" s="17">
        <v>15.95</v>
      </c>
      <c r="E123" s="17">
        <v>15.95</v>
      </c>
      <c r="F123" s="6" t="s">
        <v>27</v>
      </c>
      <c r="G123" s="7"/>
      <c r="H123" s="7">
        <v>3</v>
      </c>
      <c r="I123" s="7"/>
      <c r="J123" s="8">
        <f t="shared" si="14"/>
        <v>3</v>
      </c>
      <c r="K123" s="9">
        <f t="shared" si="15"/>
        <v>40.71</v>
      </c>
      <c r="L123" s="5"/>
      <c r="M123" s="9"/>
      <c r="N123" s="9"/>
      <c r="O123" s="21"/>
      <c r="P123" s="21"/>
      <c r="Q123" s="21"/>
      <c r="R123" s="21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2.75" customHeight="1" x14ac:dyDescent="0.25">
      <c r="A124" s="3" t="s">
        <v>30</v>
      </c>
      <c r="B124" s="19" t="s">
        <v>124</v>
      </c>
      <c r="C124" s="17">
        <v>19.309999999999999</v>
      </c>
      <c r="D124" s="17">
        <v>21.5</v>
      </c>
      <c r="E124" s="17">
        <v>21.5</v>
      </c>
      <c r="F124" s="6" t="s">
        <v>49</v>
      </c>
      <c r="G124" s="7">
        <v>0</v>
      </c>
      <c r="H124" s="7">
        <v>6</v>
      </c>
      <c r="I124" s="7"/>
      <c r="J124" s="8">
        <f t="shared" si="14"/>
        <v>6</v>
      </c>
      <c r="K124" s="9">
        <f t="shared" si="15"/>
        <v>115.85999999999999</v>
      </c>
      <c r="L124" s="5"/>
      <c r="M124" s="9"/>
      <c r="N124" s="9"/>
      <c r="O124" s="21"/>
      <c r="P124" s="21"/>
      <c r="Q124" s="21"/>
      <c r="R124" s="21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2.75" customHeight="1" x14ac:dyDescent="0.25">
      <c r="A125" s="3" t="s">
        <v>30</v>
      </c>
      <c r="B125" s="19" t="s">
        <v>125</v>
      </c>
      <c r="C125" s="5">
        <v>26.38</v>
      </c>
      <c r="D125" s="17">
        <v>29.95</v>
      </c>
      <c r="E125" s="17">
        <v>29.95</v>
      </c>
      <c r="F125" s="6" t="s">
        <v>49</v>
      </c>
      <c r="G125" s="7"/>
      <c r="H125" s="7">
        <v>2</v>
      </c>
      <c r="I125" s="7"/>
      <c r="J125" s="8">
        <f t="shared" si="14"/>
        <v>2</v>
      </c>
      <c r="K125" s="9">
        <f t="shared" si="15"/>
        <v>52.76</v>
      </c>
      <c r="L125" s="5"/>
      <c r="M125" s="9"/>
      <c r="N125" s="9"/>
      <c r="O125" s="21"/>
      <c r="P125" s="21"/>
      <c r="Q125" s="21"/>
      <c r="R125" s="21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2.75" customHeight="1" x14ac:dyDescent="0.25">
      <c r="A126" s="3">
        <v>700</v>
      </c>
      <c r="B126" s="19" t="s">
        <v>126</v>
      </c>
      <c r="C126" s="5">
        <v>14.47</v>
      </c>
      <c r="D126" s="17">
        <v>15.95</v>
      </c>
      <c r="E126" s="17">
        <v>15.95</v>
      </c>
      <c r="F126" s="6" t="s">
        <v>27</v>
      </c>
      <c r="G126" s="7"/>
      <c r="H126" s="7">
        <v>6</v>
      </c>
      <c r="I126" s="7"/>
      <c r="J126" s="8">
        <f t="shared" si="14"/>
        <v>6</v>
      </c>
      <c r="K126" s="9">
        <f t="shared" si="15"/>
        <v>86.820000000000007</v>
      </c>
      <c r="L126" s="5"/>
      <c r="M126" s="9"/>
      <c r="N126" s="9"/>
      <c r="O126" s="21"/>
      <c r="P126" s="21"/>
      <c r="Q126" s="21"/>
      <c r="R126" s="21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2.75" customHeight="1" x14ac:dyDescent="0.25">
      <c r="A127" s="3">
        <v>700</v>
      </c>
      <c r="B127" s="19" t="s">
        <v>127</v>
      </c>
      <c r="C127" s="5">
        <v>14.96</v>
      </c>
      <c r="D127" s="5">
        <v>19.95</v>
      </c>
      <c r="E127" s="5">
        <v>19.95</v>
      </c>
      <c r="F127" s="6" t="s">
        <v>27</v>
      </c>
      <c r="G127" s="7"/>
      <c r="H127" s="7">
        <v>7</v>
      </c>
      <c r="I127" s="7"/>
      <c r="J127" s="8">
        <f t="shared" si="14"/>
        <v>7</v>
      </c>
      <c r="K127" s="9">
        <f t="shared" si="15"/>
        <v>104.72</v>
      </c>
      <c r="L127" s="5"/>
      <c r="M127" s="9"/>
      <c r="N127" s="21"/>
      <c r="O127" s="21"/>
      <c r="P127" s="21"/>
      <c r="Q127" s="21"/>
      <c r="R127" s="21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2.75" customHeight="1" x14ac:dyDescent="0.25">
      <c r="A128" s="3" t="s">
        <v>30</v>
      </c>
      <c r="B128" s="19" t="s">
        <v>127</v>
      </c>
      <c r="C128" s="5">
        <v>18.27</v>
      </c>
      <c r="D128" s="5">
        <v>23.95</v>
      </c>
      <c r="E128" s="5">
        <v>24.95</v>
      </c>
      <c r="F128" s="6" t="s">
        <v>49</v>
      </c>
      <c r="G128" s="7"/>
      <c r="H128" s="7"/>
      <c r="I128" s="7"/>
      <c r="J128" s="8">
        <f t="shared" si="14"/>
        <v>0</v>
      </c>
      <c r="K128" s="9">
        <f t="shared" si="15"/>
        <v>0</v>
      </c>
      <c r="L128" s="5"/>
      <c r="M128" s="9"/>
      <c r="N128" s="21"/>
      <c r="O128" s="21"/>
      <c r="P128" s="21"/>
      <c r="Q128" s="21"/>
      <c r="R128" s="21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2.75" customHeight="1" x14ac:dyDescent="0.25">
      <c r="A129" s="3" t="s">
        <v>84</v>
      </c>
      <c r="B129" s="19" t="s">
        <v>128</v>
      </c>
      <c r="C129" s="5">
        <v>17</v>
      </c>
      <c r="D129" s="5">
        <v>20</v>
      </c>
      <c r="E129" s="5">
        <v>20</v>
      </c>
      <c r="F129" s="6" t="s">
        <v>49</v>
      </c>
      <c r="G129" s="7"/>
      <c r="H129" s="7">
        <v>1</v>
      </c>
      <c r="I129" s="7"/>
      <c r="J129" s="8">
        <f t="shared" si="14"/>
        <v>1</v>
      </c>
      <c r="K129" s="9">
        <f t="shared" si="15"/>
        <v>17</v>
      </c>
      <c r="L129" s="5"/>
      <c r="M129" s="9"/>
      <c r="N129" s="21"/>
      <c r="O129" s="21"/>
      <c r="P129" s="21"/>
      <c r="Q129" s="21"/>
      <c r="R129" s="21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2.75" customHeight="1" x14ac:dyDescent="0.25">
      <c r="A130" s="3" t="s">
        <v>30</v>
      </c>
      <c r="B130" s="19" t="s">
        <v>128</v>
      </c>
      <c r="C130" s="5">
        <v>20.07</v>
      </c>
      <c r="D130" s="5">
        <v>23.95</v>
      </c>
      <c r="E130" s="5">
        <v>23.95</v>
      </c>
      <c r="F130" s="6" t="s">
        <v>49</v>
      </c>
      <c r="G130" s="7"/>
      <c r="H130" s="7">
        <v>4</v>
      </c>
      <c r="I130" s="7"/>
      <c r="J130" s="8">
        <f t="shared" si="14"/>
        <v>4</v>
      </c>
      <c r="K130" s="9">
        <f t="shared" si="15"/>
        <v>80.28</v>
      </c>
      <c r="L130" s="5"/>
      <c r="M130" s="9"/>
      <c r="N130" s="21"/>
      <c r="O130" s="21"/>
      <c r="P130" s="21"/>
      <c r="Q130" s="21"/>
      <c r="R130" s="21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2.75" customHeight="1" x14ac:dyDescent="0.25">
      <c r="A131" s="3" t="s">
        <v>30</v>
      </c>
      <c r="B131" s="19" t="s">
        <v>129</v>
      </c>
      <c r="C131" s="5">
        <v>18.39</v>
      </c>
      <c r="D131" s="17">
        <v>22.95</v>
      </c>
      <c r="E131" s="17">
        <v>22.95</v>
      </c>
      <c r="F131" s="6" t="s">
        <v>27</v>
      </c>
      <c r="G131" s="7">
        <v>2</v>
      </c>
      <c r="H131" s="7">
        <v>4</v>
      </c>
      <c r="I131" s="7"/>
      <c r="J131" s="8">
        <f t="shared" si="14"/>
        <v>6</v>
      </c>
      <c r="K131" s="9">
        <f t="shared" si="15"/>
        <v>110.34</v>
      </c>
      <c r="L131" s="5"/>
      <c r="M131" s="9"/>
      <c r="N131" s="21"/>
      <c r="O131" s="21"/>
      <c r="P131" s="21"/>
      <c r="Q131" s="21"/>
      <c r="R131" s="21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2.75" customHeight="1" x14ac:dyDescent="0.25">
      <c r="A132" s="3" t="s">
        <v>30</v>
      </c>
      <c r="B132" s="19" t="s">
        <v>130</v>
      </c>
      <c r="C132" s="5">
        <v>15.43</v>
      </c>
      <c r="D132" s="5">
        <v>17.95</v>
      </c>
      <c r="E132" s="5">
        <v>17.95</v>
      </c>
      <c r="F132" s="6" t="s">
        <v>27</v>
      </c>
      <c r="G132" s="7"/>
      <c r="H132" s="7">
        <v>4</v>
      </c>
      <c r="I132" s="7"/>
      <c r="J132" s="8">
        <f t="shared" si="14"/>
        <v>4</v>
      </c>
      <c r="K132" s="9">
        <f t="shared" si="15"/>
        <v>61.72</v>
      </c>
      <c r="L132" s="5"/>
      <c r="M132" s="9"/>
      <c r="N132" s="21"/>
      <c r="O132" s="21"/>
      <c r="P132" s="21"/>
      <c r="Q132" s="21"/>
      <c r="R132" s="21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2.75" customHeight="1" x14ac:dyDescent="0.25">
      <c r="A133" s="3" t="s">
        <v>30</v>
      </c>
      <c r="B133" s="19" t="s">
        <v>131</v>
      </c>
      <c r="C133" s="5">
        <v>20.32</v>
      </c>
      <c r="D133" s="32">
        <v>24</v>
      </c>
      <c r="E133" s="32">
        <v>26.95</v>
      </c>
      <c r="F133" s="6" t="s">
        <v>108</v>
      </c>
      <c r="G133" s="7">
        <v>4</v>
      </c>
      <c r="H133" s="7">
        <v>5</v>
      </c>
      <c r="I133" s="7"/>
      <c r="J133" s="8">
        <f t="shared" si="14"/>
        <v>9</v>
      </c>
      <c r="K133" s="9">
        <f t="shared" si="15"/>
        <v>182.88</v>
      </c>
      <c r="L133" s="5"/>
      <c r="M133" s="9"/>
      <c r="N133" s="21"/>
      <c r="O133" s="21"/>
      <c r="P133" s="21"/>
      <c r="Q133" s="21"/>
      <c r="R133" s="21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6.5" customHeight="1" x14ac:dyDescent="0.5">
      <c r="A134" s="3" t="s">
        <v>84</v>
      </c>
      <c r="B134" s="19" t="s">
        <v>132</v>
      </c>
      <c r="C134" s="5">
        <v>18.82</v>
      </c>
      <c r="D134" s="32">
        <v>22</v>
      </c>
      <c r="E134" s="32">
        <v>22.95</v>
      </c>
      <c r="F134" s="6" t="s">
        <v>108</v>
      </c>
      <c r="G134" s="7"/>
      <c r="H134" s="7">
        <v>4</v>
      </c>
      <c r="I134" s="7"/>
      <c r="J134" s="8">
        <f t="shared" si="14"/>
        <v>4</v>
      </c>
      <c r="K134" s="9">
        <f t="shared" si="15"/>
        <v>75.28</v>
      </c>
      <c r="L134" s="5"/>
      <c r="M134" s="33"/>
      <c r="N134" s="21"/>
      <c r="O134" s="21"/>
      <c r="P134" s="21"/>
      <c r="Q134" s="21"/>
      <c r="R134" s="21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2.75" customHeight="1" x14ac:dyDescent="0.25">
      <c r="A135" s="3" t="s">
        <v>84</v>
      </c>
      <c r="B135" s="19" t="s">
        <v>133</v>
      </c>
      <c r="C135" s="5">
        <v>18.82</v>
      </c>
      <c r="D135" s="32">
        <v>22</v>
      </c>
      <c r="E135" s="32">
        <v>22.95</v>
      </c>
      <c r="F135" s="6" t="s">
        <v>108</v>
      </c>
      <c r="G135" s="7">
        <v>1</v>
      </c>
      <c r="H135" s="7">
        <v>4</v>
      </c>
      <c r="I135" s="7"/>
      <c r="J135" s="8">
        <f t="shared" si="14"/>
        <v>5</v>
      </c>
      <c r="K135" s="9">
        <f t="shared" si="15"/>
        <v>94.1</v>
      </c>
      <c r="L135" s="5"/>
      <c r="M135" s="9"/>
      <c r="N135" s="21"/>
      <c r="O135" s="21"/>
      <c r="P135" s="21"/>
      <c r="Q135" s="21"/>
      <c r="R135" s="21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2.75" customHeight="1" x14ac:dyDescent="0.25">
      <c r="A136" s="3" t="s">
        <v>84</v>
      </c>
      <c r="B136" s="19" t="s">
        <v>134</v>
      </c>
      <c r="C136" s="5">
        <v>18.82</v>
      </c>
      <c r="D136" s="32">
        <v>22</v>
      </c>
      <c r="E136" s="32">
        <v>22.95</v>
      </c>
      <c r="F136" s="6" t="s">
        <v>108</v>
      </c>
      <c r="G136" s="7"/>
      <c r="H136" s="7">
        <v>3</v>
      </c>
      <c r="I136" s="7"/>
      <c r="J136" s="8">
        <f t="shared" si="14"/>
        <v>3</v>
      </c>
      <c r="K136" s="9">
        <f t="shared" si="15"/>
        <v>56.46</v>
      </c>
      <c r="L136" s="5"/>
      <c r="M136" s="9"/>
      <c r="N136" s="21"/>
      <c r="O136" s="21"/>
      <c r="P136" s="21"/>
      <c r="Q136" s="21"/>
      <c r="R136" s="21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2.75" customHeight="1" x14ac:dyDescent="0.25">
      <c r="A137" s="3"/>
      <c r="B137" s="19"/>
      <c r="C137" s="5"/>
      <c r="D137" s="32"/>
      <c r="E137" s="5"/>
      <c r="F137" s="6"/>
      <c r="G137" s="7"/>
      <c r="H137" s="7"/>
      <c r="I137" s="7"/>
      <c r="J137" s="8"/>
      <c r="K137" s="9"/>
      <c r="L137" s="5"/>
      <c r="M137" s="9"/>
      <c r="N137" s="21"/>
      <c r="O137" s="20"/>
      <c r="P137" s="21"/>
      <c r="Q137" s="21"/>
      <c r="R137" s="21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2.75" customHeight="1" x14ac:dyDescent="0.25">
      <c r="A138" s="3"/>
      <c r="B138" s="19"/>
      <c r="C138" s="5"/>
      <c r="D138" s="5"/>
      <c r="E138" s="5"/>
      <c r="F138" s="6"/>
      <c r="G138" s="7"/>
      <c r="H138" s="7"/>
      <c r="I138" s="7"/>
      <c r="J138" s="8"/>
      <c r="K138" s="9"/>
      <c r="L138" s="5"/>
      <c r="M138" s="9"/>
      <c r="N138" s="21"/>
      <c r="O138" s="20"/>
      <c r="P138" s="21"/>
      <c r="Q138" s="21"/>
      <c r="R138" s="21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2.75" customHeight="1" x14ac:dyDescent="0.3">
      <c r="A139" s="3"/>
      <c r="B139" s="15" t="s">
        <v>135</v>
      </c>
      <c r="C139" s="5"/>
      <c r="D139" s="5"/>
      <c r="E139" s="5"/>
      <c r="F139" s="6"/>
      <c r="G139" s="7"/>
      <c r="H139" s="7"/>
      <c r="I139" s="7"/>
      <c r="J139" s="8"/>
      <c r="K139" s="9"/>
      <c r="L139" s="5"/>
      <c r="M139" s="9"/>
      <c r="N139" s="9"/>
      <c r="O139" s="9"/>
      <c r="P139" s="9"/>
      <c r="Q139" s="9"/>
      <c r="R139" s="9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 spans="1:30" ht="12.75" customHeight="1" x14ac:dyDescent="0.25">
      <c r="A140" s="3"/>
      <c r="B140" s="4"/>
      <c r="C140" s="5"/>
      <c r="D140" s="5"/>
      <c r="E140" s="5"/>
      <c r="F140" s="6"/>
      <c r="G140" s="7"/>
      <c r="H140" s="7"/>
      <c r="I140" s="7"/>
      <c r="J140" s="8"/>
      <c r="K140" s="9"/>
      <c r="L140" s="5"/>
      <c r="M140" s="9"/>
      <c r="N140" s="9"/>
      <c r="O140" s="9"/>
      <c r="P140" s="9"/>
      <c r="Q140" s="9"/>
      <c r="R140" s="9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12.75" customHeight="1" x14ac:dyDescent="0.25">
      <c r="A141" s="3" t="s">
        <v>13</v>
      </c>
      <c r="B141" s="4" t="s">
        <v>14</v>
      </c>
      <c r="C141" s="5"/>
      <c r="D141" s="5"/>
      <c r="E141" s="5"/>
      <c r="F141" s="6"/>
      <c r="G141" s="7"/>
      <c r="H141" s="7"/>
      <c r="I141" s="7"/>
      <c r="J141" s="8"/>
      <c r="K141" s="9"/>
      <c r="L141" s="5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2.75" customHeight="1" x14ac:dyDescent="0.25">
      <c r="A142" s="3"/>
      <c r="B142" s="4"/>
      <c r="C142" s="5"/>
      <c r="D142" s="5"/>
      <c r="E142" s="5"/>
      <c r="F142" s="6"/>
      <c r="G142" s="7"/>
      <c r="H142" s="7"/>
      <c r="I142" s="7"/>
      <c r="J142" s="8"/>
      <c r="K142" s="9"/>
      <c r="L142" s="5"/>
      <c r="M142" s="9"/>
      <c r="N142" s="9"/>
      <c r="O142" s="9"/>
      <c r="P142" s="9"/>
      <c r="Q142" s="9"/>
      <c r="R142" s="9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1:30" ht="12.75" customHeight="1" x14ac:dyDescent="0.25">
      <c r="A143" s="3"/>
      <c r="B143" s="19"/>
      <c r="C143" s="5"/>
      <c r="D143" s="5"/>
      <c r="E143" s="5"/>
      <c r="F143" s="6"/>
      <c r="G143" s="7"/>
      <c r="H143" s="7"/>
      <c r="I143" s="7"/>
      <c r="J143" s="8"/>
      <c r="K143" s="9"/>
      <c r="L143" s="5"/>
      <c r="M143" s="21"/>
      <c r="N143" s="21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2.75" customHeight="1" x14ac:dyDescent="0.25">
      <c r="A144" s="3">
        <v>700</v>
      </c>
      <c r="B144" s="4" t="s">
        <v>136</v>
      </c>
      <c r="C144" s="17">
        <v>8.26</v>
      </c>
      <c r="D144" s="17">
        <v>8.9499999999999993</v>
      </c>
      <c r="E144" s="17">
        <v>8.9499999999999993</v>
      </c>
      <c r="F144" s="6" t="s">
        <v>27</v>
      </c>
      <c r="G144" s="7"/>
      <c r="H144" s="7">
        <v>2</v>
      </c>
      <c r="I144" s="7"/>
      <c r="J144" s="8">
        <f t="shared" ref="J144:J177" si="16">SUM(G144:I144)</f>
        <v>2</v>
      </c>
      <c r="K144" s="9">
        <f t="shared" ref="K144:K177" si="17">SUM(C144*J144)</f>
        <v>16.52</v>
      </c>
      <c r="L144" s="5"/>
      <c r="M144" s="9"/>
      <c r="N144" s="9"/>
      <c r="O144" s="9"/>
      <c r="P144" s="9"/>
      <c r="Q144" s="9"/>
      <c r="R144" s="9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 spans="1:30" ht="12.75" customHeight="1" x14ac:dyDescent="0.25">
      <c r="A145" s="3" t="s">
        <v>30</v>
      </c>
      <c r="B145" s="19" t="s">
        <v>137</v>
      </c>
      <c r="C145" s="17">
        <v>14.82</v>
      </c>
      <c r="D145" s="17">
        <v>18.95</v>
      </c>
      <c r="E145" s="17">
        <v>19.95</v>
      </c>
      <c r="F145" s="6" t="s">
        <v>49</v>
      </c>
      <c r="G145" s="7">
        <v>4</v>
      </c>
      <c r="H145" s="7">
        <v>5</v>
      </c>
      <c r="I145" s="7"/>
      <c r="J145" s="8">
        <f t="shared" si="16"/>
        <v>9</v>
      </c>
      <c r="K145" s="9">
        <f t="shared" si="17"/>
        <v>133.38</v>
      </c>
      <c r="L145" s="5"/>
      <c r="M145" s="9"/>
      <c r="N145" s="21"/>
      <c r="O145" s="21"/>
      <c r="P145" s="21"/>
      <c r="Q145" s="21"/>
      <c r="R145" s="21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2.75" customHeight="1" x14ac:dyDescent="0.25">
      <c r="A146" s="3">
        <v>700</v>
      </c>
      <c r="B146" s="19" t="s">
        <v>137</v>
      </c>
      <c r="C146" s="17">
        <v>16.399999999999999</v>
      </c>
      <c r="D146" s="17">
        <v>17.95</v>
      </c>
      <c r="E146" s="17">
        <v>17.95</v>
      </c>
      <c r="F146" s="6" t="s">
        <v>27</v>
      </c>
      <c r="G146" s="7"/>
      <c r="H146" s="7">
        <v>4</v>
      </c>
      <c r="I146" s="7"/>
      <c r="J146" s="8">
        <f t="shared" si="16"/>
        <v>4</v>
      </c>
      <c r="K146" s="9">
        <f t="shared" si="17"/>
        <v>65.599999999999994</v>
      </c>
      <c r="L146" s="5"/>
      <c r="M146" s="9"/>
      <c r="N146" s="21"/>
      <c r="O146" s="21"/>
      <c r="P146" s="21"/>
      <c r="Q146" s="21"/>
      <c r="R146" s="21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2.75" customHeight="1" x14ac:dyDescent="0.25">
      <c r="A147" s="3" t="s">
        <v>30</v>
      </c>
      <c r="B147" s="19" t="s">
        <v>138</v>
      </c>
      <c r="C147" s="17">
        <v>12.14</v>
      </c>
      <c r="D147" s="17">
        <v>13.95</v>
      </c>
      <c r="E147" s="17">
        <v>14.95</v>
      </c>
      <c r="F147" s="6" t="s">
        <v>49</v>
      </c>
      <c r="G147" s="7"/>
      <c r="H147" s="7">
        <v>6</v>
      </c>
      <c r="I147" s="7"/>
      <c r="J147" s="8">
        <f t="shared" si="16"/>
        <v>6</v>
      </c>
      <c r="K147" s="9">
        <f t="shared" si="17"/>
        <v>72.84</v>
      </c>
      <c r="L147" s="5"/>
      <c r="M147" s="9"/>
      <c r="N147" s="21"/>
      <c r="O147" s="21"/>
      <c r="P147" s="21"/>
      <c r="Q147" s="21"/>
      <c r="R147" s="21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2.75" customHeight="1" x14ac:dyDescent="0.25">
      <c r="A148" s="3" t="s">
        <v>30</v>
      </c>
      <c r="B148" s="4" t="s">
        <v>139</v>
      </c>
      <c r="C148" s="17">
        <v>13</v>
      </c>
      <c r="D148" s="17">
        <v>14.95</v>
      </c>
      <c r="E148" s="17">
        <v>14.95</v>
      </c>
      <c r="F148" s="6" t="s">
        <v>27</v>
      </c>
      <c r="G148" s="7">
        <v>3</v>
      </c>
      <c r="H148" s="7">
        <v>7</v>
      </c>
      <c r="I148" s="7"/>
      <c r="J148" s="8">
        <f t="shared" si="16"/>
        <v>10</v>
      </c>
      <c r="K148" s="9">
        <f t="shared" si="17"/>
        <v>130</v>
      </c>
      <c r="L148" s="5"/>
      <c r="M148" s="9"/>
      <c r="N148" s="9"/>
      <c r="O148" s="9"/>
      <c r="P148" s="9"/>
      <c r="Q148" s="9"/>
      <c r="R148" s="9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 spans="1:30" ht="12.75" customHeight="1" x14ac:dyDescent="0.25">
      <c r="A149" s="3" t="s">
        <v>30</v>
      </c>
      <c r="B149" s="4" t="s">
        <v>140</v>
      </c>
      <c r="C149" s="5">
        <v>15.36</v>
      </c>
      <c r="D149" s="5">
        <v>18.95</v>
      </c>
      <c r="E149" s="5">
        <v>18.95</v>
      </c>
      <c r="F149" s="6" t="s">
        <v>49</v>
      </c>
      <c r="G149" s="7"/>
      <c r="H149" s="7">
        <v>5</v>
      </c>
      <c r="I149" s="7"/>
      <c r="J149" s="8">
        <f t="shared" si="16"/>
        <v>5</v>
      </c>
      <c r="K149" s="9">
        <f t="shared" si="17"/>
        <v>76.8</v>
      </c>
      <c r="L149" s="5"/>
      <c r="M149" s="9"/>
      <c r="N149" s="9"/>
      <c r="O149" s="9"/>
      <c r="P149" s="9"/>
      <c r="Q149" s="9"/>
      <c r="R149" s="9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ht="12.75" customHeight="1" x14ac:dyDescent="0.25">
      <c r="A150" s="3" t="s">
        <v>30</v>
      </c>
      <c r="B150" s="4" t="s">
        <v>141</v>
      </c>
      <c r="C150" s="17">
        <v>12.24</v>
      </c>
      <c r="D150" s="17">
        <v>13.95</v>
      </c>
      <c r="E150" s="17">
        <v>14.5</v>
      </c>
      <c r="F150" s="6" t="s">
        <v>49</v>
      </c>
      <c r="G150" s="7"/>
      <c r="H150" s="7">
        <v>2</v>
      </c>
      <c r="I150" s="7"/>
      <c r="J150" s="8">
        <f t="shared" si="16"/>
        <v>2</v>
      </c>
      <c r="K150" s="9">
        <f t="shared" si="17"/>
        <v>24.48</v>
      </c>
      <c r="L150" s="5"/>
      <c r="M150" s="9"/>
      <c r="N150" s="9"/>
      <c r="O150" s="9"/>
      <c r="P150" s="9"/>
      <c r="Q150" s="9"/>
      <c r="R150" s="9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1:30" ht="12.75" customHeight="1" x14ac:dyDescent="0.25">
      <c r="A151" s="3" t="s">
        <v>30</v>
      </c>
      <c r="B151" s="19" t="s">
        <v>142</v>
      </c>
      <c r="C151" s="17">
        <v>15.66</v>
      </c>
      <c r="D151" s="17">
        <v>16.95</v>
      </c>
      <c r="E151" s="17">
        <v>17.95</v>
      </c>
      <c r="F151" s="6" t="s">
        <v>108</v>
      </c>
      <c r="G151" s="7">
        <v>6</v>
      </c>
      <c r="H151" s="7">
        <v>7</v>
      </c>
      <c r="I151" s="7" t="s">
        <v>63</v>
      </c>
      <c r="J151" s="8">
        <f t="shared" si="16"/>
        <v>13</v>
      </c>
      <c r="K151" s="9">
        <f t="shared" si="17"/>
        <v>203.58</v>
      </c>
      <c r="L151" s="5"/>
      <c r="M151" s="9"/>
      <c r="N151" s="21"/>
      <c r="O151" s="21"/>
      <c r="P151" s="21"/>
      <c r="Q151" s="21"/>
      <c r="R151" s="21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2.75" customHeight="1" x14ac:dyDescent="0.25">
      <c r="A152" s="3">
        <v>700</v>
      </c>
      <c r="B152" s="19" t="s">
        <v>142</v>
      </c>
      <c r="C152" s="17">
        <v>10.46</v>
      </c>
      <c r="D152" s="17">
        <v>13.5</v>
      </c>
      <c r="E152" s="17">
        <v>13.95</v>
      </c>
      <c r="F152" s="6" t="s">
        <v>27</v>
      </c>
      <c r="G152" s="7"/>
      <c r="H152" s="7">
        <v>1</v>
      </c>
      <c r="I152" s="7"/>
      <c r="J152" s="8">
        <f t="shared" si="16"/>
        <v>1</v>
      </c>
      <c r="K152" s="9">
        <f t="shared" si="17"/>
        <v>10.46</v>
      </c>
      <c r="L152" s="5"/>
      <c r="M152" s="9"/>
      <c r="N152" s="21"/>
      <c r="O152" s="21"/>
      <c r="P152" s="21"/>
      <c r="Q152" s="21"/>
      <c r="R152" s="21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2.75" customHeight="1" x14ac:dyDescent="0.25">
      <c r="A153" s="3">
        <v>500</v>
      </c>
      <c r="B153" s="19" t="s">
        <v>143</v>
      </c>
      <c r="C153" s="5">
        <v>14.64</v>
      </c>
      <c r="D153" s="5">
        <v>18.95</v>
      </c>
      <c r="E153" s="5">
        <v>18.95</v>
      </c>
      <c r="F153" s="6" t="s">
        <v>49</v>
      </c>
      <c r="G153" s="7"/>
      <c r="H153" s="7">
        <v>4</v>
      </c>
      <c r="I153" s="7"/>
      <c r="J153" s="8">
        <f t="shared" si="16"/>
        <v>4</v>
      </c>
      <c r="K153" s="9">
        <f t="shared" si="17"/>
        <v>58.56</v>
      </c>
      <c r="L153" s="5"/>
      <c r="M153" s="9"/>
      <c r="N153" s="21"/>
      <c r="O153" s="20"/>
      <c r="P153" s="21"/>
      <c r="Q153" s="21"/>
      <c r="R153" s="21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2.75" customHeight="1" x14ac:dyDescent="0.25">
      <c r="A154" s="3">
        <v>700</v>
      </c>
      <c r="B154" s="19" t="s">
        <v>144</v>
      </c>
      <c r="C154" s="17">
        <v>15.29</v>
      </c>
      <c r="D154" s="17">
        <v>18.5</v>
      </c>
      <c r="E154" s="17">
        <v>18.95</v>
      </c>
      <c r="F154" s="6" t="s">
        <v>27</v>
      </c>
      <c r="G154" s="7">
        <v>1</v>
      </c>
      <c r="H154" s="7">
        <v>5</v>
      </c>
      <c r="I154" s="7"/>
      <c r="J154" s="8">
        <f t="shared" si="16"/>
        <v>6</v>
      </c>
      <c r="K154" s="9">
        <f t="shared" si="17"/>
        <v>91.74</v>
      </c>
      <c r="L154" s="5"/>
      <c r="M154" s="9"/>
      <c r="N154" s="21"/>
      <c r="O154" s="20"/>
      <c r="P154" s="21"/>
      <c r="Q154" s="21"/>
      <c r="R154" s="21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2.75" customHeight="1" x14ac:dyDescent="0.25">
      <c r="A155" s="3" t="s">
        <v>30</v>
      </c>
      <c r="B155" s="19" t="s">
        <v>145</v>
      </c>
      <c r="C155" s="17">
        <v>19.29</v>
      </c>
      <c r="D155" s="17">
        <v>23</v>
      </c>
      <c r="E155" s="17">
        <v>23.95</v>
      </c>
      <c r="F155" s="6" t="s">
        <v>49</v>
      </c>
      <c r="G155" s="7">
        <v>5</v>
      </c>
      <c r="H155" s="7">
        <v>8</v>
      </c>
      <c r="I155" s="7"/>
      <c r="J155" s="8">
        <f t="shared" si="16"/>
        <v>13</v>
      </c>
      <c r="K155" s="9">
        <f t="shared" si="17"/>
        <v>250.76999999999998</v>
      </c>
      <c r="L155" s="5"/>
      <c r="M155" s="9"/>
      <c r="N155" s="21"/>
      <c r="O155" s="20"/>
      <c r="P155" s="21"/>
      <c r="Q155" s="21"/>
      <c r="R155" s="21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2.75" customHeight="1" x14ac:dyDescent="0.25">
      <c r="A156" s="3">
        <v>700</v>
      </c>
      <c r="B156" s="4" t="s">
        <v>146</v>
      </c>
      <c r="C156" s="5">
        <v>7.97</v>
      </c>
      <c r="D156" s="5">
        <v>9.5</v>
      </c>
      <c r="E156" s="5">
        <v>9.9499999999999993</v>
      </c>
      <c r="F156" s="6" t="s">
        <v>27</v>
      </c>
      <c r="G156" s="7"/>
      <c r="H156" s="7">
        <v>4</v>
      </c>
      <c r="I156" s="7"/>
      <c r="J156" s="8">
        <f t="shared" si="16"/>
        <v>4</v>
      </c>
      <c r="K156" s="9">
        <f t="shared" si="17"/>
        <v>31.88</v>
      </c>
      <c r="L156" s="5"/>
      <c r="M156" s="9"/>
      <c r="N156" s="9"/>
      <c r="O156" s="9"/>
      <c r="P156" s="9"/>
      <c r="Q156" s="9"/>
      <c r="R156" s="9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 spans="1:30" ht="12.75" customHeight="1" x14ac:dyDescent="0.25">
      <c r="A157" s="3" t="s">
        <v>30</v>
      </c>
      <c r="B157" s="19" t="s">
        <v>147</v>
      </c>
      <c r="C157" s="5">
        <v>11</v>
      </c>
      <c r="D157" s="5">
        <v>12.95</v>
      </c>
      <c r="E157" s="5">
        <v>13.95</v>
      </c>
      <c r="F157" s="6" t="s">
        <v>27</v>
      </c>
      <c r="G157" s="7"/>
      <c r="H157" s="7">
        <v>2</v>
      </c>
      <c r="I157" s="7"/>
      <c r="J157" s="8">
        <f t="shared" si="16"/>
        <v>2</v>
      </c>
      <c r="K157" s="9">
        <f t="shared" si="17"/>
        <v>22</v>
      </c>
      <c r="L157" s="5"/>
      <c r="M157" s="9"/>
      <c r="N157" s="21"/>
      <c r="O157" s="20"/>
      <c r="P157" s="21"/>
      <c r="Q157" s="21"/>
      <c r="R157" s="21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2.75" customHeight="1" x14ac:dyDescent="0.25">
      <c r="A158" s="3">
        <v>700</v>
      </c>
      <c r="B158" s="19" t="s">
        <v>148</v>
      </c>
      <c r="C158" s="5">
        <v>19.97</v>
      </c>
      <c r="D158" s="5">
        <v>22.5</v>
      </c>
      <c r="E158" s="5">
        <v>22.95</v>
      </c>
      <c r="F158" s="6" t="s">
        <v>27</v>
      </c>
      <c r="G158" s="7"/>
      <c r="H158" s="7">
        <v>3</v>
      </c>
      <c r="I158" s="7"/>
      <c r="J158" s="8">
        <f t="shared" si="16"/>
        <v>3</v>
      </c>
      <c r="K158" s="9">
        <f t="shared" si="17"/>
        <v>59.91</v>
      </c>
      <c r="L158" s="5"/>
      <c r="M158" s="9"/>
      <c r="N158" s="21"/>
      <c r="O158" s="21"/>
      <c r="P158" s="21"/>
      <c r="Q158" s="21"/>
      <c r="R158" s="21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2.75" customHeight="1" x14ac:dyDescent="0.25">
      <c r="A159" s="3" t="s">
        <v>30</v>
      </c>
      <c r="B159" s="19" t="s">
        <v>149</v>
      </c>
      <c r="C159" s="5">
        <v>20.010000000000002</v>
      </c>
      <c r="D159" s="5">
        <v>25</v>
      </c>
      <c r="E159" s="5">
        <v>26</v>
      </c>
      <c r="F159" s="6" t="s">
        <v>49</v>
      </c>
      <c r="G159" s="7" t="s">
        <v>63</v>
      </c>
      <c r="H159" s="7"/>
      <c r="I159" s="7"/>
      <c r="J159" s="8">
        <f t="shared" si="16"/>
        <v>0</v>
      </c>
      <c r="K159" s="9">
        <f t="shared" si="17"/>
        <v>0</v>
      </c>
      <c r="L159" s="5"/>
      <c r="M159" s="9"/>
      <c r="N159" s="21"/>
      <c r="O159" s="21"/>
      <c r="P159" s="21"/>
      <c r="Q159" s="21"/>
      <c r="R159" s="21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2.75" customHeight="1" x14ac:dyDescent="0.25">
      <c r="A160" s="3">
        <v>700</v>
      </c>
      <c r="B160" s="19" t="s">
        <v>150</v>
      </c>
      <c r="C160" s="5">
        <v>14.2</v>
      </c>
      <c r="D160" s="5">
        <v>17.95</v>
      </c>
      <c r="E160" s="5">
        <v>17.95</v>
      </c>
      <c r="F160" s="6" t="s">
        <v>27</v>
      </c>
      <c r="G160" s="7"/>
      <c r="H160" s="7">
        <v>1</v>
      </c>
      <c r="I160" s="7"/>
      <c r="J160" s="8">
        <f t="shared" si="16"/>
        <v>1</v>
      </c>
      <c r="K160" s="9">
        <f t="shared" si="17"/>
        <v>14.2</v>
      </c>
      <c r="L160" s="5"/>
      <c r="M160" s="9"/>
      <c r="N160" s="21"/>
      <c r="O160" s="21"/>
      <c r="P160" s="21"/>
      <c r="Q160" s="21"/>
      <c r="R160" s="21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2.75" customHeight="1" x14ac:dyDescent="0.25">
      <c r="A161" s="3" t="s">
        <v>30</v>
      </c>
      <c r="B161" s="19" t="s">
        <v>150</v>
      </c>
      <c r="C161" s="27">
        <v>17.829999999999998</v>
      </c>
      <c r="D161" s="17">
        <v>19.95</v>
      </c>
      <c r="E161" s="17">
        <v>19.95</v>
      </c>
      <c r="F161" s="6" t="s">
        <v>49</v>
      </c>
      <c r="G161" s="7"/>
      <c r="H161" s="7"/>
      <c r="I161" s="7"/>
      <c r="J161" s="8">
        <f t="shared" si="16"/>
        <v>0</v>
      </c>
      <c r="K161" s="9">
        <f t="shared" si="17"/>
        <v>0</v>
      </c>
      <c r="L161" s="5"/>
      <c r="M161" s="9"/>
      <c r="N161" s="21"/>
      <c r="O161" s="21"/>
      <c r="P161" s="21"/>
      <c r="Q161" s="21"/>
      <c r="R161" s="21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2.75" customHeight="1" x14ac:dyDescent="0.25">
      <c r="A162" s="3">
        <v>700</v>
      </c>
      <c r="B162" s="19" t="s">
        <v>151</v>
      </c>
      <c r="C162" s="17">
        <v>17.95</v>
      </c>
      <c r="D162" s="17">
        <v>18.95</v>
      </c>
      <c r="E162" s="17">
        <v>18.95</v>
      </c>
      <c r="F162" s="6" t="s">
        <v>27</v>
      </c>
      <c r="G162" s="7"/>
      <c r="H162" s="7">
        <v>1</v>
      </c>
      <c r="I162" s="7"/>
      <c r="J162" s="8">
        <f t="shared" si="16"/>
        <v>1</v>
      </c>
      <c r="K162" s="9">
        <f t="shared" si="17"/>
        <v>17.95</v>
      </c>
      <c r="L162" s="5"/>
      <c r="M162" s="9"/>
      <c r="N162" s="21"/>
      <c r="O162" s="21"/>
      <c r="P162" s="21"/>
      <c r="Q162" s="21"/>
      <c r="R162" s="21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2.75" customHeight="1" x14ac:dyDescent="0.25">
      <c r="A163" s="3">
        <v>700</v>
      </c>
      <c r="B163" s="19" t="s">
        <v>152</v>
      </c>
      <c r="C163" s="17">
        <v>8.99</v>
      </c>
      <c r="D163" s="5">
        <v>9.9499999999999993</v>
      </c>
      <c r="E163" s="5">
        <v>9.9499999999999993</v>
      </c>
      <c r="F163" s="6" t="s">
        <v>27</v>
      </c>
      <c r="G163" s="7"/>
      <c r="H163" s="7">
        <v>4</v>
      </c>
      <c r="I163" s="7"/>
      <c r="J163" s="8">
        <f t="shared" si="16"/>
        <v>4</v>
      </c>
      <c r="K163" s="9">
        <f t="shared" si="17"/>
        <v>35.96</v>
      </c>
      <c r="L163" s="5"/>
      <c r="M163" s="9"/>
      <c r="N163" s="21"/>
      <c r="O163" s="21"/>
      <c r="P163" s="21"/>
      <c r="Q163" s="21"/>
      <c r="R163" s="21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2.75" customHeight="1" x14ac:dyDescent="0.25">
      <c r="A164" s="3" t="s">
        <v>30</v>
      </c>
      <c r="B164" s="19" t="s">
        <v>153</v>
      </c>
      <c r="C164" s="17">
        <v>15.67</v>
      </c>
      <c r="D164" s="17">
        <v>16.95</v>
      </c>
      <c r="E164" s="17">
        <v>17.95</v>
      </c>
      <c r="F164" s="6" t="s">
        <v>27</v>
      </c>
      <c r="G164" s="7"/>
      <c r="H164" s="7">
        <v>4</v>
      </c>
      <c r="I164" s="7">
        <v>20</v>
      </c>
      <c r="J164" s="8">
        <f t="shared" si="16"/>
        <v>24</v>
      </c>
      <c r="K164" s="9">
        <f t="shared" si="17"/>
        <v>376.08</v>
      </c>
      <c r="L164" s="5"/>
      <c r="M164" s="9"/>
      <c r="N164" s="21"/>
      <c r="O164" s="21"/>
      <c r="P164" s="21"/>
      <c r="Q164" s="21"/>
      <c r="R164" s="21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2.75" customHeight="1" x14ac:dyDescent="0.25">
      <c r="A165" s="3">
        <v>700</v>
      </c>
      <c r="B165" s="19" t="s">
        <v>154</v>
      </c>
      <c r="C165" s="17">
        <v>10.74</v>
      </c>
      <c r="D165" s="17">
        <v>12.95</v>
      </c>
      <c r="E165" s="34" t="s">
        <v>155</v>
      </c>
      <c r="F165" s="6" t="s">
        <v>27</v>
      </c>
      <c r="G165" s="7"/>
      <c r="H165" s="7">
        <v>4</v>
      </c>
      <c r="I165" s="7"/>
      <c r="J165" s="8">
        <f t="shared" si="16"/>
        <v>4</v>
      </c>
      <c r="K165" s="9">
        <f t="shared" si="17"/>
        <v>42.96</v>
      </c>
      <c r="L165" s="5"/>
      <c r="M165" s="9"/>
      <c r="N165" s="21"/>
      <c r="O165" s="21"/>
      <c r="P165" s="21"/>
      <c r="Q165" s="21"/>
      <c r="R165" s="21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2.75" customHeight="1" x14ac:dyDescent="0.25">
      <c r="A166" s="3" t="s">
        <v>30</v>
      </c>
      <c r="B166" s="19" t="s">
        <v>156</v>
      </c>
      <c r="C166" s="17">
        <v>15.42</v>
      </c>
      <c r="D166" s="17">
        <v>16.95</v>
      </c>
      <c r="E166" s="17">
        <v>17.95</v>
      </c>
      <c r="F166" s="6" t="s">
        <v>27</v>
      </c>
      <c r="G166" s="7">
        <v>6</v>
      </c>
      <c r="H166" s="7">
        <v>4</v>
      </c>
      <c r="I166" s="7"/>
      <c r="J166" s="8">
        <f t="shared" si="16"/>
        <v>10</v>
      </c>
      <c r="K166" s="9">
        <f t="shared" si="17"/>
        <v>154.19999999999999</v>
      </c>
      <c r="L166" s="5"/>
      <c r="M166" s="9"/>
      <c r="N166" s="21"/>
      <c r="O166" s="21"/>
      <c r="P166" s="21"/>
      <c r="Q166" s="21"/>
      <c r="R166" s="21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2.75" customHeight="1" x14ac:dyDescent="0.25">
      <c r="A167" s="3" t="s">
        <v>30</v>
      </c>
      <c r="B167" s="19" t="s">
        <v>157</v>
      </c>
      <c r="C167" s="5">
        <v>14.55</v>
      </c>
      <c r="D167" s="17">
        <v>15.9</v>
      </c>
      <c r="E167" s="17">
        <v>15.9</v>
      </c>
      <c r="F167" s="6" t="s">
        <v>27</v>
      </c>
      <c r="G167" s="7"/>
      <c r="H167" s="7">
        <v>4</v>
      </c>
      <c r="I167" s="7">
        <v>11</v>
      </c>
      <c r="J167" s="8">
        <f t="shared" si="16"/>
        <v>15</v>
      </c>
      <c r="K167" s="9">
        <f t="shared" si="17"/>
        <v>218.25</v>
      </c>
      <c r="L167" s="5"/>
      <c r="M167" s="9"/>
      <c r="N167" s="21"/>
      <c r="O167" s="21"/>
      <c r="P167" s="21"/>
      <c r="Q167" s="21"/>
      <c r="R167" s="21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2.75" customHeight="1" x14ac:dyDescent="0.25">
      <c r="A168" s="3">
        <v>700</v>
      </c>
      <c r="B168" s="19" t="s">
        <v>157</v>
      </c>
      <c r="C168" s="5">
        <v>10.89</v>
      </c>
      <c r="D168" s="17">
        <v>12.9</v>
      </c>
      <c r="E168" s="17">
        <v>12.9</v>
      </c>
      <c r="F168" s="6" t="s">
        <v>27</v>
      </c>
      <c r="G168" s="7"/>
      <c r="H168" s="7">
        <v>2</v>
      </c>
      <c r="I168" s="7"/>
      <c r="J168" s="8">
        <f t="shared" si="16"/>
        <v>2</v>
      </c>
      <c r="K168" s="9">
        <f t="shared" si="17"/>
        <v>21.78</v>
      </c>
      <c r="L168" s="5"/>
      <c r="M168" s="9"/>
      <c r="N168" s="21"/>
      <c r="O168" s="21"/>
      <c r="P168" s="21"/>
      <c r="Q168" s="21"/>
      <c r="R168" s="21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2.75" customHeight="1" x14ac:dyDescent="0.25">
      <c r="A169" s="3" t="s">
        <v>30</v>
      </c>
      <c r="B169" s="19" t="s">
        <v>158</v>
      </c>
      <c r="C169" s="17">
        <v>19.14</v>
      </c>
      <c r="D169" s="17">
        <v>22.95</v>
      </c>
      <c r="E169" s="17">
        <v>24</v>
      </c>
      <c r="F169" s="6" t="s">
        <v>49</v>
      </c>
      <c r="G169" s="7"/>
      <c r="H169" s="7">
        <v>2</v>
      </c>
      <c r="I169" s="7"/>
      <c r="J169" s="8">
        <f t="shared" si="16"/>
        <v>2</v>
      </c>
      <c r="K169" s="9">
        <f t="shared" si="17"/>
        <v>38.28</v>
      </c>
      <c r="L169" s="5"/>
      <c r="M169" s="9"/>
      <c r="N169" s="21"/>
      <c r="O169" s="20"/>
      <c r="P169" s="21"/>
      <c r="Q169" s="21"/>
      <c r="R169" s="21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2.75" customHeight="1" x14ac:dyDescent="0.25">
      <c r="A170" s="3" t="s">
        <v>30</v>
      </c>
      <c r="B170" s="19" t="s">
        <v>159</v>
      </c>
      <c r="C170" s="17">
        <v>13.11</v>
      </c>
      <c r="D170" s="17">
        <v>14.5</v>
      </c>
      <c r="E170" s="17">
        <v>14.5</v>
      </c>
      <c r="F170" s="6" t="s">
        <v>27</v>
      </c>
      <c r="G170" s="7"/>
      <c r="H170" s="7">
        <v>7</v>
      </c>
      <c r="I170" s="7"/>
      <c r="J170" s="8">
        <f t="shared" si="16"/>
        <v>7</v>
      </c>
      <c r="K170" s="9">
        <f t="shared" si="17"/>
        <v>91.77</v>
      </c>
      <c r="L170" s="5"/>
      <c r="M170" s="9"/>
      <c r="N170" s="21"/>
      <c r="O170" s="21"/>
      <c r="P170" s="21"/>
      <c r="Q170" s="21"/>
      <c r="R170" s="21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2.75" customHeight="1" x14ac:dyDescent="0.25">
      <c r="A171" s="3" t="s">
        <v>30</v>
      </c>
      <c r="B171" s="4" t="s">
        <v>160</v>
      </c>
      <c r="C171" s="17">
        <v>13.62</v>
      </c>
      <c r="D171" s="17">
        <v>14.9</v>
      </c>
      <c r="E171" s="17">
        <v>14.9</v>
      </c>
      <c r="F171" s="6" t="s">
        <v>27</v>
      </c>
      <c r="G171" s="7"/>
      <c r="H171" s="7">
        <v>7</v>
      </c>
      <c r="I171" s="7"/>
      <c r="J171" s="8">
        <f t="shared" si="16"/>
        <v>7</v>
      </c>
      <c r="K171" s="9">
        <f t="shared" si="17"/>
        <v>95.339999999999989</v>
      </c>
      <c r="L171" s="5"/>
      <c r="M171" s="9"/>
      <c r="N171" s="9"/>
      <c r="O171" s="9"/>
      <c r="P171" s="9"/>
      <c r="Q171" s="9"/>
      <c r="R171" s="9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 spans="1:30" ht="12.75" customHeight="1" x14ac:dyDescent="0.25">
      <c r="A172" s="3" t="s">
        <v>30</v>
      </c>
      <c r="B172" s="19" t="s">
        <v>161</v>
      </c>
      <c r="C172" s="17">
        <v>13.5</v>
      </c>
      <c r="D172" s="17">
        <v>16.95</v>
      </c>
      <c r="E172" s="17">
        <v>16.95</v>
      </c>
      <c r="F172" s="6" t="s">
        <v>27</v>
      </c>
      <c r="G172" s="7"/>
      <c r="H172" s="7">
        <v>6</v>
      </c>
      <c r="I172" s="7"/>
      <c r="J172" s="8">
        <f t="shared" si="16"/>
        <v>6</v>
      </c>
      <c r="K172" s="9">
        <f t="shared" si="17"/>
        <v>81</v>
      </c>
      <c r="L172" s="5"/>
      <c r="M172" s="9"/>
      <c r="N172" s="21"/>
      <c r="O172" s="21"/>
      <c r="P172" s="21"/>
      <c r="Q172" s="21"/>
      <c r="R172" s="21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2.75" customHeight="1" x14ac:dyDescent="0.25">
      <c r="A173" s="3">
        <v>700</v>
      </c>
      <c r="B173" s="19" t="s">
        <v>162</v>
      </c>
      <c r="C173" s="17">
        <v>13.78</v>
      </c>
      <c r="D173" s="17">
        <v>14.95</v>
      </c>
      <c r="E173" s="17">
        <v>14.95</v>
      </c>
      <c r="F173" s="6" t="s">
        <v>27</v>
      </c>
      <c r="G173" s="7"/>
      <c r="H173" s="7">
        <v>4</v>
      </c>
      <c r="I173" s="7"/>
      <c r="J173" s="8">
        <f t="shared" si="16"/>
        <v>4</v>
      </c>
      <c r="K173" s="9">
        <f t="shared" si="17"/>
        <v>55.12</v>
      </c>
      <c r="L173" s="5"/>
      <c r="M173" s="9"/>
      <c r="N173" s="21"/>
      <c r="O173" s="21"/>
      <c r="P173" s="21"/>
      <c r="Q173" s="21"/>
      <c r="R173" s="21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2.75" customHeight="1" x14ac:dyDescent="0.25">
      <c r="A174" s="3" t="s">
        <v>30</v>
      </c>
      <c r="B174" s="19" t="s">
        <v>162</v>
      </c>
      <c r="C174" s="17">
        <v>14.39</v>
      </c>
      <c r="D174" s="17">
        <v>16.5</v>
      </c>
      <c r="E174" s="17">
        <v>16.5</v>
      </c>
      <c r="F174" s="6" t="s">
        <v>49</v>
      </c>
      <c r="G174" s="7"/>
      <c r="H174" s="7">
        <v>2</v>
      </c>
      <c r="I174" s="7"/>
      <c r="J174" s="8">
        <f t="shared" si="16"/>
        <v>2</v>
      </c>
      <c r="K174" s="9">
        <f t="shared" si="17"/>
        <v>28.78</v>
      </c>
      <c r="L174" s="5"/>
      <c r="M174" s="9"/>
      <c r="N174" s="21"/>
      <c r="O174" s="21"/>
      <c r="P174" s="21"/>
      <c r="Q174" s="21"/>
      <c r="R174" s="21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2.75" customHeight="1" x14ac:dyDescent="0.25">
      <c r="A175" s="3">
        <v>700</v>
      </c>
      <c r="B175" s="19" t="s">
        <v>163</v>
      </c>
      <c r="C175" s="35">
        <v>10.24</v>
      </c>
      <c r="D175" s="17">
        <v>11.5</v>
      </c>
      <c r="E175" s="17" t="s">
        <v>164</v>
      </c>
      <c r="F175" s="6" t="s">
        <v>27</v>
      </c>
      <c r="G175" s="7"/>
      <c r="H175" s="7">
        <v>6</v>
      </c>
      <c r="I175" s="7"/>
      <c r="J175" s="8">
        <f t="shared" si="16"/>
        <v>6</v>
      </c>
      <c r="K175" s="9">
        <f t="shared" si="17"/>
        <v>61.44</v>
      </c>
      <c r="L175" s="5"/>
      <c r="M175" s="9"/>
      <c r="N175" s="21"/>
      <c r="O175" s="21"/>
      <c r="P175" s="21"/>
      <c r="Q175" s="21"/>
      <c r="R175" s="21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2.75" customHeight="1" x14ac:dyDescent="0.25">
      <c r="A176" s="3" t="s">
        <v>30</v>
      </c>
      <c r="B176" s="19" t="s">
        <v>165</v>
      </c>
      <c r="C176" s="17">
        <v>14.95</v>
      </c>
      <c r="D176" s="17">
        <v>17.95</v>
      </c>
      <c r="E176" s="17">
        <v>18.95</v>
      </c>
      <c r="F176" s="6" t="s">
        <v>108</v>
      </c>
      <c r="G176" s="7">
        <v>1</v>
      </c>
      <c r="H176" s="7">
        <v>8</v>
      </c>
      <c r="I176" s="7"/>
      <c r="J176" s="8">
        <f t="shared" si="16"/>
        <v>9</v>
      </c>
      <c r="K176" s="9">
        <f t="shared" si="17"/>
        <v>134.54999999999998</v>
      </c>
      <c r="L176" s="5"/>
      <c r="M176" s="9"/>
      <c r="N176" s="21"/>
      <c r="O176" s="21"/>
      <c r="P176" s="21"/>
      <c r="Q176" s="21"/>
      <c r="R176" s="21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2.75" customHeight="1" x14ac:dyDescent="0.25">
      <c r="A177" s="3">
        <v>700</v>
      </c>
      <c r="B177" s="19" t="s">
        <v>165</v>
      </c>
      <c r="C177" s="17">
        <v>12.95</v>
      </c>
      <c r="D177" s="17">
        <v>15.95</v>
      </c>
      <c r="E177" s="17">
        <v>16.95</v>
      </c>
      <c r="F177" s="6" t="s">
        <v>27</v>
      </c>
      <c r="G177" s="7"/>
      <c r="H177" s="7"/>
      <c r="I177" s="7"/>
      <c r="J177" s="8">
        <f t="shared" si="16"/>
        <v>0</v>
      </c>
      <c r="K177" s="9">
        <f t="shared" si="17"/>
        <v>0</v>
      </c>
      <c r="L177" s="5"/>
      <c r="M177" s="9"/>
      <c r="N177" s="21"/>
      <c r="O177" s="21"/>
      <c r="P177" s="21"/>
      <c r="Q177" s="21"/>
      <c r="R177" s="21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2.75" customHeight="1" x14ac:dyDescent="0.25">
      <c r="A178" s="10"/>
      <c r="B178" s="10"/>
      <c r="C178" s="10"/>
      <c r="D178" s="10"/>
      <c r="E178" s="10"/>
      <c r="F178" s="11"/>
      <c r="G178" s="12"/>
      <c r="H178" s="12"/>
      <c r="I178" s="12"/>
      <c r="J178" s="8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2.75" customHeight="1" x14ac:dyDescent="0.25">
      <c r="A179" s="3"/>
      <c r="B179" s="19"/>
      <c r="C179" s="5"/>
      <c r="D179" s="5"/>
      <c r="E179" s="5"/>
      <c r="F179" s="6"/>
      <c r="G179" s="7"/>
      <c r="H179" s="7"/>
      <c r="I179" s="7"/>
      <c r="J179" s="8"/>
      <c r="K179" s="9"/>
      <c r="L179" s="5"/>
      <c r="M179" s="9"/>
      <c r="N179" s="21"/>
      <c r="O179" s="21"/>
      <c r="P179" s="21"/>
      <c r="Q179" s="21"/>
      <c r="R179" s="21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2.75" customHeight="1" x14ac:dyDescent="0.25">
      <c r="A180" s="3"/>
      <c r="B180" s="19"/>
      <c r="C180" s="5"/>
      <c r="D180" s="5"/>
      <c r="E180" s="5"/>
      <c r="F180" s="6"/>
      <c r="G180" s="7"/>
      <c r="H180" s="7"/>
      <c r="I180" s="7"/>
      <c r="J180" s="8"/>
      <c r="K180" s="9"/>
      <c r="L180" s="5"/>
      <c r="M180" s="9"/>
      <c r="N180" s="21"/>
      <c r="O180" s="21"/>
      <c r="P180" s="21"/>
      <c r="Q180" s="21"/>
      <c r="R180" s="21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2.75" customHeight="1" x14ac:dyDescent="0.25">
      <c r="A181" s="3"/>
      <c r="B181" s="19"/>
      <c r="C181" s="5"/>
      <c r="D181" s="5"/>
      <c r="E181" s="5"/>
      <c r="F181" s="6"/>
      <c r="G181" s="7"/>
      <c r="H181" s="7"/>
      <c r="I181" s="7"/>
      <c r="J181" s="8"/>
      <c r="K181" s="9"/>
      <c r="L181" s="5"/>
      <c r="M181" s="9"/>
      <c r="N181" s="21"/>
      <c r="O181" s="20"/>
      <c r="P181" s="21"/>
      <c r="Q181" s="21"/>
      <c r="R181" s="21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2.75" customHeight="1" x14ac:dyDescent="0.3">
      <c r="A182" s="3"/>
      <c r="B182" s="15" t="s">
        <v>166</v>
      </c>
      <c r="C182" s="5"/>
      <c r="D182" s="5"/>
      <c r="E182" s="5"/>
      <c r="F182" s="6"/>
      <c r="G182" s="7"/>
      <c r="H182" s="7"/>
      <c r="I182" s="7"/>
      <c r="J182" s="8"/>
      <c r="K182" s="9"/>
      <c r="L182" s="5"/>
      <c r="M182" s="9"/>
      <c r="N182" s="9"/>
      <c r="O182" s="9"/>
      <c r="P182" s="9"/>
      <c r="Q182" s="9"/>
      <c r="R182" s="9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 spans="1:30" ht="12.75" customHeight="1" x14ac:dyDescent="0.25">
      <c r="A183" s="3"/>
      <c r="B183" s="4"/>
      <c r="C183" s="5"/>
      <c r="D183" s="5"/>
      <c r="E183" s="5"/>
      <c r="F183" s="6"/>
      <c r="G183" s="7"/>
      <c r="H183" s="7"/>
      <c r="I183" s="7"/>
      <c r="J183" s="8"/>
      <c r="K183" s="9"/>
      <c r="L183" s="5"/>
      <c r="M183" s="9"/>
      <c r="N183" s="9"/>
      <c r="O183" s="9"/>
      <c r="P183" s="9"/>
      <c r="Q183" s="9"/>
      <c r="R183" s="9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 spans="1:30" ht="12.75" customHeight="1" x14ac:dyDescent="0.25">
      <c r="A184" s="3"/>
      <c r="B184" s="4"/>
      <c r="C184" s="5"/>
      <c r="D184" s="5"/>
      <c r="E184" s="5"/>
      <c r="F184" s="6"/>
      <c r="G184" s="7"/>
      <c r="H184" s="7"/>
      <c r="I184" s="7"/>
      <c r="J184" s="8"/>
      <c r="K184" s="9"/>
      <c r="L184" s="5"/>
      <c r="M184" s="9"/>
      <c r="N184" s="9"/>
      <c r="O184" s="9"/>
      <c r="P184" s="9"/>
      <c r="Q184" s="9"/>
      <c r="R184" s="9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 spans="1:30" ht="12.75" customHeight="1" x14ac:dyDescent="0.25">
      <c r="A185" s="3" t="s">
        <v>84</v>
      </c>
      <c r="B185" s="4" t="s">
        <v>167</v>
      </c>
      <c r="C185" s="17">
        <v>9.1999999999999993</v>
      </c>
      <c r="D185" s="17">
        <v>11.95</v>
      </c>
      <c r="E185" s="17">
        <v>12.95</v>
      </c>
      <c r="F185" s="6" t="s">
        <v>168</v>
      </c>
      <c r="G185" s="7">
        <v>36</v>
      </c>
      <c r="H185" s="7">
        <v>4</v>
      </c>
      <c r="I185" s="7"/>
      <c r="J185" s="8">
        <f t="shared" ref="J185:J210" si="18">SUM(G185:I185)</f>
        <v>40</v>
      </c>
      <c r="K185" s="9">
        <f t="shared" ref="K185:K210" si="19">SUM(C185*J185)</f>
        <v>368</v>
      </c>
      <c r="L185" s="5"/>
      <c r="M185" s="9"/>
      <c r="N185" s="9"/>
      <c r="O185" s="9"/>
      <c r="P185" s="9"/>
      <c r="Q185" s="9"/>
      <c r="R185" s="9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 spans="1:30" ht="12.75" customHeight="1" x14ac:dyDescent="0.25">
      <c r="A186" s="3" t="s">
        <v>84</v>
      </c>
      <c r="B186" s="4" t="s">
        <v>169</v>
      </c>
      <c r="C186" s="17">
        <v>9.1999999999999993</v>
      </c>
      <c r="D186" s="17">
        <v>11.95</v>
      </c>
      <c r="E186" s="17">
        <v>12.95</v>
      </c>
      <c r="F186" s="6" t="s">
        <v>168</v>
      </c>
      <c r="G186" s="7">
        <v>18</v>
      </c>
      <c r="H186" s="7">
        <v>4</v>
      </c>
      <c r="I186" s="7"/>
      <c r="J186" s="8">
        <f t="shared" si="18"/>
        <v>22</v>
      </c>
      <c r="K186" s="9">
        <f t="shared" si="19"/>
        <v>202.39999999999998</v>
      </c>
      <c r="L186" s="5"/>
      <c r="M186" s="9"/>
      <c r="N186" s="9"/>
      <c r="O186" s="9"/>
      <c r="P186" s="9"/>
      <c r="Q186" s="9"/>
      <c r="R186" s="9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 spans="1:30" ht="12.75" customHeight="1" x14ac:dyDescent="0.25">
      <c r="A187" s="3" t="s">
        <v>30</v>
      </c>
      <c r="B187" s="4" t="s">
        <v>170</v>
      </c>
      <c r="C187" s="17">
        <v>8.11</v>
      </c>
      <c r="D187" s="17">
        <v>9.5</v>
      </c>
      <c r="E187" s="17">
        <v>8.9499999999999993</v>
      </c>
      <c r="F187" s="6" t="s">
        <v>27</v>
      </c>
      <c r="G187" s="7"/>
      <c r="H187" s="7">
        <v>6</v>
      </c>
      <c r="I187" s="7"/>
      <c r="J187" s="8">
        <f t="shared" si="18"/>
        <v>6</v>
      </c>
      <c r="K187" s="9">
        <f t="shared" si="19"/>
        <v>48.66</v>
      </c>
      <c r="L187" s="5"/>
      <c r="M187" s="9"/>
      <c r="N187" s="9"/>
      <c r="O187" s="9"/>
      <c r="P187" s="9"/>
      <c r="Q187" s="9"/>
      <c r="R187" s="9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 spans="1:30" ht="12.75" customHeight="1" x14ac:dyDescent="0.25">
      <c r="A188" s="3">
        <v>700</v>
      </c>
      <c r="B188" s="4" t="s">
        <v>171</v>
      </c>
      <c r="C188" s="5">
        <v>7.44</v>
      </c>
      <c r="D188" s="5">
        <v>8.5</v>
      </c>
      <c r="E188" s="5">
        <v>8.9499999999999993</v>
      </c>
      <c r="F188" s="6" t="s">
        <v>27</v>
      </c>
      <c r="G188" s="7">
        <v>13</v>
      </c>
      <c r="H188" s="7"/>
      <c r="I188" s="7"/>
      <c r="J188" s="8">
        <f t="shared" si="18"/>
        <v>13</v>
      </c>
      <c r="K188" s="9">
        <f t="shared" si="19"/>
        <v>96.72</v>
      </c>
      <c r="L188" s="5"/>
      <c r="M188" s="9"/>
      <c r="N188" s="9"/>
      <c r="O188" s="9"/>
      <c r="P188" s="9"/>
      <c r="Q188" s="9"/>
      <c r="R188" s="9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ht="12.75" customHeight="1" x14ac:dyDescent="0.25">
      <c r="A189" s="3">
        <v>700</v>
      </c>
      <c r="B189" s="4" t="s">
        <v>172</v>
      </c>
      <c r="C189" s="17">
        <v>4.0599999999999996</v>
      </c>
      <c r="D189" s="17">
        <v>5.95</v>
      </c>
      <c r="E189" s="17">
        <v>6.95</v>
      </c>
      <c r="F189" s="6" t="s">
        <v>168</v>
      </c>
      <c r="G189" s="7">
        <v>7</v>
      </c>
      <c r="H189" s="7">
        <v>4</v>
      </c>
      <c r="I189" s="7"/>
      <c r="J189" s="8">
        <f t="shared" si="18"/>
        <v>11</v>
      </c>
      <c r="K189" s="9">
        <f t="shared" si="19"/>
        <v>44.66</v>
      </c>
      <c r="L189" s="5"/>
      <c r="M189" s="9"/>
      <c r="N189" s="9"/>
      <c r="O189" s="9"/>
      <c r="P189" s="9"/>
      <c r="Q189" s="9"/>
      <c r="R189" s="9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 spans="1:30" ht="12.75" customHeight="1" x14ac:dyDescent="0.25">
      <c r="A190" s="3" t="s">
        <v>30</v>
      </c>
      <c r="B190" s="4" t="s">
        <v>173</v>
      </c>
      <c r="C190" s="17">
        <v>6.58</v>
      </c>
      <c r="D190" s="17">
        <v>7.95</v>
      </c>
      <c r="E190" s="17">
        <v>7.95</v>
      </c>
      <c r="F190" s="6" t="s">
        <v>27</v>
      </c>
      <c r="G190" s="7"/>
      <c r="H190" s="7">
        <v>4</v>
      </c>
      <c r="I190" s="7"/>
      <c r="J190" s="8">
        <f t="shared" si="18"/>
        <v>4</v>
      </c>
      <c r="K190" s="9">
        <f t="shared" si="19"/>
        <v>26.32</v>
      </c>
      <c r="L190" s="5"/>
      <c r="M190" s="9"/>
      <c r="N190" s="9"/>
      <c r="O190" s="9"/>
      <c r="P190" s="9"/>
      <c r="Q190" s="9"/>
      <c r="R190" s="9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 spans="1:30" ht="12.75" customHeight="1" x14ac:dyDescent="0.25">
      <c r="A191" s="3" t="s">
        <v>30</v>
      </c>
      <c r="B191" s="4" t="s">
        <v>174</v>
      </c>
      <c r="C191" s="17">
        <v>5.44</v>
      </c>
      <c r="D191" s="17">
        <v>7.5</v>
      </c>
      <c r="E191" s="17">
        <v>7.95</v>
      </c>
      <c r="F191" s="6" t="s">
        <v>27</v>
      </c>
      <c r="G191" s="7"/>
      <c r="H191" s="7">
        <v>7</v>
      </c>
      <c r="I191" s="7">
        <v>6</v>
      </c>
      <c r="J191" s="8">
        <f t="shared" si="18"/>
        <v>13</v>
      </c>
      <c r="K191" s="9">
        <f t="shared" si="19"/>
        <v>70.72</v>
      </c>
      <c r="L191" s="5"/>
      <c r="M191" s="9"/>
      <c r="N191" s="9"/>
      <c r="O191" s="9"/>
      <c r="P191" s="9"/>
      <c r="Q191" s="9"/>
      <c r="R191" s="9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 spans="1:30" ht="12.75" customHeight="1" x14ac:dyDescent="0.25">
      <c r="A192" s="3" t="s">
        <v>30</v>
      </c>
      <c r="B192" s="4" t="s">
        <v>175</v>
      </c>
      <c r="C192" s="17">
        <v>6.48</v>
      </c>
      <c r="D192" s="17">
        <v>7.95</v>
      </c>
      <c r="E192" s="17">
        <v>7.95</v>
      </c>
      <c r="F192" s="6" t="s">
        <v>27</v>
      </c>
      <c r="G192" s="7"/>
      <c r="H192" s="7">
        <v>8</v>
      </c>
      <c r="I192" s="7">
        <v>6</v>
      </c>
      <c r="J192" s="8">
        <f t="shared" si="18"/>
        <v>14</v>
      </c>
      <c r="K192" s="9">
        <f t="shared" si="19"/>
        <v>90.72</v>
      </c>
      <c r="L192" s="5"/>
      <c r="M192" s="9"/>
      <c r="N192" s="9"/>
      <c r="O192" s="9"/>
      <c r="P192" s="9"/>
      <c r="Q192" s="9"/>
      <c r="R192" s="9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 spans="1:30" ht="12.75" customHeight="1" x14ac:dyDescent="0.25">
      <c r="A193" s="3">
        <v>700</v>
      </c>
      <c r="B193" s="19" t="s">
        <v>176</v>
      </c>
      <c r="C193" s="24">
        <v>7.38</v>
      </c>
      <c r="D193" s="5">
        <v>8.5</v>
      </c>
      <c r="E193" s="5">
        <v>8.9499999999999993</v>
      </c>
      <c r="F193" s="6" t="s">
        <v>27</v>
      </c>
      <c r="G193" s="7"/>
      <c r="H193" s="7">
        <v>4</v>
      </c>
      <c r="I193" s="7"/>
      <c r="J193" s="8">
        <f t="shared" si="18"/>
        <v>4</v>
      </c>
      <c r="K193" s="9">
        <f t="shared" si="19"/>
        <v>29.52</v>
      </c>
      <c r="L193" s="5"/>
      <c r="M193" s="9"/>
      <c r="N193" s="21"/>
      <c r="O193" s="9"/>
      <c r="P193" s="21"/>
      <c r="Q193" s="21"/>
      <c r="R193" s="21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2.75" customHeight="1" x14ac:dyDescent="0.25">
      <c r="A194" s="3" t="s">
        <v>30</v>
      </c>
      <c r="B194" s="4" t="s">
        <v>177</v>
      </c>
      <c r="C194" s="17">
        <v>6.26</v>
      </c>
      <c r="D194" s="17">
        <v>7.95</v>
      </c>
      <c r="E194" s="17">
        <v>7.95</v>
      </c>
      <c r="F194" s="6" t="s">
        <v>27</v>
      </c>
      <c r="G194" s="7"/>
      <c r="H194" s="7">
        <v>4</v>
      </c>
      <c r="I194" s="7"/>
      <c r="J194" s="8">
        <f t="shared" si="18"/>
        <v>4</v>
      </c>
      <c r="K194" s="9">
        <f t="shared" si="19"/>
        <v>25.04</v>
      </c>
      <c r="L194" s="5"/>
      <c r="M194" s="9"/>
      <c r="N194" s="9"/>
      <c r="O194" s="9"/>
      <c r="P194" s="9"/>
      <c r="Q194" s="9"/>
      <c r="R194" s="9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 spans="1:30" ht="12.75" customHeight="1" x14ac:dyDescent="0.25">
      <c r="A195" s="3" t="s">
        <v>30</v>
      </c>
      <c r="B195" s="4" t="s">
        <v>178</v>
      </c>
      <c r="C195" s="17">
        <v>6.48</v>
      </c>
      <c r="D195" s="17">
        <v>7.95</v>
      </c>
      <c r="E195" s="17">
        <v>7.95</v>
      </c>
      <c r="F195" s="6" t="s">
        <v>27</v>
      </c>
      <c r="G195" s="7"/>
      <c r="H195" s="7">
        <v>2</v>
      </c>
      <c r="I195" s="7">
        <v>6</v>
      </c>
      <c r="J195" s="8">
        <f t="shared" si="18"/>
        <v>8</v>
      </c>
      <c r="K195" s="9">
        <f t="shared" si="19"/>
        <v>51.84</v>
      </c>
      <c r="L195" s="5"/>
      <c r="M195" s="9"/>
      <c r="N195" s="9"/>
      <c r="O195" s="9"/>
      <c r="P195" s="9"/>
      <c r="Q195" s="9"/>
      <c r="R195" s="9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 spans="1:30" ht="12.75" customHeight="1" x14ac:dyDescent="0.25">
      <c r="A196" s="3" t="s">
        <v>30</v>
      </c>
      <c r="B196" s="4" t="s">
        <v>179</v>
      </c>
      <c r="C196" s="17">
        <v>10.3</v>
      </c>
      <c r="D196" s="17">
        <v>11.95</v>
      </c>
      <c r="E196" s="17">
        <v>12.95</v>
      </c>
      <c r="F196" s="6" t="s">
        <v>27</v>
      </c>
      <c r="G196" s="7"/>
      <c r="H196" s="7">
        <v>3</v>
      </c>
      <c r="I196" s="7">
        <v>12</v>
      </c>
      <c r="J196" s="8">
        <f t="shared" si="18"/>
        <v>15</v>
      </c>
      <c r="K196" s="9">
        <f t="shared" si="19"/>
        <v>154.5</v>
      </c>
      <c r="L196" s="5"/>
      <c r="M196" s="9"/>
      <c r="N196" s="9"/>
      <c r="O196" s="9"/>
      <c r="P196" s="9"/>
      <c r="Q196" s="9"/>
      <c r="R196" s="9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 spans="1:30" ht="12.75" customHeight="1" x14ac:dyDescent="0.25">
      <c r="A197" s="3">
        <v>700</v>
      </c>
      <c r="B197" s="4" t="s">
        <v>180</v>
      </c>
      <c r="C197" s="17">
        <v>12.43</v>
      </c>
      <c r="D197" s="17">
        <v>14.5</v>
      </c>
      <c r="E197" s="17">
        <v>14.5</v>
      </c>
      <c r="F197" s="6" t="s">
        <v>27</v>
      </c>
      <c r="G197" s="7"/>
      <c r="H197" s="7">
        <v>2</v>
      </c>
      <c r="I197" s="7"/>
      <c r="J197" s="8">
        <f t="shared" si="18"/>
        <v>2</v>
      </c>
      <c r="K197" s="9">
        <f t="shared" si="19"/>
        <v>24.86</v>
      </c>
      <c r="L197" s="5"/>
      <c r="M197" s="9"/>
      <c r="N197" s="9"/>
      <c r="O197" s="9"/>
      <c r="P197" s="9"/>
      <c r="Q197" s="9"/>
      <c r="R197" s="9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 spans="1:30" ht="12.75" customHeight="1" x14ac:dyDescent="0.25">
      <c r="A198" s="3" t="s">
        <v>30</v>
      </c>
      <c r="B198" s="4" t="s">
        <v>181</v>
      </c>
      <c r="C198" s="17">
        <v>7.26</v>
      </c>
      <c r="D198" s="17">
        <v>8.5</v>
      </c>
      <c r="E198" s="17">
        <v>8.9499999999999993</v>
      </c>
      <c r="F198" s="6" t="s">
        <v>27</v>
      </c>
      <c r="G198" s="7"/>
      <c r="H198" s="7">
        <v>5</v>
      </c>
      <c r="I198" s="7"/>
      <c r="J198" s="8">
        <f t="shared" si="18"/>
        <v>5</v>
      </c>
      <c r="K198" s="9">
        <f t="shared" si="19"/>
        <v>36.299999999999997</v>
      </c>
      <c r="L198" s="5"/>
      <c r="M198" s="9"/>
      <c r="N198" s="9"/>
      <c r="O198" s="9"/>
      <c r="P198" s="9"/>
      <c r="Q198" s="9"/>
      <c r="R198" s="9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 spans="1:30" ht="12.75" customHeight="1" x14ac:dyDescent="0.25">
      <c r="A199" s="3" t="s">
        <v>30</v>
      </c>
      <c r="B199" s="4" t="s">
        <v>182</v>
      </c>
      <c r="C199" s="17">
        <v>7.26</v>
      </c>
      <c r="D199" s="17">
        <v>8.5</v>
      </c>
      <c r="E199" s="17">
        <v>8.9499999999999993</v>
      </c>
      <c r="F199" s="6" t="s">
        <v>27</v>
      </c>
      <c r="G199" s="7">
        <v>3</v>
      </c>
      <c r="H199" s="7">
        <v>4</v>
      </c>
      <c r="I199" s="7"/>
      <c r="J199" s="8">
        <f t="shared" si="18"/>
        <v>7</v>
      </c>
      <c r="K199" s="9">
        <f t="shared" si="19"/>
        <v>50.82</v>
      </c>
      <c r="L199" s="5"/>
      <c r="M199" s="9"/>
      <c r="N199" s="9"/>
      <c r="O199" s="9"/>
      <c r="P199" s="9"/>
      <c r="Q199" s="9"/>
      <c r="R199" s="9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 spans="1:30" ht="12.75" customHeight="1" x14ac:dyDescent="0.25">
      <c r="A200" s="3" t="s">
        <v>30</v>
      </c>
      <c r="B200" s="4" t="s">
        <v>183</v>
      </c>
      <c r="C200" s="17">
        <v>15.34</v>
      </c>
      <c r="D200" s="17">
        <v>18.95</v>
      </c>
      <c r="E200" s="17">
        <v>18.95</v>
      </c>
      <c r="F200" s="6" t="s">
        <v>49</v>
      </c>
      <c r="G200" s="7"/>
      <c r="H200" s="7">
        <v>1</v>
      </c>
      <c r="I200" s="7"/>
      <c r="J200" s="8">
        <f t="shared" si="18"/>
        <v>1</v>
      </c>
      <c r="K200" s="9">
        <f t="shared" si="19"/>
        <v>15.34</v>
      </c>
      <c r="L200" s="5"/>
      <c r="M200" s="9"/>
      <c r="N200" s="9"/>
      <c r="O200" s="9"/>
      <c r="P200" s="9"/>
      <c r="Q200" s="9"/>
      <c r="R200" s="9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 spans="1:30" ht="12.75" customHeight="1" x14ac:dyDescent="0.25">
      <c r="A201" s="3" t="s">
        <v>30</v>
      </c>
      <c r="B201" s="4" t="s">
        <v>184</v>
      </c>
      <c r="C201" s="17">
        <v>7.85</v>
      </c>
      <c r="D201" s="17">
        <v>9.5</v>
      </c>
      <c r="E201" s="17">
        <v>9.9499999999999993</v>
      </c>
      <c r="F201" s="6" t="s">
        <v>27</v>
      </c>
      <c r="G201" s="7"/>
      <c r="H201" s="7">
        <v>4</v>
      </c>
      <c r="I201" s="7"/>
      <c r="J201" s="8">
        <f t="shared" si="18"/>
        <v>4</v>
      </c>
      <c r="K201" s="9">
        <f t="shared" si="19"/>
        <v>31.4</v>
      </c>
      <c r="L201" s="5"/>
      <c r="M201" s="9"/>
      <c r="N201" s="9"/>
      <c r="O201" s="9"/>
      <c r="P201" s="9"/>
      <c r="Q201" s="9"/>
      <c r="R201" s="9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 spans="1:30" ht="12.75" customHeight="1" x14ac:dyDescent="0.25">
      <c r="A202" s="3" t="s">
        <v>30</v>
      </c>
      <c r="B202" s="4" t="s">
        <v>185</v>
      </c>
      <c r="C202" s="17">
        <v>6.63</v>
      </c>
      <c r="D202" s="17">
        <v>7.95</v>
      </c>
      <c r="E202" s="17">
        <v>7.95</v>
      </c>
      <c r="F202" s="6" t="s">
        <v>27</v>
      </c>
      <c r="G202" s="7"/>
      <c r="H202" s="7">
        <v>6</v>
      </c>
      <c r="I202" s="7"/>
      <c r="J202" s="8">
        <f t="shared" si="18"/>
        <v>6</v>
      </c>
      <c r="K202" s="9">
        <f t="shared" si="19"/>
        <v>39.78</v>
      </c>
      <c r="L202" s="5"/>
      <c r="M202" s="9"/>
      <c r="N202" s="9"/>
      <c r="O202" s="9"/>
      <c r="P202" s="9"/>
      <c r="Q202" s="9"/>
      <c r="R202" s="9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 spans="1:30" ht="12.75" customHeight="1" x14ac:dyDescent="0.25">
      <c r="A203" s="3" t="s">
        <v>30</v>
      </c>
      <c r="B203" s="4" t="s">
        <v>186</v>
      </c>
      <c r="C203" s="17">
        <v>6.66</v>
      </c>
      <c r="D203" s="17">
        <v>8.5</v>
      </c>
      <c r="E203" s="17">
        <v>8.9499999999999993</v>
      </c>
      <c r="F203" s="6" t="s">
        <v>27</v>
      </c>
      <c r="G203" s="7"/>
      <c r="H203" s="7">
        <v>4</v>
      </c>
      <c r="I203" s="7"/>
      <c r="J203" s="8">
        <f t="shared" si="18"/>
        <v>4</v>
      </c>
      <c r="K203" s="9">
        <f t="shared" si="19"/>
        <v>26.64</v>
      </c>
      <c r="L203" s="5"/>
      <c r="M203" s="9"/>
      <c r="N203" s="9"/>
      <c r="O203" s="9"/>
      <c r="P203" s="9"/>
      <c r="Q203" s="9"/>
      <c r="R203" s="9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 spans="1:30" ht="12.75" customHeight="1" x14ac:dyDescent="0.25">
      <c r="A204" s="3" t="s">
        <v>30</v>
      </c>
      <c r="B204" s="4" t="s">
        <v>187</v>
      </c>
      <c r="C204" s="5">
        <v>9.7799999999999994</v>
      </c>
      <c r="D204" s="5">
        <v>10.9</v>
      </c>
      <c r="E204" s="5">
        <v>10.9</v>
      </c>
      <c r="F204" s="6" t="s">
        <v>27</v>
      </c>
      <c r="G204" s="7"/>
      <c r="H204" s="7">
        <v>6</v>
      </c>
      <c r="I204" s="7"/>
      <c r="J204" s="8">
        <f t="shared" si="18"/>
        <v>6</v>
      </c>
      <c r="K204" s="9">
        <f t="shared" si="19"/>
        <v>58.679999999999993</v>
      </c>
      <c r="L204" s="5"/>
      <c r="M204" s="9"/>
      <c r="N204" s="9"/>
      <c r="O204" s="9"/>
      <c r="P204" s="9"/>
      <c r="Q204" s="9"/>
      <c r="R204" s="9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 spans="1:30" ht="12.75" customHeight="1" x14ac:dyDescent="0.25">
      <c r="A205" s="3">
        <v>700</v>
      </c>
      <c r="B205" s="4" t="s">
        <v>188</v>
      </c>
      <c r="C205" s="17">
        <v>7.31</v>
      </c>
      <c r="D205" s="17">
        <v>8.9499999999999993</v>
      </c>
      <c r="E205" s="17">
        <v>9.9499999999999993</v>
      </c>
      <c r="F205" s="6" t="s">
        <v>27</v>
      </c>
      <c r="G205" s="7"/>
      <c r="H205" s="7">
        <v>3</v>
      </c>
      <c r="I205" s="7"/>
      <c r="J205" s="8">
        <f t="shared" si="18"/>
        <v>3</v>
      </c>
      <c r="K205" s="9">
        <f t="shared" si="19"/>
        <v>21.93</v>
      </c>
      <c r="L205" s="5"/>
      <c r="M205" s="9"/>
      <c r="N205" s="9"/>
      <c r="O205" s="9"/>
      <c r="P205" s="9"/>
      <c r="Q205" s="9"/>
      <c r="R205" s="9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 spans="1:30" ht="12.75" customHeight="1" x14ac:dyDescent="0.25">
      <c r="A206" s="3" t="s">
        <v>30</v>
      </c>
      <c r="B206" s="4" t="s">
        <v>189</v>
      </c>
      <c r="C206" s="17">
        <v>11.56</v>
      </c>
      <c r="D206" s="17">
        <v>12.95</v>
      </c>
      <c r="E206" s="17">
        <v>13.95</v>
      </c>
      <c r="F206" s="6" t="s">
        <v>27</v>
      </c>
      <c r="G206" s="7"/>
      <c r="H206" s="7">
        <v>4</v>
      </c>
      <c r="I206" s="7">
        <v>12</v>
      </c>
      <c r="J206" s="8">
        <f t="shared" si="18"/>
        <v>16</v>
      </c>
      <c r="K206" s="9">
        <f t="shared" si="19"/>
        <v>184.96</v>
      </c>
      <c r="L206" s="5"/>
      <c r="M206" s="9"/>
      <c r="N206" s="9"/>
      <c r="O206" s="9"/>
      <c r="P206" s="9"/>
      <c r="Q206" s="9"/>
      <c r="R206" s="9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 spans="1:30" ht="12.75" customHeight="1" x14ac:dyDescent="0.25">
      <c r="A207" s="3">
        <v>700</v>
      </c>
      <c r="B207" s="4" t="s">
        <v>190</v>
      </c>
      <c r="C207" s="17">
        <v>9.01</v>
      </c>
      <c r="D207" s="17">
        <v>10.5</v>
      </c>
      <c r="E207" s="17">
        <v>10.95</v>
      </c>
      <c r="F207" s="6" t="s">
        <v>27</v>
      </c>
      <c r="G207" s="7"/>
      <c r="H207" s="7"/>
      <c r="I207" s="7"/>
      <c r="J207" s="8">
        <f t="shared" si="18"/>
        <v>0</v>
      </c>
      <c r="K207" s="9">
        <f t="shared" si="19"/>
        <v>0</v>
      </c>
      <c r="L207" s="5"/>
      <c r="M207" s="9"/>
      <c r="N207" s="9"/>
      <c r="O207" s="9"/>
      <c r="P207" s="9"/>
      <c r="Q207" s="9"/>
      <c r="R207" s="9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spans="1:30" ht="12.75" customHeight="1" x14ac:dyDescent="0.25">
      <c r="A208" s="27">
        <v>700</v>
      </c>
      <c r="B208" s="36" t="s">
        <v>191</v>
      </c>
      <c r="C208" s="17">
        <v>4.0599999999999996</v>
      </c>
      <c r="D208" s="17">
        <v>5.95</v>
      </c>
      <c r="E208" s="17">
        <v>6.95</v>
      </c>
      <c r="F208" s="6" t="s">
        <v>168</v>
      </c>
      <c r="G208" s="7">
        <v>1</v>
      </c>
      <c r="H208" s="7">
        <v>2</v>
      </c>
      <c r="I208" s="7"/>
      <c r="J208" s="8">
        <f t="shared" si="18"/>
        <v>3</v>
      </c>
      <c r="K208" s="9">
        <f t="shared" si="19"/>
        <v>12.18</v>
      </c>
      <c r="L208" s="5"/>
      <c r="M208" s="9"/>
      <c r="N208" s="9"/>
      <c r="O208" s="9"/>
      <c r="P208" s="9"/>
      <c r="Q208" s="9"/>
      <c r="R208" s="9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 spans="1:30" ht="12.75" customHeight="1" x14ac:dyDescent="0.25">
      <c r="A209" s="3" t="s">
        <v>30</v>
      </c>
      <c r="B209" s="4" t="s">
        <v>192</v>
      </c>
      <c r="C209" s="17">
        <v>5.95</v>
      </c>
      <c r="D209" s="17">
        <v>8.5</v>
      </c>
      <c r="E209" s="17">
        <v>8.9499999999999993</v>
      </c>
      <c r="F209" s="6" t="s">
        <v>27</v>
      </c>
      <c r="G209" s="7">
        <v>7</v>
      </c>
      <c r="H209" s="7">
        <v>4</v>
      </c>
      <c r="I209" s="7"/>
      <c r="J209" s="8">
        <f t="shared" si="18"/>
        <v>11</v>
      </c>
      <c r="K209" s="9">
        <f t="shared" si="19"/>
        <v>65.45</v>
      </c>
      <c r="L209" s="5"/>
      <c r="M209" s="9"/>
      <c r="N209" s="9"/>
      <c r="O209" s="9"/>
      <c r="P209" s="9"/>
      <c r="Q209" s="9"/>
      <c r="R209" s="9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 spans="1:30" ht="12.75" customHeight="1" x14ac:dyDescent="0.25">
      <c r="A210" s="3" t="s">
        <v>30</v>
      </c>
      <c r="B210" s="4" t="s">
        <v>193</v>
      </c>
      <c r="C210" s="17">
        <v>6.84</v>
      </c>
      <c r="D210" s="17">
        <v>8.5</v>
      </c>
      <c r="E210" s="17">
        <v>8.9499999999999993</v>
      </c>
      <c r="F210" s="6" t="s">
        <v>27</v>
      </c>
      <c r="G210" s="7">
        <v>10</v>
      </c>
      <c r="H210" s="7">
        <v>2</v>
      </c>
      <c r="I210" s="7"/>
      <c r="J210" s="8">
        <f t="shared" si="18"/>
        <v>12</v>
      </c>
      <c r="K210" s="9">
        <f t="shared" si="19"/>
        <v>82.08</v>
      </c>
      <c r="L210" s="5"/>
      <c r="M210" s="9"/>
      <c r="N210" s="9"/>
      <c r="O210" s="9"/>
      <c r="P210" s="9"/>
      <c r="Q210" s="9"/>
      <c r="R210" s="9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 spans="1:30" ht="12.75" customHeight="1" x14ac:dyDescent="0.25">
      <c r="A211" s="3"/>
      <c r="B211" s="4"/>
      <c r="C211" s="5"/>
      <c r="D211" s="5"/>
      <c r="E211" s="5"/>
      <c r="F211" s="6"/>
      <c r="G211" s="7"/>
      <c r="H211" s="7"/>
      <c r="I211" s="7"/>
      <c r="J211" s="8"/>
      <c r="K211" s="9"/>
      <c r="L211" s="5"/>
      <c r="M211" s="9"/>
      <c r="N211" s="9"/>
      <c r="O211" s="9"/>
      <c r="P211" s="9"/>
      <c r="Q211" s="9"/>
      <c r="R211" s="9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 spans="1:30" ht="12.75" customHeight="1" x14ac:dyDescent="0.25">
      <c r="A212" s="3"/>
      <c r="B212" s="4"/>
      <c r="C212" s="5"/>
      <c r="D212" s="5"/>
      <c r="E212" s="5"/>
      <c r="F212" s="6"/>
      <c r="G212" s="7"/>
      <c r="H212" s="7"/>
      <c r="I212" s="7"/>
      <c r="J212" s="8"/>
      <c r="K212" s="9"/>
      <c r="L212" s="5"/>
      <c r="M212" s="9"/>
      <c r="N212" s="9"/>
      <c r="O212" s="9"/>
      <c r="P212" s="9"/>
      <c r="Q212" s="9"/>
      <c r="R212" s="9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 spans="1:30" ht="12.75" customHeight="1" x14ac:dyDescent="0.25">
      <c r="A213" s="3"/>
      <c r="B213" s="4"/>
      <c r="C213" s="5"/>
      <c r="D213" s="5"/>
      <c r="E213" s="5"/>
      <c r="F213" s="6"/>
      <c r="G213" s="7"/>
      <c r="H213" s="7"/>
      <c r="I213" s="7"/>
      <c r="J213" s="8"/>
      <c r="K213" s="9"/>
      <c r="L213" s="5"/>
      <c r="M213" s="9"/>
      <c r="N213" s="9"/>
      <c r="O213" s="9"/>
      <c r="P213" s="9"/>
      <c r="Q213" s="9"/>
      <c r="R213" s="9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 spans="1:30" ht="12.75" customHeight="1" x14ac:dyDescent="0.25">
      <c r="A214" s="3"/>
      <c r="B214" s="4"/>
      <c r="C214" s="5"/>
      <c r="D214" s="5"/>
      <c r="E214" s="5"/>
      <c r="F214" s="6"/>
      <c r="G214" s="7"/>
      <c r="H214" s="7"/>
      <c r="I214" s="7"/>
      <c r="J214" s="8"/>
      <c r="K214" s="9"/>
      <c r="L214" s="5"/>
      <c r="M214" s="9"/>
      <c r="N214" s="9"/>
      <c r="O214" s="9"/>
      <c r="P214" s="9"/>
      <c r="Q214" s="9"/>
      <c r="R214" s="9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 spans="1:30" ht="12.75" customHeight="1" x14ac:dyDescent="0.25">
      <c r="A215" s="3"/>
      <c r="B215" s="4"/>
      <c r="C215" s="5"/>
      <c r="D215" s="5"/>
      <c r="E215" s="5"/>
      <c r="F215" s="6"/>
      <c r="G215" s="7"/>
      <c r="H215" s="7"/>
      <c r="I215" s="7"/>
      <c r="J215" s="8"/>
      <c r="K215" s="9"/>
      <c r="L215" s="5"/>
      <c r="M215" s="9"/>
      <c r="N215" s="9"/>
      <c r="O215" s="9"/>
      <c r="P215" s="9"/>
      <c r="Q215" s="9"/>
      <c r="R215" s="9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 spans="1:30" ht="12.75" customHeight="1" x14ac:dyDescent="0.3">
      <c r="A216" s="3"/>
      <c r="B216" s="15" t="s">
        <v>194</v>
      </c>
      <c r="C216" s="5"/>
      <c r="D216" s="5"/>
      <c r="E216" s="5"/>
      <c r="F216" s="6"/>
      <c r="G216" s="7"/>
      <c r="H216" s="7"/>
      <c r="I216" s="7"/>
      <c r="J216" s="8"/>
      <c r="K216" s="9"/>
      <c r="L216" s="5"/>
      <c r="M216" s="9"/>
      <c r="N216" s="9"/>
      <c r="O216" s="9"/>
      <c r="P216" s="9"/>
      <c r="Q216" s="9"/>
      <c r="R216" s="9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 spans="1:30" ht="12.75" customHeight="1" x14ac:dyDescent="0.25">
      <c r="A217" s="3"/>
      <c r="B217" s="4"/>
      <c r="C217" s="5"/>
      <c r="D217" s="5"/>
      <c r="E217" s="5"/>
      <c r="F217" s="6"/>
      <c r="G217" s="7"/>
      <c r="H217" s="7"/>
      <c r="I217" s="7"/>
      <c r="J217" s="8"/>
      <c r="K217" s="9"/>
      <c r="L217" s="5"/>
      <c r="M217" s="9"/>
      <c r="N217" s="9"/>
      <c r="O217" s="9"/>
      <c r="P217" s="9"/>
      <c r="Q217" s="9"/>
      <c r="R217" s="9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spans="1:30" ht="12.75" customHeight="1" x14ac:dyDescent="0.25">
      <c r="A218" s="3" t="s">
        <v>13</v>
      </c>
      <c r="B218" s="4" t="s">
        <v>14</v>
      </c>
      <c r="C218" s="5"/>
      <c r="D218" s="5"/>
      <c r="E218" s="5"/>
      <c r="F218" s="6"/>
      <c r="G218" s="7"/>
      <c r="H218" s="7"/>
      <c r="I218" s="7"/>
      <c r="J218" s="8"/>
      <c r="K218" s="9"/>
      <c r="L218" s="5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2.75" customHeight="1" x14ac:dyDescent="0.25">
      <c r="A219" s="3" t="s">
        <v>30</v>
      </c>
      <c r="B219" s="4" t="s">
        <v>195</v>
      </c>
      <c r="C219" s="17">
        <v>6.75</v>
      </c>
      <c r="D219" s="17">
        <v>8.9499999999999993</v>
      </c>
      <c r="E219" s="17">
        <v>8.9499999999999993</v>
      </c>
      <c r="F219" s="6" t="s">
        <v>27</v>
      </c>
      <c r="G219" s="7"/>
      <c r="H219" s="7">
        <v>5</v>
      </c>
      <c r="I219" s="7"/>
      <c r="J219" s="8">
        <f t="shared" ref="J219:J223" si="20">SUM(G219:I219)</f>
        <v>5</v>
      </c>
      <c r="K219" s="9">
        <f t="shared" ref="K219:K223" si="21">SUM(C219*J219)</f>
        <v>33.75</v>
      </c>
      <c r="L219" s="5"/>
      <c r="M219" s="9"/>
      <c r="N219" s="9"/>
      <c r="O219" s="9"/>
      <c r="P219" s="9"/>
      <c r="Q219" s="9"/>
      <c r="R219" s="9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 spans="1:30" ht="12.75" customHeight="1" x14ac:dyDescent="0.25">
      <c r="A220" s="3">
        <v>700</v>
      </c>
      <c r="B220" s="4" t="s">
        <v>195</v>
      </c>
      <c r="C220" s="17">
        <v>5.58</v>
      </c>
      <c r="D220" s="17">
        <v>6.95</v>
      </c>
      <c r="E220" s="17">
        <v>6.95</v>
      </c>
      <c r="F220" s="6" t="s">
        <v>27</v>
      </c>
      <c r="G220" s="7"/>
      <c r="H220" s="7"/>
      <c r="I220" s="7">
        <v>6</v>
      </c>
      <c r="J220" s="8">
        <f t="shared" si="20"/>
        <v>6</v>
      </c>
      <c r="K220" s="9">
        <f t="shared" si="21"/>
        <v>33.480000000000004</v>
      </c>
      <c r="L220" s="5"/>
      <c r="M220" s="9"/>
      <c r="N220" s="9"/>
      <c r="O220" s="9"/>
      <c r="P220" s="9"/>
      <c r="Q220" s="9"/>
      <c r="R220" s="9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 spans="1:30" ht="12.75" customHeight="1" x14ac:dyDescent="0.25">
      <c r="A221" s="3" t="s">
        <v>30</v>
      </c>
      <c r="B221" s="4" t="s">
        <v>196</v>
      </c>
      <c r="C221" s="17">
        <v>6.75</v>
      </c>
      <c r="D221" s="17">
        <v>8.9499999999999993</v>
      </c>
      <c r="E221" s="17">
        <v>8.9499999999999993</v>
      </c>
      <c r="F221" s="6" t="s">
        <v>27</v>
      </c>
      <c r="G221" s="7"/>
      <c r="H221" s="7">
        <v>5</v>
      </c>
      <c r="I221" s="7"/>
      <c r="J221" s="8">
        <f t="shared" si="20"/>
        <v>5</v>
      </c>
      <c r="K221" s="9">
        <f t="shared" si="21"/>
        <v>33.75</v>
      </c>
      <c r="L221" s="5"/>
      <c r="M221" s="9"/>
      <c r="N221" s="9"/>
      <c r="O221" s="9"/>
      <c r="P221" s="9"/>
      <c r="Q221" s="9"/>
      <c r="R221" s="9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 spans="1:30" ht="12.75" customHeight="1" x14ac:dyDescent="0.25">
      <c r="A222" s="3" t="s">
        <v>30</v>
      </c>
      <c r="B222" s="4" t="s">
        <v>197</v>
      </c>
      <c r="C222" s="17">
        <v>7.98</v>
      </c>
      <c r="D222" s="17">
        <v>8.9499999999999993</v>
      </c>
      <c r="E222" s="17">
        <v>8.9499999999999993</v>
      </c>
      <c r="F222" s="6" t="s">
        <v>27</v>
      </c>
      <c r="G222" s="7"/>
      <c r="H222" s="7">
        <v>2</v>
      </c>
      <c r="I222" s="7"/>
      <c r="J222" s="8">
        <f t="shared" si="20"/>
        <v>2</v>
      </c>
      <c r="K222" s="9">
        <f t="shared" si="21"/>
        <v>15.96</v>
      </c>
      <c r="L222" s="5"/>
      <c r="M222" s="9"/>
      <c r="N222" s="9"/>
      <c r="O222" s="9"/>
      <c r="P222" s="9"/>
      <c r="Q222" s="9"/>
      <c r="R222" s="9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 spans="1:30" ht="12.75" customHeight="1" x14ac:dyDescent="0.25">
      <c r="A223" s="3">
        <v>700</v>
      </c>
      <c r="B223" s="4" t="s">
        <v>198</v>
      </c>
      <c r="C223" s="5">
        <v>8.33</v>
      </c>
      <c r="D223" s="17">
        <v>9.9499999999999993</v>
      </c>
      <c r="E223" s="17">
        <v>9.9499999999999993</v>
      </c>
      <c r="F223" s="6" t="s">
        <v>27</v>
      </c>
      <c r="G223" s="7"/>
      <c r="H223" s="7">
        <v>0</v>
      </c>
      <c r="I223" s="7"/>
      <c r="J223" s="8">
        <f t="shared" si="20"/>
        <v>0</v>
      </c>
      <c r="K223" s="9">
        <f t="shared" si="21"/>
        <v>0</v>
      </c>
      <c r="L223" s="5"/>
      <c r="M223" s="9"/>
      <c r="N223" s="9"/>
      <c r="O223" s="9"/>
      <c r="P223" s="9"/>
      <c r="Q223" s="9"/>
      <c r="R223" s="9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 spans="1:30" ht="12.75" customHeight="1" x14ac:dyDescent="0.25">
      <c r="A224" s="3"/>
      <c r="B224" s="4"/>
      <c r="C224" s="5"/>
      <c r="D224" s="5"/>
      <c r="E224" s="5"/>
      <c r="F224" s="6"/>
      <c r="G224" s="7"/>
      <c r="H224" s="7"/>
      <c r="I224" s="7"/>
      <c r="J224" s="8"/>
      <c r="K224" s="9"/>
      <c r="L224" s="5"/>
      <c r="M224" s="21"/>
      <c r="N224" s="21"/>
      <c r="O224" s="9"/>
      <c r="P224" s="9"/>
      <c r="Q224" s="9"/>
      <c r="R224" s="9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 spans="1:30" ht="12.75" customHeight="1" x14ac:dyDescent="0.3">
      <c r="A225" s="3"/>
      <c r="B225" s="15" t="s">
        <v>199</v>
      </c>
      <c r="C225" s="5"/>
      <c r="D225" s="5"/>
      <c r="E225" s="5"/>
      <c r="F225" s="6"/>
      <c r="G225" s="7"/>
      <c r="H225" s="7"/>
      <c r="I225" s="7"/>
      <c r="J225" s="8"/>
      <c r="K225" s="9"/>
      <c r="L225" s="5"/>
      <c r="M225" s="21"/>
      <c r="N225" s="21"/>
      <c r="O225" s="9"/>
      <c r="P225" s="9"/>
      <c r="Q225" s="9"/>
      <c r="R225" s="9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 spans="1:30" ht="12.75" customHeight="1" x14ac:dyDescent="0.25">
      <c r="A226" s="3"/>
      <c r="B226" s="4"/>
      <c r="C226" s="5"/>
      <c r="D226" s="5"/>
      <c r="E226" s="5"/>
      <c r="F226" s="6"/>
      <c r="G226" s="7"/>
      <c r="H226" s="7"/>
      <c r="I226" s="7"/>
      <c r="J226" s="8"/>
      <c r="K226" s="9"/>
      <c r="L226" s="5"/>
      <c r="M226" s="21"/>
      <c r="N226" s="21"/>
      <c r="O226" s="9"/>
      <c r="P226" s="9"/>
      <c r="Q226" s="9"/>
      <c r="R226" s="9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 spans="1:30" ht="12.75" customHeight="1" x14ac:dyDescent="0.25">
      <c r="A227" s="3" t="s">
        <v>30</v>
      </c>
      <c r="B227" s="4" t="s">
        <v>200</v>
      </c>
      <c r="C227" s="5">
        <v>5.44</v>
      </c>
      <c r="D227" s="5">
        <v>6.95</v>
      </c>
      <c r="E227" s="5">
        <v>7.5</v>
      </c>
      <c r="F227" s="6" t="s">
        <v>27</v>
      </c>
      <c r="G227" s="7"/>
      <c r="H227" s="7">
        <v>6</v>
      </c>
      <c r="I227" s="7"/>
      <c r="J227" s="8">
        <f t="shared" ref="J227:J231" si="22">SUM(G227:I227)</f>
        <v>6</v>
      </c>
      <c r="K227" s="9">
        <f t="shared" ref="K227:K231" si="23">SUM(C227*J227)</f>
        <v>32.64</v>
      </c>
      <c r="L227" s="5"/>
      <c r="M227" s="9"/>
      <c r="N227" s="9"/>
      <c r="O227" s="9"/>
      <c r="P227" s="9"/>
      <c r="Q227" s="9"/>
      <c r="R227" s="9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 spans="1:30" ht="12.75" customHeight="1" x14ac:dyDescent="0.25">
      <c r="A228" s="3" t="s">
        <v>30</v>
      </c>
      <c r="B228" s="4" t="s">
        <v>201</v>
      </c>
      <c r="C228" s="5">
        <v>5.44</v>
      </c>
      <c r="D228" s="5">
        <v>6.95</v>
      </c>
      <c r="E228" s="5">
        <v>7.5</v>
      </c>
      <c r="F228" s="6" t="s">
        <v>27</v>
      </c>
      <c r="G228" s="7"/>
      <c r="H228" s="7">
        <v>3</v>
      </c>
      <c r="I228" s="7"/>
      <c r="J228" s="8">
        <f t="shared" si="22"/>
        <v>3</v>
      </c>
      <c r="K228" s="9">
        <f t="shared" si="23"/>
        <v>16.32</v>
      </c>
      <c r="L228" s="5"/>
      <c r="M228" s="9"/>
      <c r="N228" s="9"/>
      <c r="O228" s="9"/>
      <c r="P228" s="9"/>
      <c r="Q228" s="9"/>
      <c r="R228" s="9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 spans="1:30" ht="12.75" customHeight="1" x14ac:dyDescent="0.25">
      <c r="A229" s="3" t="s">
        <v>30</v>
      </c>
      <c r="B229" s="4" t="s">
        <v>202</v>
      </c>
      <c r="C229" s="5">
        <v>5.44</v>
      </c>
      <c r="D229" s="5">
        <v>6.95</v>
      </c>
      <c r="E229" s="5">
        <v>7.5</v>
      </c>
      <c r="F229" s="6" t="s">
        <v>27</v>
      </c>
      <c r="G229" s="7"/>
      <c r="H229" s="7"/>
      <c r="I229" s="7"/>
      <c r="J229" s="8">
        <f t="shared" si="22"/>
        <v>0</v>
      </c>
      <c r="K229" s="9">
        <f t="shared" si="23"/>
        <v>0</v>
      </c>
      <c r="L229" s="5"/>
      <c r="M229" s="9"/>
      <c r="N229" s="9"/>
      <c r="O229" s="9"/>
      <c r="P229" s="9"/>
      <c r="Q229" s="9"/>
      <c r="R229" s="9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 spans="1:30" ht="12.75" customHeight="1" x14ac:dyDescent="0.25">
      <c r="A230" s="3" t="s">
        <v>30</v>
      </c>
      <c r="B230" s="4" t="s">
        <v>203</v>
      </c>
      <c r="C230" s="5">
        <v>5.44</v>
      </c>
      <c r="D230" s="5">
        <v>6.95</v>
      </c>
      <c r="E230" s="5">
        <v>7.5</v>
      </c>
      <c r="F230" s="6" t="s">
        <v>27</v>
      </c>
      <c r="G230" s="7"/>
      <c r="H230" s="7"/>
      <c r="I230" s="7"/>
      <c r="J230" s="8">
        <f t="shared" si="22"/>
        <v>0</v>
      </c>
      <c r="K230" s="9">
        <f t="shared" si="23"/>
        <v>0</v>
      </c>
      <c r="L230" s="5"/>
      <c r="M230" s="9"/>
      <c r="N230" s="9"/>
      <c r="O230" s="9"/>
      <c r="P230" s="9"/>
      <c r="Q230" s="9"/>
      <c r="R230" s="9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 spans="1:30" ht="12.75" customHeight="1" x14ac:dyDescent="0.25">
      <c r="A231" s="3" t="s">
        <v>30</v>
      </c>
      <c r="B231" s="4" t="s">
        <v>204</v>
      </c>
      <c r="C231" s="5">
        <v>5.44</v>
      </c>
      <c r="D231" s="5">
        <v>6.95</v>
      </c>
      <c r="E231" s="5">
        <v>7.5</v>
      </c>
      <c r="F231" s="6" t="s">
        <v>27</v>
      </c>
      <c r="G231" s="7"/>
      <c r="H231" s="7">
        <v>2</v>
      </c>
      <c r="I231" s="7"/>
      <c r="J231" s="8">
        <f t="shared" si="22"/>
        <v>2</v>
      </c>
      <c r="K231" s="9">
        <f t="shared" si="23"/>
        <v>10.88</v>
      </c>
      <c r="L231" s="5"/>
      <c r="M231" s="9"/>
      <c r="N231" s="9"/>
      <c r="O231" s="9"/>
      <c r="P231" s="9"/>
      <c r="Q231" s="9"/>
      <c r="R231" s="9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 spans="1:30" ht="12.75" customHeight="1" x14ac:dyDescent="0.25">
      <c r="A232" s="3"/>
      <c r="B232" s="4"/>
      <c r="C232" s="5"/>
      <c r="D232" s="5"/>
      <c r="E232" s="5"/>
      <c r="F232" s="6"/>
      <c r="G232" s="7"/>
      <c r="H232" s="7"/>
      <c r="I232" s="7"/>
      <c r="J232" s="8"/>
      <c r="K232" s="9"/>
      <c r="L232" s="5"/>
      <c r="M232" s="9"/>
      <c r="N232" s="9"/>
      <c r="O232" s="9"/>
      <c r="P232" s="9"/>
      <c r="Q232" s="9"/>
      <c r="R232" s="9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 spans="1:30" ht="12.75" customHeight="1" x14ac:dyDescent="0.25">
      <c r="A233" s="3"/>
      <c r="B233" s="4"/>
      <c r="C233" s="5"/>
      <c r="D233" s="5"/>
      <c r="E233" s="5"/>
      <c r="F233" s="6"/>
      <c r="G233" s="7"/>
      <c r="H233" s="7"/>
      <c r="I233" s="7"/>
      <c r="J233" s="8"/>
      <c r="K233" s="9"/>
      <c r="L233" s="5"/>
      <c r="M233" s="9"/>
      <c r="N233" s="9"/>
      <c r="O233" s="9"/>
      <c r="P233" s="9"/>
      <c r="Q233" s="9"/>
      <c r="R233" s="9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 spans="1:30" ht="12.75" customHeight="1" x14ac:dyDescent="0.3">
      <c r="A234" s="3"/>
      <c r="B234" s="15" t="s">
        <v>205</v>
      </c>
      <c r="C234" s="5"/>
      <c r="D234" s="5"/>
      <c r="E234" s="5"/>
      <c r="F234" s="6"/>
      <c r="G234" s="7"/>
      <c r="H234" s="7"/>
      <c r="I234" s="7"/>
      <c r="J234" s="8"/>
      <c r="K234" s="9"/>
      <c r="L234" s="5"/>
      <c r="M234" s="9"/>
      <c r="N234" s="9"/>
      <c r="O234" s="9"/>
      <c r="P234" s="9"/>
      <c r="Q234" s="9"/>
      <c r="R234" s="9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 spans="1:30" ht="12.75" customHeight="1" x14ac:dyDescent="0.25">
      <c r="A235" s="3"/>
      <c r="B235" s="4"/>
      <c r="C235" s="5"/>
      <c r="D235" s="5"/>
      <c r="E235" s="5"/>
      <c r="F235" s="6"/>
      <c r="G235" s="7"/>
      <c r="H235" s="7"/>
      <c r="I235" s="7"/>
      <c r="J235" s="8"/>
      <c r="K235" s="9"/>
      <c r="L235" s="5"/>
      <c r="M235" s="9"/>
      <c r="N235" s="9"/>
      <c r="O235" s="9"/>
      <c r="P235" s="9"/>
      <c r="Q235" s="9"/>
      <c r="R235" s="9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 spans="1:30" ht="12.75" customHeight="1" x14ac:dyDescent="0.25">
      <c r="A236" s="3" t="s">
        <v>13</v>
      </c>
      <c r="B236" s="4" t="s">
        <v>14</v>
      </c>
      <c r="C236" s="5"/>
      <c r="D236" s="5"/>
      <c r="E236" s="5"/>
      <c r="F236" s="6"/>
      <c r="G236" s="7"/>
      <c r="H236" s="7"/>
      <c r="I236" s="7"/>
      <c r="J236" s="8"/>
      <c r="K236" s="9"/>
      <c r="L236" s="5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2.75" customHeight="1" x14ac:dyDescent="0.25">
      <c r="A237" s="3"/>
      <c r="B237" s="4"/>
      <c r="C237" s="5"/>
      <c r="D237" s="5"/>
      <c r="E237" s="5"/>
      <c r="F237" s="6"/>
      <c r="G237" s="7"/>
      <c r="H237" s="7"/>
      <c r="I237" s="7"/>
      <c r="J237" s="8"/>
      <c r="K237" s="9"/>
      <c r="L237" s="5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2.75" customHeight="1" x14ac:dyDescent="0.25">
      <c r="A238" s="3">
        <v>700</v>
      </c>
      <c r="B238" s="4" t="s">
        <v>206</v>
      </c>
      <c r="C238" s="5">
        <v>15.58</v>
      </c>
      <c r="D238" s="10">
        <v>16.95</v>
      </c>
      <c r="E238" s="10">
        <v>16.95</v>
      </c>
      <c r="F238" s="6" t="s">
        <v>27</v>
      </c>
      <c r="G238" s="7"/>
      <c r="H238" s="7">
        <v>3</v>
      </c>
      <c r="I238" s="7"/>
      <c r="J238" s="8">
        <f t="shared" ref="J238:J271" si="24">SUM(G238:I238)</f>
        <v>3</v>
      </c>
      <c r="K238" s="9">
        <f t="shared" ref="K238:K271" si="25">SUM(C238*J238)</f>
        <v>46.74</v>
      </c>
      <c r="L238" s="5"/>
      <c r="M238" s="1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2.75" customHeight="1" x14ac:dyDescent="0.25">
      <c r="A239" s="3" t="s">
        <v>30</v>
      </c>
      <c r="B239" s="19" t="s">
        <v>207</v>
      </c>
      <c r="C239" s="5">
        <v>14.81</v>
      </c>
      <c r="D239" s="17">
        <v>16.95</v>
      </c>
      <c r="E239" s="17">
        <v>17.95</v>
      </c>
      <c r="F239" s="6" t="s">
        <v>27</v>
      </c>
      <c r="G239" s="7"/>
      <c r="H239" s="7">
        <v>1</v>
      </c>
      <c r="I239" s="7"/>
      <c r="J239" s="8">
        <f t="shared" si="24"/>
        <v>1</v>
      </c>
      <c r="K239" s="9">
        <f t="shared" si="25"/>
        <v>14.81</v>
      </c>
      <c r="L239" s="5"/>
      <c r="M239" s="18"/>
      <c r="N239" s="9"/>
      <c r="O239" s="9"/>
      <c r="P239" s="9"/>
      <c r="Q239" s="9"/>
      <c r="R239" s="9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 spans="1:30" ht="12.75" customHeight="1" x14ac:dyDescent="0.25">
      <c r="A240" s="3"/>
      <c r="B240" s="19" t="s">
        <v>208</v>
      </c>
      <c r="C240" s="5">
        <v>14.64</v>
      </c>
      <c r="D240" s="17">
        <v>16.95</v>
      </c>
      <c r="E240" s="17">
        <v>17.95</v>
      </c>
      <c r="F240" s="6" t="s">
        <v>27</v>
      </c>
      <c r="G240" s="7"/>
      <c r="H240" s="7"/>
      <c r="I240" s="7"/>
      <c r="J240" s="8">
        <f t="shared" si="24"/>
        <v>0</v>
      </c>
      <c r="K240" s="9">
        <f t="shared" si="25"/>
        <v>0</v>
      </c>
      <c r="L240" s="5"/>
      <c r="M240" s="18"/>
      <c r="N240" s="9"/>
      <c r="O240" s="9"/>
      <c r="P240" s="9"/>
      <c r="Q240" s="9"/>
      <c r="R240" s="9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 spans="1:30" ht="12.75" customHeight="1" x14ac:dyDescent="0.25">
      <c r="A241" s="3" t="s">
        <v>30</v>
      </c>
      <c r="B241" s="4" t="s">
        <v>209</v>
      </c>
      <c r="C241" s="17">
        <v>15.56</v>
      </c>
      <c r="D241" s="17">
        <v>16.95</v>
      </c>
      <c r="E241" s="17">
        <v>17.95</v>
      </c>
      <c r="F241" s="6" t="s">
        <v>27</v>
      </c>
      <c r="G241" s="7">
        <v>10</v>
      </c>
      <c r="H241" s="7">
        <v>8</v>
      </c>
      <c r="I241" s="7"/>
      <c r="J241" s="8">
        <f t="shared" si="24"/>
        <v>18</v>
      </c>
      <c r="K241" s="9">
        <f t="shared" si="25"/>
        <v>280.08</v>
      </c>
      <c r="L241" s="5"/>
      <c r="M241" s="18"/>
      <c r="N241" s="9"/>
      <c r="O241" s="9"/>
      <c r="P241" s="9"/>
      <c r="Q241" s="9"/>
      <c r="R241" s="9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 spans="1:30" ht="12.75" customHeight="1" x14ac:dyDescent="0.25">
      <c r="A242" s="3" t="s">
        <v>30</v>
      </c>
      <c r="B242" s="4" t="s">
        <v>210</v>
      </c>
      <c r="C242" s="5">
        <v>13.99</v>
      </c>
      <c r="D242" s="17">
        <v>16.95</v>
      </c>
      <c r="E242" s="17">
        <v>17.95</v>
      </c>
      <c r="F242" s="6" t="s">
        <v>27</v>
      </c>
      <c r="G242" s="7"/>
      <c r="H242" s="7">
        <v>1</v>
      </c>
      <c r="I242" s="7"/>
      <c r="J242" s="8">
        <f t="shared" si="24"/>
        <v>1</v>
      </c>
      <c r="K242" s="9">
        <f t="shared" si="25"/>
        <v>13.99</v>
      </c>
      <c r="L242" s="5"/>
      <c r="M242" s="18"/>
      <c r="N242" s="9"/>
      <c r="O242" s="9"/>
      <c r="P242" s="9"/>
      <c r="Q242" s="9"/>
      <c r="R242" s="9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 spans="1:30" ht="12.75" customHeight="1" x14ac:dyDescent="0.25">
      <c r="A243" s="3" t="s">
        <v>30</v>
      </c>
      <c r="B243" s="4" t="s">
        <v>211</v>
      </c>
      <c r="C243" s="5">
        <v>13.99</v>
      </c>
      <c r="D243" s="17">
        <v>16.95</v>
      </c>
      <c r="E243" s="17">
        <v>17.95</v>
      </c>
      <c r="F243" s="6" t="s">
        <v>27</v>
      </c>
      <c r="G243" s="7">
        <v>4</v>
      </c>
      <c r="H243" s="7">
        <v>5</v>
      </c>
      <c r="I243" s="7"/>
      <c r="J243" s="8">
        <f t="shared" si="24"/>
        <v>9</v>
      </c>
      <c r="K243" s="9">
        <f t="shared" si="25"/>
        <v>125.91</v>
      </c>
      <c r="L243" s="5"/>
      <c r="M243" s="18"/>
      <c r="N243" s="9"/>
      <c r="O243" s="9"/>
      <c r="P243" s="9"/>
      <c r="Q243" s="9"/>
      <c r="R243" s="9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 spans="1:30" ht="12.75" customHeight="1" x14ac:dyDescent="0.25">
      <c r="A244" s="3" t="s">
        <v>30</v>
      </c>
      <c r="B244" s="4" t="s">
        <v>212</v>
      </c>
      <c r="C244" s="17">
        <v>14.58</v>
      </c>
      <c r="D244" s="17">
        <v>16.95</v>
      </c>
      <c r="E244" s="17">
        <v>16.95</v>
      </c>
      <c r="F244" s="6" t="s">
        <v>27</v>
      </c>
      <c r="G244" s="7" t="s">
        <v>63</v>
      </c>
      <c r="H244" s="7">
        <v>8</v>
      </c>
      <c r="I244" s="7">
        <v>12</v>
      </c>
      <c r="J244" s="8">
        <f t="shared" si="24"/>
        <v>20</v>
      </c>
      <c r="K244" s="9">
        <f t="shared" si="25"/>
        <v>291.60000000000002</v>
      </c>
      <c r="L244" s="5"/>
      <c r="M244" s="18"/>
      <c r="N244" s="9"/>
      <c r="O244" s="9"/>
      <c r="P244" s="9"/>
      <c r="Q244" s="9"/>
      <c r="R244" s="9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 spans="1:30" ht="12.75" customHeight="1" x14ac:dyDescent="0.25">
      <c r="A245" s="3">
        <v>700</v>
      </c>
      <c r="B245" s="4" t="s">
        <v>213</v>
      </c>
      <c r="C245" s="17">
        <v>14.29</v>
      </c>
      <c r="D245" s="17">
        <v>15.5</v>
      </c>
      <c r="E245" s="17">
        <v>15.5</v>
      </c>
      <c r="F245" s="6" t="s">
        <v>27</v>
      </c>
      <c r="G245" s="7">
        <v>3</v>
      </c>
      <c r="H245" s="7">
        <v>11</v>
      </c>
      <c r="I245" s="7"/>
      <c r="J245" s="8">
        <f t="shared" si="24"/>
        <v>14</v>
      </c>
      <c r="K245" s="9">
        <f t="shared" si="25"/>
        <v>200.06</v>
      </c>
      <c r="L245" s="5"/>
      <c r="M245" s="18"/>
      <c r="N245" s="21"/>
      <c r="O245" s="20"/>
      <c r="P245" s="9"/>
      <c r="Q245" s="9"/>
      <c r="R245" s="9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 spans="1:30" ht="12.75" customHeight="1" x14ac:dyDescent="0.25">
      <c r="A246" s="3">
        <v>700</v>
      </c>
      <c r="B246" s="4" t="s">
        <v>214</v>
      </c>
      <c r="C246" s="5">
        <v>14.14</v>
      </c>
      <c r="D246" s="17">
        <v>15.5</v>
      </c>
      <c r="E246" s="17">
        <v>15.5</v>
      </c>
      <c r="F246" s="6" t="s">
        <v>27</v>
      </c>
      <c r="G246" s="7"/>
      <c r="H246" s="7">
        <v>2</v>
      </c>
      <c r="I246" s="7"/>
      <c r="J246" s="8">
        <f t="shared" si="24"/>
        <v>2</v>
      </c>
      <c r="K246" s="9">
        <f t="shared" si="25"/>
        <v>28.28</v>
      </c>
      <c r="L246" s="5"/>
      <c r="M246" s="18"/>
      <c r="N246" s="9"/>
      <c r="O246" s="9"/>
      <c r="P246" s="9"/>
      <c r="Q246" s="9"/>
      <c r="R246" s="9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2.75" customHeight="1" x14ac:dyDescent="0.25">
      <c r="A247" s="3" t="s">
        <v>84</v>
      </c>
      <c r="B247" s="4" t="s">
        <v>215</v>
      </c>
      <c r="C247" s="5">
        <v>26.63</v>
      </c>
      <c r="D247" s="17">
        <v>30</v>
      </c>
      <c r="E247" s="17">
        <v>32</v>
      </c>
      <c r="F247" s="6" t="s">
        <v>27</v>
      </c>
      <c r="G247" s="7"/>
      <c r="H247" s="7">
        <v>4</v>
      </c>
      <c r="I247" s="7"/>
      <c r="J247" s="8">
        <f t="shared" si="24"/>
        <v>4</v>
      </c>
      <c r="K247" s="9">
        <f t="shared" si="25"/>
        <v>106.52</v>
      </c>
      <c r="L247" s="5"/>
      <c r="M247" s="18"/>
      <c r="N247" s="9"/>
      <c r="O247" s="9"/>
      <c r="P247" s="9"/>
      <c r="Q247" s="9"/>
      <c r="R247" s="9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 spans="1:30" ht="12.75" customHeight="1" x14ac:dyDescent="0.25">
      <c r="A248" s="3">
        <v>700</v>
      </c>
      <c r="B248" s="4" t="s">
        <v>216</v>
      </c>
      <c r="C248" s="17">
        <v>11.82</v>
      </c>
      <c r="D248" s="17">
        <v>13.95</v>
      </c>
      <c r="E248" s="17">
        <v>13.95</v>
      </c>
      <c r="F248" s="6" t="s">
        <v>27</v>
      </c>
      <c r="G248" s="7"/>
      <c r="H248" s="7">
        <v>0</v>
      </c>
      <c r="I248" s="7"/>
      <c r="J248" s="8">
        <f t="shared" si="24"/>
        <v>0</v>
      </c>
      <c r="K248" s="9">
        <f t="shared" si="25"/>
        <v>0</v>
      </c>
      <c r="L248" s="5"/>
      <c r="M248" s="18"/>
      <c r="N248" s="21"/>
      <c r="O248" s="20"/>
      <c r="P248" s="9"/>
      <c r="Q248" s="9"/>
      <c r="R248" s="9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 spans="1:30" ht="12.75" customHeight="1" x14ac:dyDescent="0.25">
      <c r="A249" s="3" t="s">
        <v>30</v>
      </c>
      <c r="B249" s="4" t="s">
        <v>217</v>
      </c>
      <c r="C249" s="5">
        <v>15.01</v>
      </c>
      <c r="D249" s="5">
        <v>15.95</v>
      </c>
      <c r="E249" s="5">
        <v>15.95</v>
      </c>
      <c r="F249" s="6" t="s">
        <v>27</v>
      </c>
      <c r="G249" s="7"/>
      <c r="H249" s="7">
        <v>2</v>
      </c>
      <c r="I249" s="7"/>
      <c r="J249" s="8">
        <f t="shared" si="24"/>
        <v>2</v>
      </c>
      <c r="K249" s="9">
        <f t="shared" si="25"/>
        <v>30.02</v>
      </c>
      <c r="L249" s="5"/>
      <c r="M249" s="18"/>
      <c r="N249" s="9"/>
      <c r="O249" s="9"/>
      <c r="P249" s="9"/>
      <c r="Q249" s="9"/>
      <c r="R249" s="9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 spans="1:30" ht="12.75" customHeight="1" x14ac:dyDescent="0.25">
      <c r="A250" s="3" t="s">
        <v>30</v>
      </c>
      <c r="B250" s="19" t="s">
        <v>218</v>
      </c>
      <c r="C250" s="17">
        <v>14.12</v>
      </c>
      <c r="D250" s="17">
        <v>17.95</v>
      </c>
      <c r="E250" s="17">
        <v>17.95</v>
      </c>
      <c r="F250" s="6" t="s">
        <v>49</v>
      </c>
      <c r="G250" s="7">
        <v>3</v>
      </c>
      <c r="H250" s="7">
        <v>3</v>
      </c>
      <c r="I250" s="7"/>
      <c r="J250" s="8">
        <f t="shared" si="24"/>
        <v>6</v>
      </c>
      <c r="K250" s="9">
        <f t="shared" si="25"/>
        <v>84.72</v>
      </c>
      <c r="L250" s="5"/>
      <c r="M250" s="18"/>
      <c r="N250" s="9"/>
      <c r="O250" s="9"/>
      <c r="P250" s="9"/>
      <c r="Q250" s="9"/>
      <c r="R250" s="9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 spans="1:30" ht="12.75" customHeight="1" x14ac:dyDescent="0.25">
      <c r="A251" s="3" t="s">
        <v>30</v>
      </c>
      <c r="B251" s="19" t="s">
        <v>219</v>
      </c>
      <c r="C251" s="17">
        <v>14.91</v>
      </c>
      <c r="D251" s="17">
        <v>15.5</v>
      </c>
      <c r="E251" s="17">
        <v>15.5</v>
      </c>
      <c r="F251" s="6" t="s">
        <v>27</v>
      </c>
      <c r="G251" s="7"/>
      <c r="H251" s="7">
        <v>2</v>
      </c>
      <c r="I251" s="7"/>
      <c r="J251" s="8">
        <f t="shared" si="24"/>
        <v>2</v>
      </c>
      <c r="K251" s="9">
        <f t="shared" si="25"/>
        <v>29.82</v>
      </c>
      <c r="L251" s="5"/>
      <c r="M251" s="18"/>
      <c r="N251" s="9"/>
      <c r="O251" s="9"/>
      <c r="P251" s="9"/>
      <c r="Q251" s="9"/>
      <c r="R251" s="9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 spans="1:30" ht="12.75" customHeight="1" x14ac:dyDescent="0.25">
      <c r="A252" s="3" t="s">
        <v>30</v>
      </c>
      <c r="B252" s="4" t="s">
        <v>220</v>
      </c>
      <c r="C252" s="17">
        <v>14.96</v>
      </c>
      <c r="D252" s="17">
        <v>15.5</v>
      </c>
      <c r="E252" s="17">
        <v>15.5</v>
      </c>
      <c r="F252" s="6" t="s">
        <v>108</v>
      </c>
      <c r="G252" s="7">
        <v>24</v>
      </c>
      <c r="H252" s="7">
        <v>6</v>
      </c>
      <c r="I252" s="7"/>
      <c r="J252" s="8">
        <f t="shared" si="24"/>
        <v>30</v>
      </c>
      <c r="K252" s="9">
        <f t="shared" si="25"/>
        <v>448.8</v>
      </c>
      <c r="L252" s="5"/>
      <c r="M252" s="9"/>
      <c r="N252" s="9"/>
      <c r="O252" s="9"/>
      <c r="P252" s="9"/>
      <c r="Q252" s="9"/>
      <c r="R252" s="9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 spans="1:30" ht="12.75" customHeight="1" x14ac:dyDescent="0.25">
      <c r="A253" s="3">
        <v>700</v>
      </c>
      <c r="B253" s="4" t="s">
        <v>220</v>
      </c>
      <c r="C253" s="17">
        <v>9.1199999999999992</v>
      </c>
      <c r="D253" s="17">
        <v>11.5</v>
      </c>
      <c r="E253" s="17">
        <v>12.95</v>
      </c>
      <c r="F253" s="6" t="s">
        <v>49</v>
      </c>
      <c r="G253" s="7"/>
      <c r="H253" s="7"/>
      <c r="I253" s="7"/>
      <c r="J253" s="8">
        <f t="shared" si="24"/>
        <v>0</v>
      </c>
      <c r="K253" s="9">
        <f t="shared" si="25"/>
        <v>0</v>
      </c>
      <c r="L253" s="5"/>
      <c r="M253" s="9"/>
      <c r="N253" s="9"/>
      <c r="O253" s="9"/>
      <c r="P253" s="9"/>
      <c r="Q253" s="9"/>
      <c r="R253" s="9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 spans="1:30" ht="12.75" customHeight="1" x14ac:dyDescent="0.25">
      <c r="A254" s="3" t="s">
        <v>84</v>
      </c>
      <c r="B254" s="4" t="s">
        <v>221</v>
      </c>
      <c r="C254" s="17">
        <v>13.24</v>
      </c>
      <c r="D254" s="17">
        <v>14.95</v>
      </c>
      <c r="E254" s="17">
        <v>14.95</v>
      </c>
      <c r="F254" s="6" t="s">
        <v>49</v>
      </c>
      <c r="G254" s="7"/>
      <c r="H254" s="7">
        <v>1</v>
      </c>
      <c r="I254" s="7"/>
      <c r="J254" s="8">
        <f t="shared" si="24"/>
        <v>1</v>
      </c>
      <c r="K254" s="9">
        <f t="shared" si="25"/>
        <v>13.24</v>
      </c>
      <c r="L254" s="5"/>
      <c r="M254" s="9"/>
      <c r="N254" s="9"/>
      <c r="O254" s="9"/>
      <c r="P254" s="9"/>
      <c r="Q254" s="9"/>
      <c r="R254" s="9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 spans="1:30" ht="12.75" customHeight="1" x14ac:dyDescent="0.25">
      <c r="A255" s="3" t="s">
        <v>30</v>
      </c>
      <c r="B255" s="4" t="s">
        <v>222</v>
      </c>
      <c r="C255" s="5">
        <v>13.36</v>
      </c>
      <c r="D255" s="17">
        <v>14.95</v>
      </c>
      <c r="E255" s="17">
        <v>14.95</v>
      </c>
      <c r="F255" s="6" t="s">
        <v>49</v>
      </c>
      <c r="G255" s="7"/>
      <c r="H255" s="7">
        <v>4</v>
      </c>
      <c r="I255" s="7"/>
      <c r="J255" s="8">
        <f t="shared" si="24"/>
        <v>4</v>
      </c>
      <c r="K255" s="9">
        <f t="shared" si="25"/>
        <v>53.44</v>
      </c>
      <c r="L255" s="5"/>
      <c r="M255" s="9"/>
      <c r="N255" s="9"/>
      <c r="O255" s="9"/>
      <c r="P255" s="9"/>
      <c r="Q255" s="9"/>
      <c r="R255" s="9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 spans="1:30" ht="12.75" customHeight="1" x14ac:dyDescent="0.25">
      <c r="A256" s="3">
        <v>700</v>
      </c>
      <c r="B256" s="4" t="s">
        <v>223</v>
      </c>
      <c r="C256" s="17">
        <v>12.91</v>
      </c>
      <c r="D256" s="17">
        <v>13.95</v>
      </c>
      <c r="E256" s="17">
        <v>13.95</v>
      </c>
      <c r="F256" s="6" t="s">
        <v>27</v>
      </c>
      <c r="G256" s="7"/>
      <c r="H256" s="7">
        <v>5</v>
      </c>
      <c r="I256" s="7"/>
      <c r="J256" s="8">
        <f t="shared" si="24"/>
        <v>5</v>
      </c>
      <c r="K256" s="9">
        <f t="shared" si="25"/>
        <v>64.55</v>
      </c>
      <c r="L256" s="5"/>
      <c r="M256" s="9"/>
      <c r="N256" s="9"/>
      <c r="O256" s="9"/>
      <c r="P256" s="9"/>
      <c r="Q256" s="9"/>
      <c r="R256" s="9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 spans="1:30" ht="12.75" customHeight="1" x14ac:dyDescent="0.25">
      <c r="A257" s="3">
        <v>700</v>
      </c>
      <c r="B257" s="4" t="s">
        <v>224</v>
      </c>
      <c r="C257" s="17">
        <v>13.06</v>
      </c>
      <c r="D257" s="17">
        <v>14.5</v>
      </c>
      <c r="E257" s="17">
        <v>14.5</v>
      </c>
      <c r="F257" s="6" t="s">
        <v>27</v>
      </c>
      <c r="G257" s="7"/>
      <c r="H257" s="7">
        <v>4</v>
      </c>
      <c r="I257" s="7"/>
      <c r="J257" s="8">
        <f t="shared" si="24"/>
        <v>4</v>
      </c>
      <c r="K257" s="9">
        <f t="shared" si="25"/>
        <v>52.24</v>
      </c>
      <c r="L257" s="5"/>
      <c r="M257" s="9"/>
      <c r="N257" s="9"/>
      <c r="O257" s="9"/>
      <c r="P257" s="9"/>
      <c r="Q257" s="9"/>
      <c r="R257" s="9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spans="1:30" ht="12.75" customHeight="1" x14ac:dyDescent="0.25">
      <c r="A258" s="3">
        <v>700</v>
      </c>
      <c r="B258" s="4" t="s">
        <v>225</v>
      </c>
      <c r="C258" s="17">
        <v>21.55</v>
      </c>
      <c r="D258" s="17">
        <v>23.9</v>
      </c>
      <c r="E258" s="17">
        <v>23.95</v>
      </c>
      <c r="F258" s="6" t="s">
        <v>27</v>
      </c>
      <c r="G258" s="7"/>
      <c r="H258" s="7">
        <v>8</v>
      </c>
      <c r="I258" s="7" t="s">
        <v>63</v>
      </c>
      <c r="J258" s="8">
        <f t="shared" si="24"/>
        <v>8</v>
      </c>
      <c r="K258" s="9">
        <f t="shared" si="25"/>
        <v>172.4</v>
      </c>
      <c r="L258" s="5"/>
      <c r="M258" s="9"/>
      <c r="N258" s="9"/>
      <c r="O258" s="9"/>
      <c r="P258" s="9"/>
      <c r="Q258" s="9"/>
      <c r="R258" s="9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 spans="1:30" ht="12.75" customHeight="1" x14ac:dyDescent="0.25">
      <c r="A259" s="3" t="s">
        <v>30</v>
      </c>
      <c r="B259" s="4" t="s">
        <v>226</v>
      </c>
      <c r="C259" s="17">
        <v>9.43</v>
      </c>
      <c r="D259" s="17">
        <v>10.5</v>
      </c>
      <c r="E259" s="17">
        <v>10.95</v>
      </c>
      <c r="F259" s="6" t="s">
        <v>27</v>
      </c>
      <c r="G259" s="7"/>
      <c r="H259" s="7">
        <v>3</v>
      </c>
      <c r="I259" s="7"/>
      <c r="J259" s="8">
        <f t="shared" si="24"/>
        <v>3</v>
      </c>
      <c r="K259" s="9">
        <f t="shared" si="25"/>
        <v>28.29</v>
      </c>
      <c r="L259" s="5"/>
      <c r="M259" s="9"/>
      <c r="N259" s="9"/>
      <c r="O259" s="9"/>
      <c r="P259" s="9"/>
      <c r="Q259" s="9"/>
      <c r="R259" s="9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 spans="1:30" ht="12.75" customHeight="1" x14ac:dyDescent="0.25">
      <c r="A260" s="3" t="s">
        <v>30</v>
      </c>
      <c r="B260" s="4" t="s">
        <v>227</v>
      </c>
      <c r="C260" s="17">
        <v>9.43</v>
      </c>
      <c r="D260" s="17">
        <v>10.5</v>
      </c>
      <c r="E260" s="17">
        <v>10.95</v>
      </c>
      <c r="F260" s="6" t="s">
        <v>27</v>
      </c>
      <c r="G260" s="7"/>
      <c r="H260" s="7"/>
      <c r="I260" s="7"/>
      <c r="J260" s="8">
        <f t="shared" si="24"/>
        <v>0</v>
      </c>
      <c r="K260" s="9">
        <f t="shared" si="25"/>
        <v>0</v>
      </c>
      <c r="L260" s="5"/>
      <c r="M260" s="9"/>
      <c r="N260" s="9"/>
      <c r="O260" s="9"/>
      <c r="P260" s="9"/>
      <c r="Q260" s="9"/>
      <c r="R260" s="9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 spans="1:30" ht="12.75" customHeight="1" x14ac:dyDescent="0.25">
      <c r="A261" s="3" t="s">
        <v>30</v>
      </c>
      <c r="B261" s="4" t="s">
        <v>228</v>
      </c>
      <c r="C261" s="5">
        <v>22.38</v>
      </c>
      <c r="D261" s="17">
        <v>24</v>
      </c>
      <c r="E261" s="17">
        <v>24</v>
      </c>
      <c r="F261" s="6" t="s">
        <v>108</v>
      </c>
      <c r="G261" s="7">
        <v>6</v>
      </c>
      <c r="H261" s="7">
        <v>4</v>
      </c>
      <c r="I261" s="7"/>
      <c r="J261" s="8">
        <f t="shared" si="24"/>
        <v>10</v>
      </c>
      <c r="K261" s="9">
        <f t="shared" si="25"/>
        <v>223.79999999999998</v>
      </c>
      <c r="L261" s="5"/>
      <c r="M261" s="9"/>
      <c r="N261" s="9"/>
      <c r="O261" s="9"/>
      <c r="P261" s="9"/>
      <c r="Q261" s="9"/>
      <c r="R261" s="9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 spans="1:30" ht="12.75" customHeight="1" x14ac:dyDescent="0.25">
      <c r="A262" s="3">
        <v>700</v>
      </c>
      <c r="B262" s="4" t="s">
        <v>229</v>
      </c>
      <c r="C262" s="5">
        <v>15.99</v>
      </c>
      <c r="D262" s="17">
        <v>16.95</v>
      </c>
      <c r="E262" s="17">
        <v>17.95</v>
      </c>
      <c r="F262" s="6" t="s">
        <v>27</v>
      </c>
      <c r="G262" s="7"/>
      <c r="H262" s="7"/>
      <c r="I262" s="7"/>
      <c r="J262" s="8">
        <f t="shared" si="24"/>
        <v>0</v>
      </c>
      <c r="K262" s="9">
        <f t="shared" si="25"/>
        <v>0</v>
      </c>
      <c r="L262" s="5"/>
      <c r="M262" s="9"/>
      <c r="N262" s="9"/>
      <c r="O262" s="9"/>
      <c r="P262" s="9"/>
      <c r="Q262" s="9"/>
      <c r="R262" s="9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 spans="1:30" ht="12.75" customHeight="1" x14ac:dyDescent="0.25">
      <c r="A263" s="3">
        <v>700</v>
      </c>
      <c r="B263" s="4" t="s">
        <v>230</v>
      </c>
      <c r="C263" s="5">
        <v>19.579999999999998</v>
      </c>
      <c r="D263" s="17">
        <v>22.95</v>
      </c>
      <c r="E263" s="17">
        <v>24</v>
      </c>
      <c r="F263" s="6" t="s">
        <v>27</v>
      </c>
      <c r="G263" s="7"/>
      <c r="H263" s="7"/>
      <c r="I263" s="7"/>
      <c r="J263" s="8">
        <f t="shared" si="24"/>
        <v>0</v>
      </c>
      <c r="K263" s="9">
        <f t="shared" si="25"/>
        <v>0</v>
      </c>
      <c r="L263" s="5"/>
      <c r="M263" s="9"/>
      <c r="N263" s="9"/>
      <c r="O263" s="9"/>
      <c r="P263" s="9"/>
      <c r="Q263" s="9"/>
      <c r="R263" s="9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 spans="1:30" ht="12.75" customHeight="1" x14ac:dyDescent="0.25">
      <c r="A264" s="3" t="s">
        <v>30</v>
      </c>
      <c r="B264" s="4" t="s">
        <v>231</v>
      </c>
      <c r="C264" s="5">
        <v>18.510000000000002</v>
      </c>
      <c r="D264" s="17">
        <v>24</v>
      </c>
      <c r="E264" s="17">
        <v>24</v>
      </c>
      <c r="F264" s="6" t="s">
        <v>49</v>
      </c>
      <c r="G264" s="7"/>
      <c r="H264" s="7">
        <v>4</v>
      </c>
      <c r="I264" s="7"/>
      <c r="J264" s="8">
        <f t="shared" si="24"/>
        <v>4</v>
      </c>
      <c r="K264" s="9">
        <f t="shared" si="25"/>
        <v>74.040000000000006</v>
      </c>
      <c r="L264" s="5"/>
      <c r="M264" s="9"/>
      <c r="N264" s="9"/>
      <c r="O264" s="9"/>
      <c r="P264" s="9"/>
      <c r="Q264" s="9"/>
      <c r="R264" s="9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 spans="1:30" ht="12.75" customHeight="1" x14ac:dyDescent="0.25">
      <c r="A265" s="3">
        <v>700</v>
      </c>
      <c r="B265" s="4" t="s">
        <v>232</v>
      </c>
      <c r="C265" s="5">
        <v>17.22</v>
      </c>
      <c r="D265" s="5">
        <v>17.95</v>
      </c>
      <c r="E265" s="5">
        <v>18.95</v>
      </c>
      <c r="F265" s="6" t="s">
        <v>27</v>
      </c>
      <c r="G265" s="7"/>
      <c r="H265" s="7">
        <v>2</v>
      </c>
      <c r="I265" s="7"/>
      <c r="J265" s="8">
        <f t="shared" si="24"/>
        <v>2</v>
      </c>
      <c r="K265" s="9">
        <f t="shared" si="25"/>
        <v>34.44</v>
      </c>
      <c r="L265" s="5"/>
      <c r="M265" s="9"/>
      <c r="N265" s="9"/>
      <c r="O265" s="9"/>
      <c r="P265" s="9"/>
      <c r="Q265" s="9"/>
      <c r="R265" s="9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 spans="1:30" ht="12.75" customHeight="1" x14ac:dyDescent="0.25">
      <c r="A266" s="3" t="s">
        <v>30</v>
      </c>
      <c r="B266" s="4" t="s">
        <v>233</v>
      </c>
      <c r="C266" s="17">
        <v>20.97</v>
      </c>
      <c r="D266" s="17">
        <v>23.5</v>
      </c>
      <c r="E266" s="17">
        <v>24.95</v>
      </c>
      <c r="F266" s="6" t="s">
        <v>49</v>
      </c>
      <c r="G266" s="7"/>
      <c r="H266" s="7">
        <v>2</v>
      </c>
      <c r="I266" s="7"/>
      <c r="J266" s="8">
        <f t="shared" si="24"/>
        <v>2</v>
      </c>
      <c r="K266" s="9">
        <f t="shared" si="25"/>
        <v>41.94</v>
      </c>
      <c r="L266" s="5"/>
      <c r="M266" s="9"/>
      <c r="N266" s="9"/>
      <c r="O266" s="9"/>
      <c r="P266" s="9"/>
      <c r="Q266" s="9"/>
      <c r="R266" s="9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 spans="1:30" ht="12.75" customHeight="1" x14ac:dyDescent="0.25">
      <c r="A267" s="3" t="s">
        <v>30</v>
      </c>
      <c r="B267" s="19" t="s">
        <v>234</v>
      </c>
      <c r="C267" s="5">
        <v>22.63</v>
      </c>
      <c r="D267" s="5">
        <v>25.95</v>
      </c>
      <c r="E267" s="5">
        <v>25.95</v>
      </c>
      <c r="F267" s="6" t="s">
        <v>49</v>
      </c>
      <c r="G267" s="7"/>
      <c r="H267" s="7">
        <v>2</v>
      </c>
      <c r="I267" s="7"/>
      <c r="J267" s="8">
        <f t="shared" si="24"/>
        <v>2</v>
      </c>
      <c r="K267" s="9">
        <f t="shared" si="25"/>
        <v>45.26</v>
      </c>
      <c r="L267" s="5"/>
      <c r="M267" s="9"/>
      <c r="N267" s="21"/>
      <c r="O267" s="21"/>
      <c r="P267" s="21"/>
      <c r="Q267" s="21"/>
      <c r="R267" s="21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2.75" customHeight="1" x14ac:dyDescent="0.25">
      <c r="A268" s="3" t="s">
        <v>30</v>
      </c>
      <c r="B268" s="19" t="s">
        <v>235</v>
      </c>
      <c r="C268" s="5">
        <v>6.81</v>
      </c>
      <c r="D268" s="17">
        <v>8.5</v>
      </c>
      <c r="E268" s="17">
        <v>8.5</v>
      </c>
      <c r="F268" s="6" t="s">
        <v>27</v>
      </c>
      <c r="G268" s="7"/>
      <c r="H268" s="7">
        <v>6</v>
      </c>
      <c r="I268" s="7"/>
      <c r="J268" s="8">
        <f t="shared" si="24"/>
        <v>6</v>
      </c>
      <c r="K268" s="9">
        <f t="shared" si="25"/>
        <v>40.86</v>
      </c>
      <c r="L268" s="5"/>
      <c r="M268" s="9"/>
      <c r="N268" s="21"/>
      <c r="O268" s="21"/>
      <c r="P268" s="21"/>
      <c r="Q268" s="21"/>
      <c r="R268" s="21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2.75" customHeight="1" x14ac:dyDescent="0.25">
      <c r="A269" s="3" t="s">
        <v>30</v>
      </c>
      <c r="B269" s="4" t="s">
        <v>236</v>
      </c>
      <c r="C269" s="5">
        <v>7.12</v>
      </c>
      <c r="D269" s="17">
        <v>7.99</v>
      </c>
      <c r="E269" s="17">
        <v>8.9499999999999993</v>
      </c>
      <c r="F269" s="6" t="s">
        <v>27</v>
      </c>
      <c r="G269" s="7" t="s">
        <v>63</v>
      </c>
      <c r="H269" s="7">
        <v>2</v>
      </c>
      <c r="I269" s="7">
        <v>2</v>
      </c>
      <c r="J269" s="8">
        <f t="shared" si="24"/>
        <v>4</v>
      </c>
      <c r="K269" s="9">
        <f t="shared" si="25"/>
        <v>28.48</v>
      </c>
      <c r="L269" s="5"/>
      <c r="M269" s="9"/>
      <c r="N269" s="9"/>
      <c r="O269" s="9"/>
      <c r="P269" s="9"/>
      <c r="Q269" s="9"/>
      <c r="R269" s="9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 spans="1:30" ht="12.75" customHeight="1" x14ac:dyDescent="0.25">
      <c r="A270" s="3" t="s">
        <v>30</v>
      </c>
      <c r="B270" s="4" t="s">
        <v>237</v>
      </c>
      <c r="C270" s="5">
        <v>6.06</v>
      </c>
      <c r="D270" s="17">
        <v>7.25</v>
      </c>
      <c r="E270" s="17">
        <v>7.5</v>
      </c>
      <c r="F270" s="6" t="s">
        <v>27</v>
      </c>
      <c r="G270" s="7">
        <v>12</v>
      </c>
      <c r="H270" s="7"/>
      <c r="I270" s="7"/>
      <c r="J270" s="8">
        <f t="shared" si="24"/>
        <v>12</v>
      </c>
      <c r="K270" s="9">
        <f t="shared" si="25"/>
        <v>72.72</v>
      </c>
      <c r="L270" s="5"/>
      <c r="M270" s="9"/>
      <c r="N270" s="9"/>
      <c r="O270" s="9"/>
      <c r="P270" s="9"/>
      <c r="Q270" s="9"/>
      <c r="R270" s="9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 spans="1:30" ht="12.75" customHeight="1" x14ac:dyDescent="0.25">
      <c r="A271" s="3" t="s">
        <v>30</v>
      </c>
      <c r="B271" s="4" t="s">
        <v>238</v>
      </c>
      <c r="C271" s="5">
        <v>7.06</v>
      </c>
      <c r="D271" s="17">
        <v>7.95</v>
      </c>
      <c r="E271" s="17">
        <v>8.9499999999999993</v>
      </c>
      <c r="F271" s="6" t="s">
        <v>168</v>
      </c>
      <c r="G271" s="7">
        <v>23</v>
      </c>
      <c r="H271" s="7">
        <v>7</v>
      </c>
      <c r="I271" s="7"/>
      <c r="J271" s="8">
        <f t="shared" si="24"/>
        <v>30</v>
      </c>
      <c r="K271" s="9">
        <f t="shared" si="25"/>
        <v>211.79999999999998</v>
      </c>
      <c r="L271" s="5"/>
      <c r="M271" s="9"/>
      <c r="N271" s="9"/>
      <c r="O271" s="9"/>
      <c r="P271" s="9"/>
      <c r="Q271" s="9"/>
      <c r="R271" s="9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 spans="1:30" ht="12.75" customHeight="1" x14ac:dyDescent="0.25">
      <c r="A272" s="3"/>
      <c r="B272" s="4"/>
      <c r="C272" s="5"/>
      <c r="D272" s="5"/>
      <c r="E272" s="5"/>
      <c r="F272" s="6"/>
      <c r="G272" s="7"/>
      <c r="H272" s="7"/>
      <c r="I272" s="7"/>
      <c r="J272" s="8"/>
      <c r="K272" s="9"/>
      <c r="L272" s="5"/>
      <c r="M272" s="9"/>
      <c r="N272" s="9"/>
      <c r="O272" s="9"/>
      <c r="P272" s="9"/>
      <c r="Q272" s="9"/>
      <c r="R272" s="9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 spans="1:30" ht="12.75" customHeight="1" x14ac:dyDescent="0.25">
      <c r="A273" s="3"/>
      <c r="B273" s="4"/>
      <c r="C273" s="5"/>
      <c r="D273" s="5"/>
      <c r="E273" s="5"/>
      <c r="F273" s="6"/>
      <c r="G273" s="7"/>
      <c r="H273" s="7"/>
      <c r="I273" s="7"/>
      <c r="J273" s="8"/>
      <c r="K273" s="9"/>
      <c r="L273" s="5"/>
      <c r="M273" s="9"/>
      <c r="N273" s="9"/>
      <c r="O273" s="9"/>
      <c r="P273" s="9"/>
      <c r="Q273" s="9"/>
      <c r="R273" s="9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 spans="1:30" ht="12.75" customHeight="1" x14ac:dyDescent="0.3">
      <c r="A274" s="3"/>
      <c r="B274" s="15" t="s">
        <v>239</v>
      </c>
      <c r="C274" s="5"/>
      <c r="D274" s="5"/>
      <c r="E274" s="5"/>
      <c r="F274" s="6"/>
      <c r="G274" s="7"/>
      <c r="H274" s="7"/>
      <c r="I274" s="7"/>
      <c r="J274" s="8"/>
      <c r="K274" s="9"/>
      <c r="L274" s="5"/>
      <c r="M274" s="9"/>
      <c r="N274" s="9"/>
      <c r="O274" s="9"/>
      <c r="P274" s="9"/>
      <c r="Q274" s="9"/>
      <c r="R274" s="9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 spans="1:30" ht="12.75" customHeight="1" x14ac:dyDescent="0.25">
      <c r="A275" s="3"/>
      <c r="B275" s="4"/>
      <c r="C275" s="5"/>
      <c r="D275" s="5"/>
      <c r="E275" s="5"/>
      <c r="F275" s="6"/>
      <c r="G275" s="7"/>
      <c r="H275" s="7"/>
      <c r="I275" s="7"/>
      <c r="J275" s="8"/>
      <c r="K275" s="9"/>
      <c r="L275" s="5"/>
      <c r="M275" s="9"/>
      <c r="N275" s="9"/>
      <c r="O275" s="9"/>
      <c r="P275" s="9"/>
      <c r="Q275" s="9"/>
      <c r="R275" s="9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 spans="1:30" ht="12.75" customHeight="1" x14ac:dyDescent="0.25">
      <c r="A276" s="3" t="s">
        <v>13</v>
      </c>
      <c r="B276" s="4" t="s">
        <v>14</v>
      </c>
      <c r="C276" s="5"/>
      <c r="D276" s="5"/>
      <c r="E276" s="5"/>
      <c r="F276" s="6"/>
      <c r="G276" s="7"/>
      <c r="H276" s="7"/>
      <c r="I276" s="7"/>
      <c r="J276" s="8"/>
      <c r="K276" s="9"/>
      <c r="L276" s="5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2.75" customHeight="1" x14ac:dyDescent="0.25">
      <c r="A277" s="3"/>
      <c r="B277" s="4"/>
      <c r="C277" s="5"/>
      <c r="D277" s="5"/>
      <c r="E277" s="5"/>
      <c r="F277" s="6"/>
      <c r="G277" s="7"/>
      <c r="H277" s="7"/>
      <c r="I277" s="7"/>
      <c r="J277" s="8"/>
      <c r="K277" s="9"/>
      <c r="L277" s="5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2.75" customHeight="1" x14ac:dyDescent="0.25">
      <c r="A278" s="3" t="s">
        <v>30</v>
      </c>
      <c r="B278" s="4" t="s">
        <v>240</v>
      </c>
      <c r="C278" s="17">
        <v>4.2300000000000004</v>
      </c>
      <c r="D278" s="17">
        <v>5.25</v>
      </c>
      <c r="E278" s="17">
        <v>5.95</v>
      </c>
      <c r="F278" s="6" t="s">
        <v>27</v>
      </c>
      <c r="G278" s="7">
        <v>19</v>
      </c>
      <c r="H278" s="7">
        <v>8</v>
      </c>
      <c r="I278" s="7"/>
      <c r="J278" s="8">
        <f t="shared" ref="J278:J283" si="26">SUM(G278:I278)</f>
        <v>27</v>
      </c>
      <c r="K278" s="9">
        <f t="shared" ref="K278:K283" si="27">SUM(C278*J278)</f>
        <v>114.21000000000001</v>
      </c>
      <c r="L278" s="5"/>
      <c r="M278" s="9"/>
      <c r="N278" s="9"/>
      <c r="O278" s="9"/>
      <c r="P278" s="9"/>
      <c r="Q278" s="9"/>
      <c r="R278" s="9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 spans="1:30" ht="12.75" customHeight="1" x14ac:dyDescent="0.25">
      <c r="A279" s="3"/>
      <c r="B279" s="4" t="s">
        <v>241</v>
      </c>
      <c r="C279" s="17">
        <v>4.2300000000000004</v>
      </c>
      <c r="D279" s="17">
        <v>5.25</v>
      </c>
      <c r="E279" s="17">
        <v>5.95</v>
      </c>
      <c r="F279" s="6" t="s">
        <v>27</v>
      </c>
      <c r="G279" s="7">
        <v>12</v>
      </c>
      <c r="H279" s="7">
        <v>6</v>
      </c>
      <c r="I279" s="7"/>
      <c r="J279" s="8">
        <f t="shared" si="26"/>
        <v>18</v>
      </c>
      <c r="K279" s="9">
        <f t="shared" si="27"/>
        <v>76.140000000000015</v>
      </c>
      <c r="L279" s="5"/>
      <c r="M279" s="9"/>
      <c r="N279" s="9"/>
      <c r="O279" s="9"/>
      <c r="P279" s="9"/>
      <c r="Q279" s="9"/>
      <c r="R279" s="9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 spans="1:30" ht="12.75" customHeight="1" x14ac:dyDescent="0.25">
      <c r="A280" s="3" t="s">
        <v>30</v>
      </c>
      <c r="B280" s="4" t="s">
        <v>242</v>
      </c>
      <c r="C280" s="5">
        <v>4.3</v>
      </c>
      <c r="D280" s="5">
        <v>5</v>
      </c>
      <c r="E280" s="5">
        <v>5.95</v>
      </c>
      <c r="F280" s="6" t="s">
        <v>168</v>
      </c>
      <c r="G280" s="7"/>
      <c r="H280" s="7">
        <v>3</v>
      </c>
      <c r="I280" s="7"/>
      <c r="J280" s="8">
        <f t="shared" si="26"/>
        <v>3</v>
      </c>
      <c r="K280" s="9">
        <f t="shared" si="27"/>
        <v>12.899999999999999</v>
      </c>
      <c r="L280" s="5"/>
      <c r="M280" s="9"/>
      <c r="N280" s="9"/>
      <c r="O280" s="9"/>
      <c r="P280" s="9"/>
      <c r="Q280" s="9"/>
      <c r="R280" s="9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 spans="1:30" ht="12.75" customHeight="1" x14ac:dyDescent="0.25">
      <c r="A281" s="3" t="s">
        <v>30</v>
      </c>
      <c r="B281" s="4" t="s">
        <v>243</v>
      </c>
      <c r="C281" s="17">
        <v>5</v>
      </c>
      <c r="D281" s="17">
        <v>5.25</v>
      </c>
      <c r="E281" s="17">
        <v>5.95</v>
      </c>
      <c r="F281" s="6" t="s">
        <v>27</v>
      </c>
      <c r="G281" s="7">
        <v>16</v>
      </c>
      <c r="H281" s="7">
        <v>4</v>
      </c>
      <c r="I281" s="7"/>
      <c r="J281" s="8">
        <f t="shared" si="26"/>
        <v>20</v>
      </c>
      <c r="K281" s="9">
        <f t="shared" si="27"/>
        <v>100</v>
      </c>
      <c r="L281" s="5"/>
      <c r="M281" s="9"/>
      <c r="N281" s="9"/>
      <c r="O281" s="9"/>
      <c r="P281" s="9"/>
      <c r="Q281" s="9"/>
      <c r="R281" s="9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 spans="1:30" ht="12.75" customHeight="1" x14ac:dyDescent="0.25">
      <c r="A282" s="3" t="s">
        <v>30</v>
      </c>
      <c r="B282" s="4" t="s">
        <v>244</v>
      </c>
      <c r="C282" s="17">
        <v>5</v>
      </c>
      <c r="D282" s="17">
        <v>5.25</v>
      </c>
      <c r="E282" s="17">
        <v>5.95</v>
      </c>
      <c r="F282" s="6" t="s">
        <v>27</v>
      </c>
      <c r="G282" s="7">
        <v>1</v>
      </c>
      <c r="H282" s="7">
        <v>6</v>
      </c>
      <c r="I282" s="7"/>
      <c r="J282" s="8">
        <f t="shared" si="26"/>
        <v>7</v>
      </c>
      <c r="K282" s="9">
        <f t="shared" si="27"/>
        <v>35</v>
      </c>
      <c r="L282" s="5"/>
      <c r="M282" s="9"/>
      <c r="N282" s="9"/>
      <c r="O282" s="9"/>
      <c r="P282" s="9"/>
      <c r="Q282" s="9"/>
      <c r="R282" s="9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 spans="1:30" ht="12.75" customHeight="1" x14ac:dyDescent="0.25">
      <c r="A283" s="3"/>
      <c r="B283" s="4" t="s">
        <v>245</v>
      </c>
      <c r="C283" s="5">
        <v>4.3</v>
      </c>
      <c r="D283" s="5">
        <v>5</v>
      </c>
      <c r="E283" s="5">
        <v>5.95</v>
      </c>
      <c r="F283" s="6" t="s">
        <v>168</v>
      </c>
      <c r="G283" s="7">
        <v>41</v>
      </c>
      <c r="H283" s="7">
        <v>4</v>
      </c>
      <c r="I283" s="7"/>
      <c r="J283" s="8">
        <f t="shared" si="26"/>
        <v>45</v>
      </c>
      <c r="K283" s="9">
        <f t="shared" si="27"/>
        <v>193.5</v>
      </c>
      <c r="L283" s="5"/>
      <c r="M283" s="9"/>
      <c r="N283" s="9"/>
      <c r="O283" s="9"/>
      <c r="P283" s="9"/>
      <c r="Q283" s="9"/>
      <c r="R283" s="9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 spans="1:30" ht="12.75" customHeight="1" x14ac:dyDescent="0.25">
      <c r="A284" s="3"/>
      <c r="B284" s="4"/>
      <c r="C284" s="5"/>
      <c r="D284" s="5"/>
      <c r="E284" s="5"/>
      <c r="F284" s="6"/>
      <c r="G284" s="7"/>
      <c r="H284" s="7"/>
      <c r="I284" s="7"/>
      <c r="J284" s="8"/>
      <c r="K284" s="9"/>
      <c r="L284" s="5"/>
      <c r="M284" s="9"/>
      <c r="N284" s="9"/>
      <c r="O284" s="9"/>
      <c r="P284" s="9"/>
      <c r="Q284" s="9"/>
      <c r="R284" s="9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 spans="1:30" ht="12.75" customHeight="1" x14ac:dyDescent="0.3">
      <c r="A285" s="3"/>
      <c r="B285" s="15" t="s">
        <v>246</v>
      </c>
      <c r="C285" s="5"/>
      <c r="D285" s="5"/>
      <c r="E285" s="5"/>
      <c r="F285" s="6"/>
      <c r="G285" s="7"/>
      <c r="H285" s="7"/>
      <c r="I285" s="7"/>
      <c r="J285" s="8"/>
      <c r="K285" s="9"/>
      <c r="L285" s="5"/>
      <c r="M285" s="9"/>
      <c r="N285" s="9"/>
      <c r="O285" s="9"/>
      <c r="P285" s="9"/>
      <c r="Q285" s="9"/>
      <c r="R285" s="9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 spans="1:30" ht="12.75" customHeight="1" x14ac:dyDescent="0.25">
      <c r="A286" s="3"/>
      <c r="B286" s="4"/>
      <c r="C286" s="5"/>
      <c r="D286" s="5"/>
      <c r="E286" s="5"/>
      <c r="F286" s="6"/>
      <c r="G286" s="7"/>
      <c r="H286" s="7"/>
      <c r="I286" s="7"/>
      <c r="J286" s="8"/>
      <c r="K286" s="9"/>
      <c r="L286" s="5"/>
      <c r="M286" s="9"/>
      <c r="N286" s="9"/>
      <c r="O286" s="9"/>
      <c r="P286" s="9"/>
      <c r="Q286" s="9"/>
      <c r="R286" s="9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 spans="1:30" ht="12.75" customHeight="1" x14ac:dyDescent="0.25">
      <c r="A287" s="3" t="s">
        <v>13</v>
      </c>
      <c r="B287" s="4" t="s">
        <v>14</v>
      </c>
      <c r="C287" s="5"/>
      <c r="D287" s="5"/>
      <c r="E287" s="5"/>
      <c r="F287" s="6"/>
      <c r="G287" s="7"/>
      <c r="H287" s="7"/>
      <c r="I287" s="7"/>
      <c r="J287" s="8">
        <f t="shared" ref="J287:J302" si="28">SUM(G287:I287)</f>
        <v>0</v>
      </c>
      <c r="K287" s="9">
        <f t="shared" ref="K287:K302" si="29">SUM(C287*J287)</f>
        <v>0</v>
      </c>
      <c r="L287" s="5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2.75" customHeight="1" x14ac:dyDescent="0.25">
      <c r="A288" s="3" t="s">
        <v>30</v>
      </c>
      <c r="B288" s="4" t="s">
        <v>247</v>
      </c>
      <c r="C288" s="17">
        <v>7.52</v>
      </c>
      <c r="D288" s="17">
        <v>8.9499999999999993</v>
      </c>
      <c r="E288" s="17">
        <v>9.5</v>
      </c>
      <c r="F288" s="6" t="s">
        <v>27</v>
      </c>
      <c r="G288" s="7"/>
      <c r="H288" s="7">
        <v>7</v>
      </c>
      <c r="I288" s="7"/>
      <c r="J288" s="8">
        <f t="shared" si="28"/>
        <v>7</v>
      </c>
      <c r="K288" s="9">
        <f t="shared" si="29"/>
        <v>52.64</v>
      </c>
      <c r="L288" s="5"/>
      <c r="M288" s="9"/>
      <c r="N288" s="9"/>
      <c r="O288" s="9"/>
      <c r="P288" s="9"/>
      <c r="Q288" s="9"/>
      <c r="R288" s="9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 spans="1:30" ht="12.75" customHeight="1" x14ac:dyDescent="0.25">
      <c r="A289" s="3">
        <v>700</v>
      </c>
      <c r="B289" s="4" t="s">
        <v>248</v>
      </c>
      <c r="C289" s="5">
        <v>8.94</v>
      </c>
      <c r="D289" s="17">
        <v>9.9499999999999993</v>
      </c>
      <c r="E289" s="17">
        <v>9.9499999999999993</v>
      </c>
      <c r="F289" s="6" t="s">
        <v>27</v>
      </c>
      <c r="G289" s="7"/>
      <c r="H289" s="7">
        <v>6</v>
      </c>
      <c r="I289" s="7"/>
      <c r="J289" s="8">
        <f t="shared" si="28"/>
        <v>6</v>
      </c>
      <c r="K289" s="9">
        <f t="shared" si="29"/>
        <v>53.64</v>
      </c>
      <c r="L289" s="5"/>
      <c r="M289" s="9"/>
      <c r="N289" s="9"/>
      <c r="O289" s="9"/>
      <c r="P289" s="9"/>
      <c r="Q289" s="9"/>
      <c r="R289" s="9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 spans="1:30" ht="12.75" customHeight="1" x14ac:dyDescent="0.25">
      <c r="A290" s="3">
        <v>700</v>
      </c>
      <c r="B290" s="4" t="s">
        <v>249</v>
      </c>
      <c r="C290" s="5">
        <v>7.62</v>
      </c>
      <c r="D290" s="17">
        <v>9.9499999999999993</v>
      </c>
      <c r="E290" s="17">
        <v>9.9499999999999993</v>
      </c>
      <c r="F290" s="6" t="s">
        <v>27</v>
      </c>
      <c r="G290" s="7"/>
      <c r="H290" s="7"/>
      <c r="I290" s="7"/>
      <c r="J290" s="8">
        <f t="shared" si="28"/>
        <v>0</v>
      </c>
      <c r="K290" s="9">
        <f t="shared" si="29"/>
        <v>0</v>
      </c>
      <c r="L290" s="5"/>
      <c r="M290" s="9"/>
      <c r="N290" s="9"/>
      <c r="O290" s="9"/>
      <c r="P290" s="9"/>
      <c r="Q290" s="9"/>
      <c r="R290" s="9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 spans="1:30" ht="12.75" customHeight="1" x14ac:dyDescent="0.25">
      <c r="A291" s="3">
        <v>700</v>
      </c>
      <c r="B291" s="4" t="s">
        <v>250</v>
      </c>
      <c r="C291" s="5">
        <v>7.62</v>
      </c>
      <c r="D291" s="17">
        <v>9.9499999999999993</v>
      </c>
      <c r="E291" s="17">
        <v>9.9499999999999993</v>
      </c>
      <c r="F291" s="6" t="s">
        <v>27</v>
      </c>
      <c r="G291" s="7"/>
      <c r="H291" s="7">
        <v>2</v>
      </c>
      <c r="I291" s="7"/>
      <c r="J291" s="8">
        <f t="shared" si="28"/>
        <v>2</v>
      </c>
      <c r="K291" s="9">
        <f t="shared" si="29"/>
        <v>15.24</v>
      </c>
      <c r="L291" s="5"/>
      <c r="M291" s="9"/>
      <c r="N291" s="9"/>
      <c r="O291" s="9"/>
      <c r="P291" s="9"/>
      <c r="Q291" s="9"/>
      <c r="R291" s="9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 spans="1:30" ht="12.75" customHeight="1" x14ac:dyDescent="0.25">
      <c r="A292" s="3">
        <v>700</v>
      </c>
      <c r="B292" s="4" t="s">
        <v>251</v>
      </c>
      <c r="C292" s="5">
        <v>20.76</v>
      </c>
      <c r="D292" s="17">
        <v>22.5</v>
      </c>
      <c r="E292" s="17">
        <v>23.95</v>
      </c>
      <c r="F292" s="6" t="s">
        <v>27</v>
      </c>
      <c r="G292" s="7"/>
      <c r="H292" s="7">
        <v>1</v>
      </c>
      <c r="I292" s="7"/>
      <c r="J292" s="8">
        <f t="shared" si="28"/>
        <v>1</v>
      </c>
      <c r="K292" s="9">
        <f t="shared" si="29"/>
        <v>20.76</v>
      </c>
      <c r="L292" s="5"/>
      <c r="M292" s="9"/>
      <c r="N292" s="9"/>
      <c r="O292" s="9"/>
      <c r="P292" s="9"/>
      <c r="Q292" s="9"/>
      <c r="R292" s="9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 spans="1:30" ht="12.75" customHeight="1" x14ac:dyDescent="0.25">
      <c r="A293" s="10" t="s">
        <v>84</v>
      </c>
      <c r="B293" s="4" t="s">
        <v>252</v>
      </c>
      <c r="C293" s="32">
        <v>61.16</v>
      </c>
      <c r="D293" s="17">
        <v>44</v>
      </c>
      <c r="E293" s="17">
        <v>45</v>
      </c>
      <c r="F293" s="6" t="s">
        <v>49</v>
      </c>
      <c r="G293" s="7"/>
      <c r="H293" s="7">
        <v>1</v>
      </c>
      <c r="I293" s="7"/>
      <c r="J293" s="8">
        <f t="shared" si="28"/>
        <v>1</v>
      </c>
      <c r="K293" s="9">
        <f t="shared" si="29"/>
        <v>61.16</v>
      </c>
      <c r="L293" s="5"/>
      <c r="M293" s="9"/>
      <c r="N293" s="9"/>
      <c r="O293" s="9"/>
      <c r="P293" s="9"/>
      <c r="Q293" s="9"/>
      <c r="R293" s="9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 spans="1:30" ht="12.75" customHeight="1" x14ac:dyDescent="0.25">
      <c r="A294" s="10"/>
      <c r="B294" s="4" t="s">
        <v>253</v>
      </c>
      <c r="C294" s="32">
        <v>33.4</v>
      </c>
      <c r="D294" s="17">
        <v>38</v>
      </c>
      <c r="E294" s="17">
        <v>40</v>
      </c>
      <c r="F294" s="6" t="s">
        <v>49</v>
      </c>
      <c r="G294" s="7"/>
      <c r="H294" s="7"/>
      <c r="I294" s="7"/>
      <c r="J294" s="8">
        <f t="shared" si="28"/>
        <v>0</v>
      </c>
      <c r="K294" s="9">
        <f t="shared" si="29"/>
        <v>0</v>
      </c>
      <c r="L294" s="5"/>
      <c r="M294" s="9"/>
      <c r="N294" s="9"/>
      <c r="O294" s="9"/>
      <c r="P294" s="9"/>
      <c r="Q294" s="9"/>
      <c r="R294" s="9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 spans="1:30" ht="12.75" customHeight="1" x14ac:dyDescent="0.25">
      <c r="A295" s="10"/>
      <c r="B295" s="4" t="s">
        <v>254</v>
      </c>
      <c r="C295" s="32">
        <v>138.12</v>
      </c>
      <c r="D295" s="17">
        <v>160</v>
      </c>
      <c r="E295" s="17">
        <v>170</v>
      </c>
      <c r="F295" s="6" t="s">
        <v>49</v>
      </c>
      <c r="G295" s="7"/>
      <c r="H295" s="7">
        <v>1</v>
      </c>
      <c r="I295" s="7"/>
      <c r="J295" s="8">
        <f t="shared" si="28"/>
        <v>1</v>
      </c>
      <c r="K295" s="9">
        <f t="shared" si="29"/>
        <v>138.12</v>
      </c>
      <c r="L295" s="5"/>
      <c r="M295" s="9"/>
      <c r="N295" s="9"/>
      <c r="O295" s="9"/>
      <c r="P295" s="9"/>
      <c r="Q295" s="9"/>
      <c r="R295" s="9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 spans="1:30" ht="12.75" customHeight="1" x14ac:dyDescent="0.25">
      <c r="A296" s="3" t="s">
        <v>30</v>
      </c>
      <c r="B296" s="4" t="s">
        <v>255</v>
      </c>
      <c r="C296" s="5">
        <v>16.510000000000002</v>
      </c>
      <c r="D296" s="17">
        <v>19.95</v>
      </c>
      <c r="E296" s="17">
        <v>22</v>
      </c>
      <c r="F296" s="6" t="s">
        <v>49</v>
      </c>
      <c r="G296" s="7">
        <v>0</v>
      </c>
      <c r="H296" s="7">
        <v>3</v>
      </c>
      <c r="I296" s="7"/>
      <c r="J296" s="8">
        <f t="shared" si="28"/>
        <v>3</v>
      </c>
      <c r="K296" s="9">
        <f t="shared" si="29"/>
        <v>49.53</v>
      </c>
      <c r="L296" s="5"/>
      <c r="M296" s="9"/>
      <c r="N296" s="9"/>
      <c r="O296" s="9"/>
      <c r="P296" s="9"/>
      <c r="Q296" s="9"/>
      <c r="R296" s="9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 spans="1:30" ht="12.75" customHeight="1" x14ac:dyDescent="0.25">
      <c r="A297" s="3">
        <v>700</v>
      </c>
      <c r="B297" s="4" t="s">
        <v>256</v>
      </c>
      <c r="C297" s="5">
        <v>16.190000000000001</v>
      </c>
      <c r="D297" s="17">
        <v>16.95</v>
      </c>
      <c r="E297" s="22">
        <v>17.95</v>
      </c>
      <c r="F297" s="6" t="s">
        <v>27</v>
      </c>
      <c r="G297" s="7"/>
      <c r="H297" s="7"/>
      <c r="I297" s="7"/>
      <c r="J297" s="8">
        <f t="shared" si="28"/>
        <v>0</v>
      </c>
      <c r="K297" s="9">
        <f t="shared" si="29"/>
        <v>0</v>
      </c>
      <c r="L297" s="5"/>
      <c r="M297" s="9"/>
      <c r="N297" s="9"/>
      <c r="O297" s="9"/>
      <c r="P297" s="9"/>
      <c r="Q297" s="9"/>
      <c r="R297" s="9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 spans="1:30" ht="12.75" customHeight="1" x14ac:dyDescent="0.25">
      <c r="A298" s="3" t="s">
        <v>30</v>
      </c>
      <c r="B298" s="4" t="s">
        <v>257</v>
      </c>
      <c r="C298" s="5">
        <v>16.28</v>
      </c>
      <c r="D298" s="17">
        <v>22</v>
      </c>
      <c r="E298" s="17">
        <v>22</v>
      </c>
      <c r="F298" s="6" t="s">
        <v>49</v>
      </c>
      <c r="G298" s="7"/>
      <c r="H298" s="7"/>
      <c r="I298" s="7"/>
      <c r="J298" s="8">
        <f t="shared" si="28"/>
        <v>0</v>
      </c>
      <c r="K298" s="9">
        <f t="shared" si="29"/>
        <v>0</v>
      </c>
      <c r="L298" s="5"/>
      <c r="M298" s="9"/>
      <c r="N298" s="9"/>
      <c r="O298" s="9"/>
      <c r="P298" s="9"/>
      <c r="Q298" s="9"/>
      <c r="R298" s="9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 spans="1:30" ht="12.75" customHeight="1" x14ac:dyDescent="0.25">
      <c r="A299" s="3">
        <v>700</v>
      </c>
      <c r="B299" s="4" t="s">
        <v>258</v>
      </c>
      <c r="C299" s="5">
        <v>15.79</v>
      </c>
      <c r="D299" s="17">
        <v>17.95</v>
      </c>
      <c r="E299" s="17">
        <v>18.95</v>
      </c>
      <c r="F299" s="6" t="s">
        <v>27</v>
      </c>
      <c r="G299" s="7">
        <v>6</v>
      </c>
      <c r="H299" s="7">
        <v>5</v>
      </c>
      <c r="I299" s="7"/>
      <c r="J299" s="8">
        <f t="shared" si="28"/>
        <v>11</v>
      </c>
      <c r="K299" s="9">
        <f t="shared" si="29"/>
        <v>173.69</v>
      </c>
      <c r="L299" s="5"/>
      <c r="M299" s="9"/>
      <c r="N299" s="9"/>
      <c r="O299" s="9"/>
      <c r="P299" s="9"/>
      <c r="Q299" s="9"/>
      <c r="R299" s="9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 spans="1:30" ht="12.75" customHeight="1" x14ac:dyDescent="0.25">
      <c r="A300" s="3">
        <v>700</v>
      </c>
      <c r="B300" s="4" t="s">
        <v>259</v>
      </c>
      <c r="C300" s="5">
        <v>7.45</v>
      </c>
      <c r="D300" s="17">
        <v>9.5</v>
      </c>
      <c r="E300" s="17">
        <v>9.9499999999999993</v>
      </c>
      <c r="F300" s="6" t="s">
        <v>168</v>
      </c>
      <c r="G300" s="7"/>
      <c r="H300" s="7">
        <v>7</v>
      </c>
      <c r="I300" s="7"/>
      <c r="J300" s="8">
        <f t="shared" si="28"/>
        <v>7</v>
      </c>
      <c r="K300" s="9">
        <f t="shared" si="29"/>
        <v>52.15</v>
      </c>
      <c r="L300" s="5"/>
      <c r="M300" s="9"/>
      <c r="N300" s="9"/>
      <c r="O300" s="9"/>
      <c r="P300" s="9"/>
      <c r="Q300" s="9"/>
      <c r="R300" s="9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 spans="1:30" ht="12.75" customHeight="1" x14ac:dyDescent="0.25">
      <c r="A301" s="3">
        <v>700</v>
      </c>
      <c r="B301" s="4" t="s">
        <v>260</v>
      </c>
      <c r="C301" s="17">
        <v>16.75</v>
      </c>
      <c r="D301" s="17">
        <v>18.5</v>
      </c>
      <c r="E301" s="17">
        <v>18.5</v>
      </c>
      <c r="F301" s="6" t="s">
        <v>27</v>
      </c>
      <c r="G301" s="7">
        <v>2</v>
      </c>
      <c r="H301" s="7">
        <v>5</v>
      </c>
      <c r="I301" s="7"/>
      <c r="J301" s="8">
        <f t="shared" si="28"/>
        <v>7</v>
      </c>
      <c r="K301" s="9">
        <f t="shared" si="29"/>
        <v>117.25</v>
      </c>
      <c r="L301" s="5"/>
      <c r="M301" s="9"/>
      <c r="N301" s="9"/>
      <c r="O301" s="9"/>
      <c r="P301" s="9"/>
      <c r="Q301" s="9"/>
      <c r="R301" s="9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 spans="1:30" ht="12.75" customHeight="1" x14ac:dyDescent="0.25">
      <c r="A302" s="3" t="s">
        <v>30</v>
      </c>
      <c r="B302" s="4" t="s">
        <v>261</v>
      </c>
      <c r="C302" s="17">
        <v>17.899999999999999</v>
      </c>
      <c r="D302" s="37">
        <v>22</v>
      </c>
      <c r="E302" s="37">
        <v>22.5</v>
      </c>
      <c r="F302" s="6" t="s">
        <v>49</v>
      </c>
      <c r="G302" s="7"/>
      <c r="H302" s="7"/>
      <c r="I302" s="7"/>
      <c r="J302" s="8">
        <f t="shared" si="28"/>
        <v>0</v>
      </c>
      <c r="K302" s="9">
        <f t="shared" si="29"/>
        <v>0</v>
      </c>
      <c r="L302" s="5"/>
      <c r="M302" s="9"/>
      <c r="N302" s="9"/>
      <c r="O302" s="9"/>
      <c r="P302" s="9"/>
      <c r="Q302" s="9"/>
      <c r="R302" s="9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 spans="1:30" ht="12.75" customHeight="1" x14ac:dyDescent="0.25">
      <c r="A303" s="3"/>
      <c r="B303" s="4"/>
      <c r="C303" s="5"/>
      <c r="D303" s="5"/>
      <c r="E303" s="5"/>
      <c r="F303" s="6"/>
      <c r="G303" s="7"/>
      <c r="H303" s="7"/>
      <c r="I303" s="7"/>
      <c r="J303" s="8"/>
      <c r="K303" s="9"/>
      <c r="L303" s="5"/>
      <c r="M303" s="9"/>
      <c r="N303" s="9"/>
      <c r="O303" s="9"/>
      <c r="P303" s="9"/>
      <c r="Q303" s="9"/>
      <c r="R303" s="9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 spans="1:30" ht="12.75" customHeight="1" x14ac:dyDescent="0.3">
      <c r="A304" s="3"/>
      <c r="B304" s="15" t="s">
        <v>262</v>
      </c>
      <c r="C304" s="5"/>
      <c r="D304" s="5"/>
      <c r="E304" s="5"/>
      <c r="F304" s="6"/>
      <c r="G304" s="7"/>
      <c r="H304" s="7"/>
      <c r="I304" s="7"/>
      <c r="J304" s="8"/>
      <c r="K304" s="9"/>
      <c r="L304" s="5"/>
      <c r="M304" s="9"/>
      <c r="N304" s="9"/>
      <c r="O304" s="9"/>
      <c r="P304" s="9"/>
      <c r="Q304" s="9"/>
      <c r="R304" s="9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 spans="1:30" ht="12.75" customHeight="1" x14ac:dyDescent="0.3">
      <c r="A305" s="3"/>
      <c r="B305" s="15"/>
      <c r="C305" s="5"/>
      <c r="D305" s="5"/>
      <c r="E305" s="5"/>
      <c r="F305" s="6"/>
      <c r="G305" s="7"/>
      <c r="H305" s="7"/>
      <c r="I305" s="7"/>
      <c r="J305" s="8"/>
      <c r="K305" s="9"/>
      <c r="L305" s="5"/>
      <c r="M305" s="9"/>
      <c r="N305" s="9"/>
      <c r="O305" s="9"/>
      <c r="P305" s="9"/>
      <c r="Q305" s="9"/>
      <c r="R305" s="9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 spans="1:30" ht="12.75" customHeight="1" x14ac:dyDescent="0.25">
      <c r="A306" s="3" t="s">
        <v>30</v>
      </c>
      <c r="B306" s="19" t="s">
        <v>263</v>
      </c>
      <c r="C306" s="5">
        <v>14.13</v>
      </c>
      <c r="D306" s="5">
        <v>17.95</v>
      </c>
      <c r="E306" s="5">
        <v>17.95</v>
      </c>
      <c r="F306" s="6" t="s">
        <v>108</v>
      </c>
      <c r="G306" s="7"/>
      <c r="H306" s="7">
        <v>9</v>
      </c>
      <c r="I306" s="7"/>
      <c r="J306" s="8">
        <f t="shared" ref="J306:J322" si="30">SUM(G306:I306)</f>
        <v>9</v>
      </c>
      <c r="K306" s="9">
        <f t="shared" ref="K306:K350" si="31">SUM(C306*J306)</f>
        <v>127.17</v>
      </c>
      <c r="L306" s="5"/>
      <c r="M306" s="9"/>
      <c r="N306" s="9"/>
      <c r="O306" s="9"/>
      <c r="P306" s="9"/>
      <c r="Q306" s="9"/>
      <c r="R306" s="9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 spans="1:30" ht="12.75" customHeight="1" x14ac:dyDescent="0.25">
      <c r="A307" s="3" t="s">
        <v>30</v>
      </c>
      <c r="B307" s="19" t="s">
        <v>264</v>
      </c>
      <c r="C307" s="5">
        <v>15.42</v>
      </c>
      <c r="D307" s="5">
        <v>18.95</v>
      </c>
      <c r="E307" s="5">
        <v>18.95</v>
      </c>
      <c r="F307" s="6" t="s">
        <v>49</v>
      </c>
      <c r="G307" s="7">
        <v>5</v>
      </c>
      <c r="H307" s="7">
        <v>3</v>
      </c>
      <c r="I307" s="7"/>
      <c r="J307" s="8">
        <f t="shared" si="30"/>
        <v>8</v>
      </c>
      <c r="K307" s="9">
        <f t="shared" si="31"/>
        <v>123.36</v>
      </c>
      <c r="L307" s="5"/>
      <c r="M307" s="9"/>
      <c r="N307" s="9"/>
      <c r="O307" s="9"/>
      <c r="P307" s="21"/>
      <c r="Q307" s="21"/>
      <c r="R307" s="21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2.75" customHeight="1" x14ac:dyDescent="0.25">
      <c r="A308" s="3" t="s">
        <v>30</v>
      </c>
      <c r="B308" s="19" t="s">
        <v>265</v>
      </c>
      <c r="C308" s="5">
        <v>15.42</v>
      </c>
      <c r="D308" s="5">
        <v>18.95</v>
      </c>
      <c r="E308" s="5">
        <v>18.95</v>
      </c>
      <c r="F308" s="6" t="s">
        <v>49</v>
      </c>
      <c r="G308" s="7">
        <v>3</v>
      </c>
      <c r="H308" s="7">
        <v>4</v>
      </c>
      <c r="I308" s="7"/>
      <c r="J308" s="8">
        <f t="shared" si="30"/>
        <v>7</v>
      </c>
      <c r="K308" s="9">
        <f t="shared" si="31"/>
        <v>107.94</v>
      </c>
      <c r="L308" s="5"/>
      <c r="M308" s="9"/>
      <c r="N308" s="9"/>
      <c r="O308" s="9"/>
      <c r="P308" s="21"/>
      <c r="Q308" s="21"/>
      <c r="R308" s="21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2.75" customHeight="1" x14ac:dyDescent="0.25">
      <c r="A309" s="3" t="s">
        <v>30</v>
      </c>
      <c r="B309" s="19" t="s">
        <v>266</v>
      </c>
      <c r="C309" s="5">
        <v>15.42</v>
      </c>
      <c r="D309" s="5">
        <v>18.95</v>
      </c>
      <c r="E309" s="5">
        <v>18.95</v>
      </c>
      <c r="F309" s="6" t="s">
        <v>49</v>
      </c>
      <c r="G309" s="7">
        <v>9</v>
      </c>
      <c r="H309" s="7">
        <v>4</v>
      </c>
      <c r="I309" s="7"/>
      <c r="J309" s="8">
        <f t="shared" si="30"/>
        <v>13</v>
      </c>
      <c r="K309" s="9">
        <f t="shared" si="31"/>
        <v>200.46</v>
      </c>
      <c r="L309" s="5"/>
      <c r="M309" s="9"/>
      <c r="N309" s="9"/>
      <c r="O309" s="9"/>
      <c r="P309" s="21"/>
      <c r="Q309" s="21"/>
      <c r="R309" s="21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2.75" customHeight="1" x14ac:dyDescent="0.25">
      <c r="A310" s="3" t="s">
        <v>30</v>
      </c>
      <c r="B310" s="19" t="s">
        <v>267</v>
      </c>
      <c r="C310" s="5">
        <v>15.42</v>
      </c>
      <c r="D310" s="5"/>
      <c r="E310" s="5"/>
      <c r="F310" s="6" t="s">
        <v>49</v>
      </c>
      <c r="G310" s="7"/>
      <c r="H310" s="7">
        <v>4</v>
      </c>
      <c r="I310" s="7"/>
      <c r="J310" s="8">
        <f t="shared" si="30"/>
        <v>4</v>
      </c>
      <c r="K310" s="9">
        <f t="shared" si="31"/>
        <v>61.68</v>
      </c>
      <c r="L310" s="5"/>
      <c r="M310" s="9"/>
      <c r="N310" s="9"/>
      <c r="O310" s="9"/>
      <c r="P310" s="21"/>
      <c r="Q310" s="21"/>
      <c r="R310" s="21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2.75" customHeight="1" x14ac:dyDescent="0.25">
      <c r="A311" s="3" t="s">
        <v>30</v>
      </c>
      <c r="B311" s="19" t="s">
        <v>268</v>
      </c>
      <c r="C311" s="5">
        <v>15.42</v>
      </c>
      <c r="D311" s="5">
        <v>18.95</v>
      </c>
      <c r="E311" s="5">
        <v>18.95</v>
      </c>
      <c r="F311" s="6" t="s">
        <v>49</v>
      </c>
      <c r="G311" s="7">
        <v>2</v>
      </c>
      <c r="H311" s="7">
        <v>1</v>
      </c>
      <c r="I311" s="7"/>
      <c r="J311" s="8">
        <f t="shared" si="30"/>
        <v>3</v>
      </c>
      <c r="K311" s="9">
        <f t="shared" si="31"/>
        <v>46.26</v>
      </c>
      <c r="L311" s="5"/>
      <c r="M311" s="9"/>
      <c r="N311" s="9"/>
      <c r="O311" s="9"/>
      <c r="P311" s="21"/>
      <c r="Q311" s="21"/>
      <c r="R311" s="21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2.75" customHeight="1" x14ac:dyDescent="0.25">
      <c r="A312" s="3" t="s">
        <v>30</v>
      </c>
      <c r="B312" s="19" t="s">
        <v>269</v>
      </c>
      <c r="C312" s="5">
        <v>15.42</v>
      </c>
      <c r="D312" s="5">
        <v>18.95</v>
      </c>
      <c r="E312" s="5">
        <v>18.95</v>
      </c>
      <c r="F312" s="6" t="s">
        <v>49</v>
      </c>
      <c r="G312" s="7"/>
      <c r="H312" s="7">
        <v>2</v>
      </c>
      <c r="I312" s="7"/>
      <c r="J312" s="8">
        <f t="shared" si="30"/>
        <v>2</v>
      </c>
      <c r="K312" s="9">
        <f t="shared" si="31"/>
        <v>30.84</v>
      </c>
      <c r="L312" s="5"/>
      <c r="M312" s="9"/>
      <c r="N312" s="9"/>
      <c r="O312" s="9"/>
      <c r="P312" s="21"/>
      <c r="Q312" s="21"/>
      <c r="R312" s="21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2.75" customHeight="1" x14ac:dyDescent="0.25">
      <c r="A313" s="3" t="s">
        <v>30</v>
      </c>
      <c r="B313" s="19" t="s">
        <v>270</v>
      </c>
      <c r="C313" s="38">
        <v>16.71</v>
      </c>
      <c r="D313" s="38">
        <v>19.95</v>
      </c>
      <c r="E313" s="38">
        <v>19.95</v>
      </c>
      <c r="F313" s="6" t="s">
        <v>49</v>
      </c>
      <c r="G313" s="7">
        <v>2</v>
      </c>
      <c r="H313" s="7">
        <v>4</v>
      </c>
      <c r="I313" s="7"/>
      <c r="J313" s="8">
        <f t="shared" si="30"/>
        <v>6</v>
      </c>
      <c r="K313" s="9">
        <f t="shared" si="31"/>
        <v>100.26</v>
      </c>
      <c r="L313" s="5"/>
      <c r="M313" s="9"/>
      <c r="N313" s="9"/>
      <c r="O313" s="9"/>
      <c r="P313" s="21"/>
      <c r="Q313" s="21"/>
      <c r="R313" s="21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2.75" customHeight="1" x14ac:dyDescent="0.25">
      <c r="A314" s="3" t="s">
        <v>84</v>
      </c>
      <c r="B314" s="19" t="s">
        <v>271</v>
      </c>
      <c r="C314" s="17">
        <v>30.6</v>
      </c>
      <c r="D314" s="17">
        <v>34</v>
      </c>
      <c r="E314" s="17">
        <v>35</v>
      </c>
      <c r="F314" s="6" t="s">
        <v>27</v>
      </c>
      <c r="G314" s="7"/>
      <c r="H314" s="7">
        <v>5</v>
      </c>
      <c r="I314" s="7"/>
      <c r="J314" s="8">
        <f t="shared" si="30"/>
        <v>5</v>
      </c>
      <c r="K314" s="9">
        <f t="shared" si="31"/>
        <v>153</v>
      </c>
      <c r="L314" s="5"/>
      <c r="M314" s="9"/>
      <c r="N314" s="9"/>
      <c r="O314" s="9"/>
      <c r="P314" s="21"/>
      <c r="Q314" s="21"/>
      <c r="R314" s="21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2.75" customHeight="1" x14ac:dyDescent="0.25">
      <c r="A315" s="3">
        <v>700</v>
      </c>
      <c r="B315" s="19" t="s">
        <v>272</v>
      </c>
      <c r="C315" s="17">
        <v>30.6</v>
      </c>
      <c r="D315" s="17"/>
      <c r="E315" s="17"/>
      <c r="F315" s="6" t="s">
        <v>27</v>
      </c>
      <c r="G315" s="7"/>
      <c r="H315" s="7">
        <v>1</v>
      </c>
      <c r="I315" s="7"/>
      <c r="J315" s="8">
        <f t="shared" si="30"/>
        <v>1</v>
      </c>
      <c r="K315" s="9">
        <f t="shared" si="31"/>
        <v>30.6</v>
      </c>
      <c r="L315" s="5"/>
      <c r="M315" s="9"/>
      <c r="N315" s="9"/>
      <c r="O315" s="9"/>
      <c r="P315" s="21"/>
      <c r="Q315" s="21"/>
      <c r="R315" s="21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2.75" customHeight="1" x14ac:dyDescent="0.25">
      <c r="A316" s="3" t="s">
        <v>30</v>
      </c>
      <c r="B316" s="19" t="s">
        <v>273</v>
      </c>
      <c r="C316" s="17">
        <v>31.14</v>
      </c>
      <c r="D316" s="17">
        <v>37</v>
      </c>
      <c r="E316" s="17">
        <v>39</v>
      </c>
      <c r="F316" s="6" t="s">
        <v>49</v>
      </c>
      <c r="G316" s="7"/>
      <c r="H316" s="7">
        <v>6</v>
      </c>
      <c r="I316" s="7"/>
      <c r="J316" s="8">
        <f t="shared" si="30"/>
        <v>6</v>
      </c>
      <c r="K316" s="9">
        <f t="shared" si="31"/>
        <v>186.84</v>
      </c>
      <c r="L316" s="5"/>
      <c r="M316" s="9"/>
      <c r="N316" s="9"/>
      <c r="O316" s="9"/>
      <c r="P316" s="21"/>
      <c r="Q316" s="21"/>
      <c r="R316" s="21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2.75" customHeight="1" x14ac:dyDescent="0.25">
      <c r="A317" s="3" t="s">
        <v>30</v>
      </c>
      <c r="B317" s="19" t="s">
        <v>274</v>
      </c>
      <c r="C317" s="5">
        <v>32.04</v>
      </c>
      <c r="D317" s="5">
        <v>37.950000000000003</v>
      </c>
      <c r="E317" s="5">
        <v>39.950000000000003</v>
      </c>
      <c r="F317" s="6" t="s">
        <v>49</v>
      </c>
      <c r="G317" s="7"/>
      <c r="H317" s="7">
        <v>3</v>
      </c>
      <c r="I317" s="7"/>
      <c r="J317" s="8">
        <f t="shared" si="30"/>
        <v>3</v>
      </c>
      <c r="K317" s="9">
        <f t="shared" si="31"/>
        <v>96.12</v>
      </c>
      <c r="L317" s="5"/>
      <c r="M317" s="9"/>
      <c r="N317" s="21"/>
      <c r="O317" s="21"/>
      <c r="P317" s="21"/>
      <c r="Q317" s="21"/>
      <c r="R317" s="21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2.75" customHeight="1" x14ac:dyDescent="0.25">
      <c r="A318" s="3" t="s">
        <v>30</v>
      </c>
      <c r="B318" s="19" t="s">
        <v>275</v>
      </c>
      <c r="C318" s="5">
        <v>25.04</v>
      </c>
      <c r="D318" s="5">
        <v>33.5</v>
      </c>
      <c r="E318" s="5">
        <v>35</v>
      </c>
      <c r="F318" s="6" t="s">
        <v>49</v>
      </c>
      <c r="G318" s="7"/>
      <c r="H318" s="7">
        <v>5</v>
      </c>
      <c r="I318" s="7"/>
      <c r="J318" s="8">
        <f t="shared" si="30"/>
        <v>5</v>
      </c>
      <c r="K318" s="9">
        <f t="shared" si="31"/>
        <v>125.19999999999999</v>
      </c>
      <c r="L318" s="5"/>
      <c r="M318" s="9"/>
      <c r="N318" s="21"/>
      <c r="O318" s="21"/>
      <c r="P318" s="21"/>
      <c r="Q318" s="21"/>
      <c r="R318" s="21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2.75" customHeight="1" x14ac:dyDescent="0.25">
      <c r="A319" s="3" t="s">
        <v>30</v>
      </c>
      <c r="B319" s="19" t="s">
        <v>276</v>
      </c>
      <c r="C319" s="5">
        <v>31.46</v>
      </c>
      <c r="D319" s="5">
        <v>35</v>
      </c>
      <c r="E319" s="5">
        <v>36</v>
      </c>
      <c r="F319" s="6" t="s">
        <v>27</v>
      </c>
      <c r="G319" s="7"/>
      <c r="H319" s="7">
        <v>3</v>
      </c>
      <c r="I319" s="7"/>
      <c r="J319" s="8">
        <f t="shared" si="30"/>
        <v>3</v>
      </c>
      <c r="K319" s="9">
        <f t="shared" si="31"/>
        <v>94.38</v>
      </c>
      <c r="L319" s="5"/>
      <c r="M319" s="9"/>
      <c r="N319" s="21"/>
      <c r="O319" s="21"/>
      <c r="P319" s="21"/>
      <c r="Q319" s="21"/>
      <c r="R319" s="21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2.75" customHeight="1" x14ac:dyDescent="0.25">
      <c r="A320" s="3">
        <v>700</v>
      </c>
      <c r="B320" s="19" t="s">
        <v>277</v>
      </c>
      <c r="C320" s="5">
        <v>23.59</v>
      </c>
      <c r="D320" s="5">
        <v>27</v>
      </c>
      <c r="E320" s="5">
        <v>27.95</v>
      </c>
      <c r="F320" s="6" t="s">
        <v>27</v>
      </c>
      <c r="G320" s="7"/>
      <c r="H320" s="7"/>
      <c r="I320" s="7"/>
      <c r="J320" s="8">
        <f t="shared" si="30"/>
        <v>0</v>
      </c>
      <c r="K320" s="9">
        <f t="shared" si="31"/>
        <v>0</v>
      </c>
      <c r="L320" s="5"/>
      <c r="M320" s="9"/>
      <c r="N320" s="21"/>
      <c r="O320" s="21"/>
      <c r="P320" s="21"/>
      <c r="Q320" s="21"/>
      <c r="R320" s="21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2.75" customHeight="1" x14ac:dyDescent="0.25">
      <c r="A321" s="3">
        <v>700</v>
      </c>
      <c r="B321" s="19" t="s">
        <v>278</v>
      </c>
      <c r="C321" s="5">
        <v>23.59</v>
      </c>
      <c r="D321" s="5">
        <v>27</v>
      </c>
      <c r="E321" s="5">
        <v>27.95</v>
      </c>
      <c r="F321" s="6" t="s">
        <v>27</v>
      </c>
      <c r="G321" s="7"/>
      <c r="H321" s="7"/>
      <c r="I321" s="7"/>
      <c r="J321" s="8">
        <f t="shared" si="30"/>
        <v>0</v>
      </c>
      <c r="K321" s="9">
        <f t="shared" si="31"/>
        <v>0</v>
      </c>
      <c r="L321" s="5"/>
      <c r="M321" s="9"/>
      <c r="N321" s="21"/>
      <c r="O321" s="21"/>
      <c r="P321" s="21"/>
      <c r="Q321" s="21"/>
      <c r="R321" s="21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2.75" customHeight="1" x14ac:dyDescent="0.25">
      <c r="A322" s="3">
        <v>700</v>
      </c>
      <c r="B322" s="19" t="s">
        <v>279</v>
      </c>
      <c r="C322" s="5">
        <v>30</v>
      </c>
      <c r="D322" s="5">
        <v>35</v>
      </c>
      <c r="E322" s="5">
        <v>35</v>
      </c>
      <c r="F322" s="6" t="s">
        <v>27</v>
      </c>
      <c r="G322" s="7"/>
      <c r="H322" s="7">
        <v>1</v>
      </c>
      <c r="I322" s="7"/>
      <c r="J322" s="8">
        <f t="shared" si="30"/>
        <v>1</v>
      </c>
      <c r="K322" s="9">
        <f t="shared" si="31"/>
        <v>30</v>
      </c>
      <c r="L322" s="5"/>
      <c r="M322" s="9"/>
      <c r="N322" s="21"/>
      <c r="O322" s="21"/>
      <c r="P322" s="21"/>
      <c r="Q322" s="21"/>
      <c r="R322" s="21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3.5" customHeight="1" x14ac:dyDescent="0.25">
      <c r="A323" s="3" t="s">
        <v>30</v>
      </c>
      <c r="B323" s="19" t="s">
        <v>280</v>
      </c>
      <c r="C323" s="5">
        <v>11.73</v>
      </c>
      <c r="D323" s="5">
        <v>14.5</v>
      </c>
      <c r="E323" s="5">
        <v>14.5</v>
      </c>
      <c r="F323" s="6" t="s">
        <v>27</v>
      </c>
      <c r="G323" s="7"/>
      <c r="H323" s="7">
        <v>3</v>
      </c>
      <c r="I323" s="7"/>
      <c r="J323" s="8">
        <v>1</v>
      </c>
      <c r="K323" s="9">
        <f t="shared" si="31"/>
        <v>11.73</v>
      </c>
      <c r="L323" s="5"/>
      <c r="M323" s="9"/>
      <c r="N323" s="21"/>
      <c r="O323" s="21"/>
      <c r="P323" s="21"/>
      <c r="Q323" s="21"/>
      <c r="R323" s="21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2.75" customHeight="1" x14ac:dyDescent="0.25">
      <c r="A324" s="3" t="s">
        <v>30</v>
      </c>
      <c r="B324" s="19" t="s">
        <v>281</v>
      </c>
      <c r="C324" s="5">
        <v>34.479999999999997</v>
      </c>
      <c r="D324" s="5">
        <v>37.950000000000003</v>
      </c>
      <c r="E324" s="5">
        <v>39.950000000000003</v>
      </c>
      <c r="F324" s="6" t="s">
        <v>27</v>
      </c>
      <c r="G324" s="7"/>
      <c r="H324" s="7">
        <v>4</v>
      </c>
      <c r="I324" s="7"/>
      <c r="J324" s="8">
        <f t="shared" ref="J324:J350" si="32">SUM(G324:I324)</f>
        <v>4</v>
      </c>
      <c r="K324" s="9">
        <f t="shared" si="31"/>
        <v>137.91999999999999</v>
      </c>
      <c r="L324" s="5"/>
      <c r="M324" s="9"/>
      <c r="N324" s="21"/>
      <c r="O324" s="21"/>
      <c r="P324" s="21"/>
      <c r="Q324" s="21"/>
      <c r="R324" s="21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2.75" customHeight="1" x14ac:dyDescent="0.25">
      <c r="A325" s="3" t="s">
        <v>30</v>
      </c>
      <c r="B325" s="19" t="s">
        <v>282</v>
      </c>
      <c r="C325" s="5">
        <v>33.51</v>
      </c>
      <c r="D325" s="5">
        <v>37.950000000000003</v>
      </c>
      <c r="E325" s="5">
        <v>39.950000000000003</v>
      </c>
      <c r="F325" s="6" t="s">
        <v>49</v>
      </c>
      <c r="G325" s="7"/>
      <c r="H325" s="7">
        <v>1</v>
      </c>
      <c r="I325" s="7"/>
      <c r="J325" s="8">
        <f t="shared" si="32"/>
        <v>1</v>
      </c>
      <c r="K325" s="9">
        <f t="shared" si="31"/>
        <v>33.51</v>
      </c>
      <c r="L325" s="5"/>
      <c r="M325" s="9"/>
      <c r="N325" s="21"/>
      <c r="O325" s="21"/>
      <c r="P325" s="21"/>
      <c r="Q325" s="21"/>
      <c r="R325" s="21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2.75" customHeight="1" x14ac:dyDescent="0.25">
      <c r="A326" s="3" t="s">
        <v>30</v>
      </c>
      <c r="B326" s="19" t="s">
        <v>283</v>
      </c>
      <c r="C326" s="5">
        <v>6.92</v>
      </c>
      <c r="D326" s="5">
        <v>7.99</v>
      </c>
      <c r="E326" s="5">
        <v>8.9499999999999993</v>
      </c>
      <c r="F326" s="6" t="s">
        <v>168</v>
      </c>
      <c r="G326" s="7">
        <v>58</v>
      </c>
      <c r="H326" s="7">
        <v>11</v>
      </c>
      <c r="I326" s="7"/>
      <c r="J326" s="8">
        <f t="shared" si="32"/>
        <v>69</v>
      </c>
      <c r="K326" s="9">
        <f t="shared" si="31"/>
        <v>477.48</v>
      </c>
      <c r="L326" s="5"/>
      <c r="M326" s="9"/>
      <c r="N326" s="21"/>
      <c r="O326" s="21"/>
      <c r="P326" s="21"/>
      <c r="Q326" s="21"/>
      <c r="R326" s="21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2.75" customHeight="1" x14ac:dyDescent="0.25">
      <c r="A327" s="3"/>
      <c r="B327" s="19" t="s">
        <v>284</v>
      </c>
      <c r="C327" s="5">
        <v>5.9</v>
      </c>
      <c r="D327" s="5">
        <v>6.95</v>
      </c>
      <c r="E327" s="5">
        <v>7.95</v>
      </c>
      <c r="F327" s="6" t="s">
        <v>168</v>
      </c>
      <c r="G327" s="7">
        <v>12</v>
      </c>
      <c r="H327" s="7"/>
      <c r="I327" s="7"/>
      <c r="J327" s="8">
        <f t="shared" si="32"/>
        <v>12</v>
      </c>
      <c r="K327" s="9">
        <f t="shared" si="31"/>
        <v>70.800000000000011</v>
      </c>
      <c r="L327" s="5"/>
      <c r="M327" s="9"/>
      <c r="N327" s="21"/>
      <c r="O327" s="21"/>
      <c r="P327" s="21"/>
      <c r="Q327" s="21"/>
      <c r="R327" s="21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2.75" customHeight="1" x14ac:dyDescent="0.25">
      <c r="A328" s="3" t="s">
        <v>84</v>
      </c>
      <c r="B328" s="19" t="s">
        <v>285</v>
      </c>
      <c r="C328" s="5">
        <v>20.39</v>
      </c>
      <c r="D328" s="5">
        <v>23.5</v>
      </c>
      <c r="E328" s="5">
        <v>24</v>
      </c>
      <c r="F328" s="6" t="s">
        <v>27</v>
      </c>
      <c r="G328" s="7"/>
      <c r="H328" s="7">
        <v>1</v>
      </c>
      <c r="I328" s="7"/>
      <c r="J328" s="8">
        <f t="shared" si="32"/>
        <v>1</v>
      </c>
      <c r="K328" s="9">
        <f t="shared" si="31"/>
        <v>20.39</v>
      </c>
      <c r="L328" s="5"/>
      <c r="M328" s="9"/>
      <c r="N328" s="21"/>
      <c r="O328" s="21"/>
      <c r="P328" s="21"/>
      <c r="Q328" s="21"/>
      <c r="R328" s="21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2.75" customHeight="1" x14ac:dyDescent="0.25">
      <c r="A329" s="3" t="s">
        <v>30</v>
      </c>
      <c r="B329" s="19" t="s">
        <v>286</v>
      </c>
      <c r="C329" s="5">
        <v>9.1999999999999993</v>
      </c>
      <c r="D329" s="5">
        <v>13.95</v>
      </c>
      <c r="E329" s="5">
        <v>13.95</v>
      </c>
      <c r="F329" s="6" t="s">
        <v>49</v>
      </c>
      <c r="G329" s="7"/>
      <c r="H329" s="7">
        <v>4</v>
      </c>
      <c r="I329" s="7"/>
      <c r="J329" s="8">
        <f t="shared" si="32"/>
        <v>4</v>
      </c>
      <c r="K329" s="9">
        <f t="shared" si="31"/>
        <v>36.799999999999997</v>
      </c>
      <c r="L329" s="5"/>
      <c r="M329" s="9"/>
      <c r="N329" s="21"/>
      <c r="O329" s="21"/>
      <c r="P329" s="21"/>
      <c r="Q329" s="21"/>
      <c r="R329" s="21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2.75" customHeight="1" x14ac:dyDescent="0.25">
      <c r="A330" s="3">
        <v>700</v>
      </c>
      <c r="B330" s="19" t="s">
        <v>287</v>
      </c>
      <c r="C330" s="5">
        <v>35</v>
      </c>
      <c r="D330" s="5">
        <v>39.950000000000003</v>
      </c>
      <c r="E330" s="5">
        <v>39.950000000000003</v>
      </c>
      <c r="F330" s="6" t="s">
        <v>49</v>
      </c>
      <c r="G330" s="7">
        <v>1</v>
      </c>
      <c r="H330" s="7"/>
      <c r="I330" s="7"/>
      <c r="J330" s="8">
        <f t="shared" si="32"/>
        <v>1</v>
      </c>
      <c r="K330" s="9">
        <f t="shared" si="31"/>
        <v>35</v>
      </c>
      <c r="L330" s="5"/>
      <c r="M330" s="9"/>
      <c r="N330" s="21"/>
      <c r="O330" s="21"/>
      <c r="P330" s="21"/>
      <c r="Q330" s="21"/>
      <c r="R330" s="21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2.75" customHeight="1" x14ac:dyDescent="0.25">
      <c r="A331" s="3" t="s">
        <v>30</v>
      </c>
      <c r="B331" s="19" t="s">
        <v>288</v>
      </c>
      <c r="C331" s="5">
        <v>7.07</v>
      </c>
      <c r="D331" s="5">
        <v>7.99</v>
      </c>
      <c r="E331" s="5">
        <v>8.9499999999999993</v>
      </c>
      <c r="F331" s="6" t="s">
        <v>27</v>
      </c>
      <c r="G331" s="7">
        <v>25</v>
      </c>
      <c r="H331" s="7">
        <v>8</v>
      </c>
      <c r="I331" s="7"/>
      <c r="J331" s="8">
        <f t="shared" si="32"/>
        <v>33</v>
      </c>
      <c r="K331" s="9">
        <f t="shared" si="31"/>
        <v>233.31</v>
      </c>
      <c r="L331" s="5"/>
      <c r="M331" s="9"/>
      <c r="N331" s="21"/>
      <c r="O331" s="21"/>
      <c r="P331" s="21"/>
      <c r="Q331" s="21"/>
      <c r="R331" s="21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2.75" customHeight="1" x14ac:dyDescent="0.25">
      <c r="A332" s="3" t="s">
        <v>30</v>
      </c>
      <c r="B332" s="19" t="s">
        <v>289</v>
      </c>
      <c r="C332" s="5">
        <v>6.67</v>
      </c>
      <c r="D332" s="5">
        <v>7.5</v>
      </c>
      <c r="E332" s="5">
        <v>7.95</v>
      </c>
      <c r="F332" s="6" t="s">
        <v>27</v>
      </c>
      <c r="G332" s="7">
        <v>15</v>
      </c>
      <c r="H332" s="7"/>
      <c r="I332" s="7"/>
      <c r="J332" s="8">
        <f t="shared" si="32"/>
        <v>15</v>
      </c>
      <c r="K332" s="9">
        <f t="shared" si="31"/>
        <v>100.05</v>
      </c>
      <c r="L332" s="5"/>
      <c r="M332" s="9"/>
      <c r="N332" s="21"/>
      <c r="O332" s="21"/>
      <c r="P332" s="21"/>
      <c r="Q332" s="21"/>
      <c r="R332" s="21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2.75" customHeight="1" x14ac:dyDescent="0.25">
      <c r="A333" s="3" t="s">
        <v>30</v>
      </c>
      <c r="B333" s="19" t="s">
        <v>290</v>
      </c>
      <c r="C333" s="5">
        <v>7.15</v>
      </c>
      <c r="D333" s="5">
        <v>8.75</v>
      </c>
      <c r="E333" s="5">
        <v>8.9499999999999993</v>
      </c>
      <c r="F333" s="6" t="s">
        <v>27</v>
      </c>
      <c r="G333" s="7"/>
      <c r="H333" s="7">
        <v>7</v>
      </c>
      <c r="I333" s="7"/>
      <c r="J333" s="8">
        <f t="shared" si="32"/>
        <v>7</v>
      </c>
      <c r="K333" s="9">
        <f t="shared" si="31"/>
        <v>50.050000000000004</v>
      </c>
      <c r="L333" s="5"/>
      <c r="M333" s="9"/>
      <c r="N333" s="21"/>
      <c r="O333" s="21"/>
      <c r="P333" s="21"/>
      <c r="Q333" s="21"/>
      <c r="R333" s="21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2.75" customHeight="1" x14ac:dyDescent="0.25">
      <c r="A334" s="3">
        <v>1</v>
      </c>
      <c r="B334" s="19" t="s">
        <v>291</v>
      </c>
      <c r="C334" s="39">
        <v>11.43</v>
      </c>
      <c r="D334" s="5">
        <v>12.95</v>
      </c>
      <c r="E334" s="5">
        <v>12.95</v>
      </c>
      <c r="F334" s="6" t="s">
        <v>27</v>
      </c>
      <c r="G334" s="7"/>
      <c r="H334" s="7">
        <v>1</v>
      </c>
      <c r="I334" s="7"/>
      <c r="J334" s="8">
        <f t="shared" si="32"/>
        <v>1</v>
      </c>
      <c r="K334" s="9">
        <f t="shared" si="31"/>
        <v>11.43</v>
      </c>
      <c r="L334" s="5"/>
      <c r="M334" s="9"/>
      <c r="N334" s="21"/>
      <c r="O334" s="21"/>
      <c r="P334" s="21"/>
      <c r="Q334" s="21"/>
      <c r="R334" s="21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2.75" customHeight="1" x14ac:dyDescent="0.25">
      <c r="A335" s="3" t="s">
        <v>30</v>
      </c>
      <c r="B335" s="19" t="s">
        <v>292</v>
      </c>
      <c r="C335" s="5">
        <v>6.29</v>
      </c>
      <c r="D335" s="5">
        <v>8.9499999999999993</v>
      </c>
      <c r="E335" s="5">
        <v>8.9499999999999993</v>
      </c>
      <c r="F335" s="6" t="s">
        <v>27</v>
      </c>
      <c r="G335" s="7"/>
      <c r="H335" s="7">
        <v>3</v>
      </c>
      <c r="I335" s="7"/>
      <c r="J335" s="8">
        <f t="shared" si="32"/>
        <v>3</v>
      </c>
      <c r="K335" s="9">
        <f t="shared" si="31"/>
        <v>18.87</v>
      </c>
      <c r="L335" s="5"/>
      <c r="M335" s="9"/>
      <c r="N335" s="21"/>
      <c r="O335" s="21"/>
      <c r="P335" s="21"/>
      <c r="Q335" s="21"/>
      <c r="R335" s="21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2.75" customHeight="1" x14ac:dyDescent="0.25">
      <c r="A336" s="3" t="s">
        <v>30</v>
      </c>
      <c r="B336" s="19" t="s">
        <v>293</v>
      </c>
      <c r="C336" s="5">
        <v>6.29</v>
      </c>
      <c r="D336" s="5">
        <v>8.9499999999999993</v>
      </c>
      <c r="E336" s="5">
        <v>8.9499999999999993</v>
      </c>
      <c r="F336" s="6" t="s">
        <v>27</v>
      </c>
      <c r="G336" s="7"/>
      <c r="H336" s="7"/>
      <c r="I336" s="7"/>
      <c r="J336" s="8">
        <f t="shared" si="32"/>
        <v>0</v>
      </c>
      <c r="K336" s="9">
        <f t="shared" si="31"/>
        <v>0</v>
      </c>
      <c r="L336" s="5"/>
      <c r="M336" s="9"/>
      <c r="N336" s="21"/>
      <c r="O336" s="21"/>
      <c r="P336" s="21"/>
      <c r="Q336" s="21"/>
      <c r="R336" s="21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2.75" customHeight="1" x14ac:dyDescent="0.25">
      <c r="A337" s="3" t="s">
        <v>30</v>
      </c>
      <c r="B337" s="19" t="s">
        <v>294</v>
      </c>
      <c r="C337" s="5">
        <v>6.29</v>
      </c>
      <c r="D337" s="5">
        <v>8.9499999999999993</v>
      </c>
      <c r="E337" s="5">
        <v>8.9499999999999993</v>
      </c>
      <c r="F337" s="6" t="s">
        <v>27</v>
      </c>
      <c r="G337" s="7"/>
      <c r="H337" s="7">
        <v>1</v>
      </c>
      <c r="I337" s="7"/>
      <c r="J337" s="8">
        <f t="shared" si="32"/>
        <v>1</v>
      </c>
      <c r="K337" s="9">
        <f t="shared" si="31"/>
        <v>6.29</v>
      </c>
      <c r="L337" s="5"/>
      <c r="M337" s="9"/>
      <c r="N337" s="21"/>
      <c r="O337" s="21"/>
      <c r="P337" s="21"/>
      <c r="Q337" s="21"/>
      <c r="R337" s="21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2.75" customHeight="1" x14ac:dyDescent="0.25">
      <c r="A338" s="3" t="s">
        <v>30</v>
      </c>
      <c r="B338" s="19" t="s">
        <v>295</v>
      </c>
      <c r="C338" s="5">
        <v>12.5</v>
      </c>
      <c r="D338" s="5">
        <v>14.95</v>
      </c>
      <c r="E338" s="5">
        <v>14.95</v>
      </c>
      <c r="F338" s="6" t="s">
        <v>27</v>
      </c>
      <c r="G338" s="7"/>
      <c r="H338" s="7">
        <v>4</v>
      </c>
      <c r="I338" s="7"/>
      <c r="J338" s="8">
        <f t="shared" si="32"/>
        <v>4</v>
      </c>
      <c r="K338" s="9">
        <f t="shared" si="31"/>
        <v>50</v>
      </c>
      <c r="L338" s="5"/>
      <c r="M338" s="9"/>
      <c r="N338" s="21"/>
      <c r="O338" s="21"/>
      <c r="P338" s="21"/>
      <c r="Q338" s="21"/>
      <c r="R338" s="21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2.75" customHeight="1" x14ac:dyDescent="0.25">
      <c r="A339" s="3" t="s">
        <v>296</v>
      </c>
      <c r="B339" s="19" t="s">
        <v>297</v>
      </c>
      <c r="C339" s="5">
        <v>44.77</v>
      </c>
      <c r="D339" s="5">
        <v>48</v>
      </c>
      <c r="E339" s="5">
        <v>48</v>
      </c>
      <c r="F339" s="6" t="s">
        <v>27</v>
      </c>
      <c r="G339" s="7"/>
      <c r="H339" s="7"/>
      <c r="I339" s="7"/>
      <c r="J339" s="8">
        <f t="shared" si="32"/>
        <v>0</v>
      </c>
      <c r="K339" s="9">
        <f t="shared" si="31"/>
        <v>0</v>
      </c>
      <c r="L339" s="5"/>
      <c r="M339" s="18"/>
      <c r="N339" s="9"/>
      <c r="O339" s="21"/>
      <c r="P339" s="21"/>
      <c r="Q339" s="21"/>
      <c r="R339" s="21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2.75" customHeight="1" x14ac:dyDescent="0.25">
      <c r="A340" s="3" t="s">
        <v>30</v>
      </c>
      <c r="B340" s="19" t="s">
        <v>298</v>
      </c>
      <c r="C340" s="5">
        <v>14.25</v>
      </c>
      <c r="D340" s="5">
        <v>16.95</v>
      </c>
      <c r="E340" s="5">
        <v>16.95</v>
      </c>
      <c r="F340" s="6" t="s">
        <v>27</v>
      </c>
      <c r="G340" s="7"/>
      <c r="H340" s="7">
        <v>6</v>
      </c>
      <c r="I340" s="7"/>
      <c r="J340" s="8">
        <f t="shared" si="32"/>
        <v>6</v>
      </c>
      <c r="K340" s="9">
        <f t="shared" si="31"/>
        <v>85.5</v>
      </c>
      <c r="L340" s="5"/>
      <c r="M340" s="18"/>
      <c r="N340" s="9"/>
      <c r="O340" s="21"/>
      <c r="P340" s="10"/>
      <c r="Q340" s="10"/>
      <c r="R340" s="21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2.75" customHeight="1" x14ac:dyDescent="0.25">
      <c r="A341" s="3" t="s">
        <v>30</v>
      </c>
      <c r="B341" s="40" t="s">
        <v>299</v>
      </c>
      <c r="C341" s="5">
        <v>12</v>
      </c>
      <c r="D341" s="5">
        <v>16.95</v>
      </c>
      <c r="E341" s="5">
        <v>16.95</v>
      </c>
      <c r="F341" s="6" t="s">
        <v>49</v>
      </c>
      <c r="G341" s="7"/>
      <c r="H341" s="7"/>
      <c r="I341" s="7"/>
      <c r="J341" s="8">
        <f t="shared" si="32"/>
        <v>0</v>
      </c>
      <c r="K341" s="9">
        <f t="shared" si="31"/>
        <v>0</v>
      </c>
      <c r="L341" s="5"/>
      <c r="M341" s="18"/>
      <c r="N341" s="9"/>
      <c r="O341" s="21"/>
      <c r="P341" s="21"/>
      <c r="Q341" s="10"/>
      <c r="R341" s="21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2.75" customHeight="1" x14ac:dyDescent="0.25">
      <c r="A342" s="3" t="s">
        <v>30</v>
      </c>
      <c r="B342" s="4" t="s">
        <v>300</v>
      </c>
      <c r="C342" s="5">
        <v>12.03</v>
      </c>
      <c r="D342" s="5">
        <v>13.95</v>
      </c>
      <c r="E342" s="5">
        <v>14.95</v>
      </c>
      <c r="F342" s="6" t="s">
        <v>27</v>
      </c>
      <c r="G342" s="7"/>
      <c r="H342" s="7">
        <v>8</v>
      </c>
      <c r="I342" s="7">
        <v>36</v>
      </c>
      <c r="J342" s="8">
        <f t="shared" si="32"/>
        <v>44</v>
      </c>
      <c r="K342" s="9">
        <f t="shared" si="31"/>
        <v>529.31999999999994</v>
      </c>
      <c r="L342" s="5"/>
      <c r="M342" s="18"/>
      <c r="N342" s="9"/>
      <c r="O342" s="21"/>
      <c r="P342" s="21"/>
      <c r="Q342" s="10"/>
      <c r="R342" s="21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2.75" customHeight="1" x14ac:dyDescent="0.25">
      <c r="A343" s="3" t="s">
        <v>84</v>
      </c>
      <c r="B343" s="4" t="s">
        <v>300</v>
      </c>
      <c r="C343" s="5">
        <v>8.9499999999999993</v>
      </c>
      <c r="D343" s="5">
        <v>10.95</v>
      </c>
      <c r="E343" s="5">
        <v>10.95</v>
      </c>
      <c r="F343" s="6" t="s">
        <v>27</v>
      </c>
      <c r="G343" s="7"/>
      <c r="H343" s="7">
        <v>4</v>
      </c>
      <c r="I343" s="7"/>
      <c r="J343" s="8">
        <f t="shared" si="32"/>
        <v>4</v>
      </c>
      <c r="K343" s="9">
        <f t="shared" si="31"/>
        <v>35.799999999999997</v>
      </c>
      <c r="L343" s="5"/>
      <c r="M343" s="18"/>
      <c r="N343" s="9"/>
      <c r="O343" s="21"/>
      <c r="P343" s="21"/>
      <c r="Q343" s="21"/>
      <c r="R343" s="21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2.75" customHeight="1" x14ac:dyDescent="0.25">
      <c r="A344" s="3" t="s">
        <v>30</v>
      </c>
      <c r="B344" s="4" t="s">
        <v>301</v>
      </c>
      <c r="C344" s="5">
        <v>13.3</v>
      </c>
      <c r="D344" s="5">
        <v>14.95</v>
      </c>
      <c r="E344" s="5">
        <v>14.95</v>
      </c>
      <c r="F344" s="6" t="s">
        <v>27</v>
      </c>
      <c r="G344" s="7"/>
      <c r="H344" s="7"/>
      <c r="I344" s="7">
        <v>23</v>
      </c>
      <c r="J344" s="8">
        <f t="shared" si="32"/>
        <v>23</v>
      </c>
      <c r="K344" s="9">
        <f t="shared" si="31"/>
        <v>305.90000000000003</v>
      </c>
      <c r="L344" s="5"/>
      <c r="M344" s="18"/>
      <c r="N344" s="9"/>
      <c r="O344" s="21"/>
      <c r="P344" s="21"/>
      <c r="Q344" s="21"/>
      <c r="R344" s="21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2.75" customHeight="1" x14ac:dyDescent="0.25">
      <c r="A345" s="3">
        <v>700</v>
      </c>
      <c r="B345" s="19" t="s">
        <v>302</v>
      </c>
      <c r="C345" s="5">
        <v>11.73</v>
      </c>
      <c r="D345" s="5">
        <v>13.95</v>
      </c>
      <c r="E345" s="5">
        <v>13.95</v>
      </c>
      <c r="F345" s="6" t="s">
        <v>27</v>
      </c>
      <c r="G345" s="7"/>
      <c r="H345" s="7"/>
      <c r="I345" s="7"/>
      <c r="J345" s="8">
        <f t="shared" si="32"/>
        <v>0</v>
      </c>
      <c r="K345" s="9">
        <f t="shared" si="31"/>
        <v>0</v>
      </c>
      <c r="L345" s="5"/>
      <c r="M345" s="9"/>
      <c r="N345" s="21"/>
      <c r="O345" s="21"/>
      <c r="P345" s="21"/>
      <c r="Q345" s="21"/>
      <c r="R345" s="21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2.75" customHeight="1" x14ac:dyDescent="0.25">
      <c r="A346" s="3" t="s">
        <v>30</v>
      </c>
      <c r="B346" s="19" t="s">
        <v>302</v>
      </c>
      <c r="C346" s="5">
        <v>12.53</v>
      </c>
      <c r="D346" s="5">
        <v>14.9</v>
      </c>
      <c r="E346" s="5">
        <v>14.9</v>
      </c>
      <c r="F346" s="6" t="s">
        <v>49</v>
      </c>
      <c r="G346" s="7"/>
      <c r="H346" s="7">
        <v>6</v>
      </c>
      <c r="I346" s="7"/>
      <c r="J346" s="8">
        <f t="shared" si="32"/>
        <v>6</v>
      </c>
      <c r="K346" s="9">
        <f t="shared" si="31"/>
        <v>75.179999999999993</v>
      </c>
      <c r="L346" s="5"/>
      <c r="M346" s="9"/>
      <c r="N346" s="21"/>
      <c r="O346" s="21"/>
      <c r="P346" s="21"/>
      <c r="Q346" s="21"/>
      <c r="R346" s="21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2.75" customHeight="1" x14ac:dyDescent="0.25">
      <c r="A347" s="3" t="s">
        <v>30</v>
      </c>
      <c r="B347" s="19" t="s">
        <v>303</v>
      </c>
      <c r="C347" s="5">
        <v>18.27</v>
      </c>
      <c r="D347" s="5">
        <v>21</v>
      </c>
      <c r="E347" s="5">
        <v>22</v>
      </c>
      <c r="F347" s="6" t="s">
        <v>27</v>
      </c>
      <c r="G347" s="7"/>
      <c r="H347" s="7"/>
      <c r="I347" s="7"/>
      <c r="J347" s="8">
        <f t="shared" si="32"/>
        <v>0</v>
      </c>
      <c r="K347" s="9">
        <f t="shared" si="31"/>
        <v>0</v>
      </c>
      <c r="L347" s="5"/>
      <c r="M347" s="9"/>
      <c r="N347" s="21"/>
      <c r="O347" s="21"/>
      <c r="P347" s="21"/>
      <c r="Q347" s="21"/>
      <c r="R347" s="21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2.75" customHeight="1" x14ac:dyDescent="0.25">
      <c r="A348" s="3">
        <v>700</v>
      </c>
      <c r="B348" s="19" t="s">
        <v>132</v>
      </c>
      <c r="C348" s="5">
        <v>17</v>
      </c>
      <c r="D348" s="5">
        <v>18.5</v>
      </c>
      <c r="E348" s="5">
        <v>18.5</v>
      </c>
      <c r="F348" s="6" t="s">
        <v>27</v>
      </c>
      <c r="G348" s="7"/>
      <c r="H348" s="7">
        <v>3</v>
      </c>
      <c r="I348" s="7"/>
      <c r="J348" s="8">
        <f t="shared" si="32"/>
        <v>3</v>
      </c>
      <c r="K348" s="9">
        <f t="shared" si="31"/>
        <v>51</v>
      </c>
      <c r="L348" s="5"/>
      <c r="M348" s="9"/>
      <c r="N348" s="21"/>
      <c r="O348" s="21"/>
      <c r="P348" s="21"/>
      <c r="Q348" s="21"/>
      <c r="R348" s="21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2.75" customHeight="1" x14ac:dyDescent="0.25">
      <c r="A349" s="3" t="s">
        <v>30</v>
      </c>
      <c r="B349" s="19" t="s">
        <v>304</v>
      </c>
      <c r="C349" s="5">
        <v>11.62</v>
      </c>
      <c r="D349" s="5">
        <v>12.95</v>
      </c>
      <c r="E349" s="5">
        <v>13.95</v>
      </c>
      <c r="F349" s="6" t="s">
        <v>27</v>
      </c>
      <c r="G349" s="7" t="s">
        <v>63</v>
      </c>
      <c r="H349" s="7">
        <v>4</v>
      </c>
      <c r="I349" s="7"/>
      <c r="J349" s="8">
        <f t="shared" si="32"/>
        <v>4</v>
      </c>
      <c r="K349" s="9">
        <f t="shared" si="31"/>
        <v>46.48</v>
      </c>
      <c r="L349" s="5"/>
      <c r="M349" s="9"/>
      <c r="N349" s="21"/>
      <c r="O349" s="21"/>
      <c r="P349" s="21"/>
      <c r="Q349" s="21"/>
      <c r="R349" s="21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2.75" customHeight="1" x14ac:dyDescent="0.25">
      <c r="A350" s="3" t="s">
        <v>30</v>
      </c>
      <c r="B350" s="19" t="s">
        <v>305</v>
      </c>
      <c r="C350" s="5">
        <v>11.72</v>
      </c>
      <c r="D350" s="5">
        <v>13.95</v>
      </c>
      <c r="E350" s="5">
        <v>14.95</v>
      </c>
      <c r="F350" s="6" t="s">
        <v>27</v>
      </c>
      <c r="G350" s="7"/>
      <c r="H350" s="7"/>
      <c r="I350" s="7"/>
      <c r="J350" s="8">
        <f t="shared" si="32"/>
        <v>0</v>
      </c>
      <c r="K350" s="9">
        <f t="shared" si="31"/>
        <v>0</v>
      </c>
      <c r="L350" s="5"/>
      <c r="M350" s="9"/>
      <c r="N350" s="21"/>
      <c r="O350" s="21"/>
      <c r="P350" s="21"/>
      <c r="Q350" s="21"/>
      <c r="R350" s="21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2.75" customHeight="1" x14ac:dyDescent="0.25">
      <c r="A351" s="3"/>
      <c r="B351" s="19"/>
      <c r="C351" s="5"/>
      <c r="D351" s="5"/>
      <c r="E351" s="5"/>
      <c r="F351" s="6"/>
      <c r="G351" s="7"/>
      <c r="H351" s="7"/>
      <c r="I351" s="7"/>
      <c r="J351" s="8"/>
      <c r="K351" s="9"/>
      <c r="L351" s="5"/>
      <c r="M351" s="9"/>
      <c r="N351" s="21"/>
      <c r="O351" s="21"/>
      <c r="P351" s="21"/>
      <c r="Q351" s="21"/>
      <c r="R351" s="21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2.75" customHeight="1" x14ac:dyDescent="0.3">
      <c r="A352" s="3"/>
      <c r="B352" s="15" t="s">
        <v>306</v>
      </c>
      <c r="C352" s="5"/>
      <c r="D352" s="5"/>
      <c r="E352" s="5"/>
      <c r="F352" s="6"/>
      <c r="G352" s="7"/>
      <c r="H352" s="7"/>
      <c r="I352" s="7"/>
      <c r="J352" s="8"/>
      <c r="K352" s="9"/>
      <c r="L352" s="5"/>
      <c r="M352" s="9"/>
      <c r="N352" s="21"/>
      <c r="O352" s="21"/>
      <c r="P352" s="21"/>
      <c r="Q352" s="21"/>
      <c r="R352" s="21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2.75" customHeight="1" x14ac:dyDescent="0.25">
      <c r="A353" s="3"/>
      <c r="B353" s="4"/>
      <c r="C353" s="5"/>
      <c r="D353" s="32"/>
      <c r="E353" s="5"/>
      <c r="F353" s="6"/>
      <c r="G353" s="7"/>
      <c r="H353" s="7"/>
      <c r="I353" s="7"/>
      <c r="J353" s="8"/>
      <c r="K353" s="9"/>
      <c r="L353" s="5"/>
      <c r="M353" s="9"/>
      <c r="N353" s="9"/>
      <c r="O353" s="9"/>
      <c r="P353" s="9"/>
      <c r="Q353" s="9"/>
      <c r="R353" s="9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 spans="1:30" ht="12.75" customHeight="1" x14ac:dyDescent="0.25">
      <c r="A354" s="3" t="s">
        <v>13</v>
      </c>
      <c r="B354" s="4" t="s">
        <v>14</v>
      </c>
      <c r="C354" s="5"/>
      <c r="D354" s="32"/>
      <c r="E354" s="5"/>
      <c r="F354" s="6"/>
      <c r="G354" s="7"/>
      <c r="H354" s="7"/>
      <c r="I354" s="7"/>
      <c r="J354" s="8"/>
      <c r="K354" s="9"/>
      <c r="L354" s="5"/>
      <c r="M354" s="9"/>
      <c r="N354" s="9"/>
      <c r="O354" s="9"/>
      <c r="P354" s="9"/>
      <c r="Q354" s="9"/>
      <c r="R354" s="9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 spans="1:30" ht="12.75" customHeight="1" x14ac:dyDescent="0.25">
      <c r="A355" s="3"/>
      <c r="B355" s="4"/>
      <c r="C355" s="5"/>
      <c r="D355" s="32"/>
      <c r="E355" s="5"/>
      <c r="F355" s="6"/>
      <c r="G355" s="7"/>
      <c r="H355" s="7"/>
      <c r="I355" s="7"/>
      <c r="J355" s="8"/>
      <c r="K355" s="9"/>
      <c r="L355" s="5"/>
      <c r="M355" s="9"/>
      <c r="N355" s="9"/>
      <c r="O355" s="9"/>
      <c r="P355" s="9"/>
      <c r="Q355" s="9"/>
      <c r="R355" s="9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 spans="1:30" ht="12.75" customHeight="1" x14ac:dyDescent="0.25">
      <c r="A356" s="3" t="s">
        <v>30</v>
      </c>
      <c r="B356" s="4" t="s">
        <v>307</v>
      </c>
      <c r="C356" s="17">
        <v>14.88</v>
      </c>
      <c r="D356" s="37">
        <v>16.95</v>
      </c>
      <c r="E356" s="37">
        <v>17.95</v>
      </c>
      <c r="F356" s="6" t="s">
        <v>49</v>
      </c>
      <c r="G356" s="7"/>
      <c r="H356" s="7"/>
      <c r="I356" s="7"/>
      <c r="J356" s="8">
        <f t="shared" ref="J356:J369" si="33">SUM(G356:I356)</f>
        <v>0</v>
      </c>
      <c r="K356" s="9">
        <f t="shared" ref="K356:K369" si="34">SUM(C356*J356)</f>
        <v>0</v>
      </c>
      <c r="L356" s="5"/>
      <c r="M356" s="9"/>
      <c r="N356" s="9"/>
      <c r="O356" s="9"/>
      <c r="P356" s="9"/>
      <c r="Q356" s="9"/>
      <c r="R356" s="9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 spans="1:30" ht="12.75" customHeight="1" x14ac:dyDescent="0.25">
      <c r="A357" s="3" t="s">
        <v>84</v>
      </c>
      <c r="B357" s="4" t="s">
        <v>308</v>
      </c>
      <c r="C357" s="17">
        <v>14.14</v>
      </c>
      <c r="D357" s="37">
        <v>14.95</v>
      </c>
      <c r="E357" s="37">
        <v>14.95</v>
      </c>
      <c r="F357" s="6" t="s">
        <v>27</v>
      </c>
      <c r="G357" s="7"/>
      <c r="H357" s="7">
        <v>0</v>
      </c>
      <c r="I357" s="7"/>
      <c r="J357" s="8">
        <f t="shared" si="33"/>
        <v>0</v>
      </c>
      <c r="K357" s="9">
        <f t="shared" si="34"/>
        <v>0</v>
      </c>
      <c r="L357" s="5"/>
      <c r="M357" s="9"/>
      <c r="N357" s="9"/>
      <c r="O357" s="9"/>
      <c r="P357" s="9"/>
      <c r="Q357" s="9"/>
      <c r="R357" s="9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 spans="1:30" ht="12.75" customHeight="1" x14ac:dyDescent="0.25">
      <c r="A358" s="3" t="s">
        <v>30</v>
      </c>
      <c r="B358" s="4" t="s">
        <v>309</v>
      </c>
      <c r="C358" s="17">
        <v>16.68</v>
      </c>
      <c r="D358" s="17">
        <v>18.95</v>
      </c>
      <c r="E358" s="17">
        <v>18.95</v>
      </c>
      <c r="F358" s="6" t="s">
        <v>49</v>
      </c>
      <c r="G358" s="7">
        <v>3</v>
      </c>
      <c r="H358" s="7">
        <v>4</v>
      </c>
      <c r="I358" s="7"/>
      <c r="J358" s="8">
        <f t="shared" si="33"/>
        <v>7</v>
      </c>
      <c r="K358" s="9">
        <f t="shared" si="34"/>
        <v>116.75999999999999</v>
      </c>
      <c r="L358" s="5"/>
      <c r="M358" s="18"/>
      <c r="N358" s="9"/>
      <c r="O358" s="9"/>
      <c r="P358" s="21"/>
      <c r="Q358" s="21"/>
      <c r="R358" s="21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2.75" customHeight="1" x14ac:dyDescent="0.25">
      <c r="A359" s="3" t="s">
        <v>30</v>
      </c>
      <c r="B359" s="19" t="s">
        <v>310</v>
      </c>
      <c r="C359" s="5">
        <v>26.25</v>
      </c>
      <c r="D359" s="26">
        <v>32.5</v>
      </c>
      <c r="E359" s="26">
        <v>32.5</v>
      </c>
      <c r="F359" s="6" t="s">
        <v>27</v>
      </c>
      <c r="G359" s="7"/>
      <c r="H359" s="7">
        <v>4</v>
      </c>
      <c r="I359" s="7"/>
      <c r="J359" s="8">
        <f t="shared" si="33"/>
        <v>4</v>
      </c>
      <c r="K359" s="9">
        <f t="shared" si="34"/>
        <v>105</v>
      </c>
      <c r="L359" s="5"/>
      <c r="M359" s="9"/>
      <c r="N359" s="9"/>
      <c r="O359" s="9"/>
      <c r="P359" s="9"/>
      <c r="Q359" s="9"/>
      <c r="R359" s="9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 spans="1:30" ht="12.75" customHeight="1" x14ac:dyDescent="0.25">
      <c r="A360" s="3" t="s">
        <v>30</v>
      </c>
      <c r="B360" s="19" t="s">
        <v>311</v>
      </c>
      <c r="C360" s="5">
        <v>23.14</v>
      </c>
      <c r="D360" s="17">
        <v>24.9</v>
      </c>
      <c r="E360" s="17">
        <v>25.95</v>
      </c>
      <c r="F360" s="6" t="s">
        <v>27</v>
      </c>
      <c r="G360" s="7">
        <v>9</v>
      </c>
      <c r="H360" s="7">
        <v>3</v>
      </c>
      <c r="I360" s="7"/>
      <c r="J360" s="8">
        <f t="shared" si="33"/>
        <v>12</v>
      </c>
      <c r="K360" s="9">
        <f t="shared" si="34"/>
        <v>277.68</v>
      </c>
      <c r="L360" s="5"/>
      <c r="M360" s="9"/>
      <c r="N360" s="9"/>
      <c r="O360" s="21"/>
      <c r="P360" s="21"/>
      <c r="Q360" s="21"/>
      <c r="R360" s="21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2.75" customHeight="1" x14ac:dyDescent="0.25">
      <c r="A361" s="3" t="s">
        <v>30</v>
      </c>
      <c r="B361" s="4" t="s">
        <v>312</v>
      </c>
      <c r="C361" s="5">
        <v>32.79</v>
      </c>
      <c r="D361" s="5">
        <v>37.5</v>
      </c>
      <c r="E361" s="32">
        <v>37.5</v>
      </c>
      <c r="F361" s="6" t="s">
        <v>27</v>
      </c>
      <c r="G361" s="7"/>
      <c r="H361" s="7"/>
      <c r="I361" s="7"/>
      <c r="J361" s="8">
        <f t="shared" si="33"/>
        <v>0</v>
      </c>
      <c r="K361" s="9">
        <f t="shared" si="34"/>
        <v>0</v>
      </c>
      <c r="L361" s="5"/>
      <c r="M361" s="9"/>
      <c r="N361" s="21"/>
      <c r="O361" s="21"/>
      <c r="P361" s="21"/>
      <c r="Q361" s="21"/>
      <c r="R361" s="21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2.75" customHeight="1" x14ac:dyDescent="0.25">
      <c r="A362" s="3" t="s">
        <v>30</v>
      </c>
      <c r="B362" s="4" t="s">
        <v>313</v>
      </c>
      <c r="C362" s="5">
        <v>21.32</v>
      </c>
      <c r="D362" s="26">
        <v>26.5</v>
      </c>
      <c r="E362" s="26">
        <v>26.5</v>
      </c>
      <c r="F362" s="6" t="s">
        <v>49</v>
      </c>
      <c r="G362" s="7">
        <v>1</v>
      </c>
      <c r="H362" s="7">
        <v>4</v>
      </c>
      <c r="I362" s="7"/>
      <c r="J362" s="8">
        <f t="shared" si="33"/>
        <v>5</v>
      </c>
      <c r="K362" s="9">
        <f t="shared" si="34"/>
        <v>106.6</v>
      </c>
      <c r="L362" s="5"/>
      <c r="M362" s="9"/>
      <c r="N362" s="21"/>
      <c r="O362" s="21"/>
      <c r="P362" s="21"/>
      <c r="Q362" s="21"/>
      <c r="R362" s="21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2.75" customHeight="1" x14ac:dyDescent="0.25">
      <c r="A363" s="3" t="s">
        <v>30</v>
      </c>
      <c r="B363" s="19" t="s">
        <v>314</v>
      </c>
      <c r="C363" s="5">
        <v>21.32</v>
      </c>
      <c r="D363" s="26">
        <v>26.5</v>
      </c>
      <c r="E363" s="26">
        <v>26.5</v>
      </c>
      <c r="F363" s="6" t="s">
        <v>49</v>
      </c>
      <c r="G363" s="7"/>
      <c r="H363" s="7">
        <v>4</v>
      </c>
      <c r="I363" s="7"/>
      <c r="J363" s="8">
        <f t="shared" si="33"/>
        <v>4</v>
      </c>
      <c r="K363" s="9">
        <f t="shared" si="34"/>
        <v>85.28</v>
      </c>
      <c r="L363" s="5"/>
      <c r="M363" s="9"/>
      <c r="N363" s="21"/>
      <c r="O363" s="21"/>
      <c r="P363" s="21"/>
      <c r="Q363" s="21"/>
      <c r="R363" s="21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2.75" customHeight="1" x14ac:dyDescent="0.25">
      <c r="A364" s="3" t="s">
        <v>30</v>
      </c>
      <c r="B364" s="4" t="s">
        <v>315</v>
      </c>
      <c r="C364" s="5">
        <v>21.32</v>
      </c>
      <c r="D364" s="26">
        <v>26.5</v>
      </c>
      <c r="E364" s="26">
        <v>26.5</v>
      </c>
      <c r="F364" s="6" t="s">
        <v>49</v>
      </c>
      <c r="G364" s="7">
        <v>1</v>
      </c>
      <c r="H364" s="7">
        <v>3</v>
      </c>
      <c r="I364" s="7"/>
      <c r="J364" s="8">
        <f t="shared" si="33"/>
        <v>4</v>
      </c>
      <c r="K364" s="9">
        <f t="shared" si="34"/>
        <v>85.28</v>
      </c>
      <c r="L364" s="5"/>
      <c r="M364" s="9"/>
      <c r="N364" s="21"/>
      <c r="O364" s="21"/>
      <c r="P364" s="21"/>
      <c r="Q364" s="21"/>
      <c r="R364" s="21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2.75" customHeight="1" x14ac:dyDescent="0.25">
      <c r="A365" s="3" t="s">
        <v>84</v>
      </c>
      <c r="B365" s="4" t="s">
        <v>315</v>
      </c>
      <c r="C365" s="5">
        <v>21.7</v>
      </c>
      <c r="D365" s="26">
        <v>22</v>
      </c>
      <c r="E365" s="26">
        <v>22</v>
      </c>
      <c r="F365" s="6" t="s">
        <v>27</v>
      </c>
      <c r="G365" s="7"/>
      <c r="H365" s="7">
        <v>1</v>
      </c>
      <c r="I365" s="7"/>
      <c r="J365" s="8">
        <f t="shared" si="33"/>
        <v>1</v>
      </c>
      <c r="K365" s="9">
        <f t="shared" si="34"/>
        <v>21.7</v>
      </c>
      <c r="L365" s="5"/>
      <c r="M365" s="9"/>
      <c r="N365" s="21"/>
      <c r="O365" s="21"/>
      <c r="P365" s="21"/>
      <c r="Q365" s="21"/>
      <c r="R365" s="21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2.75" customHeight="1" x14ac:dyDescent="0.25">
      <c r="A366" s="3" t="s">
        <v>30</v>
      </c>
      <c r="B366" s="19" t="s">
        <v>316</v>
      </c>
      <c r="C366" s="17">
        <v>14.69</v>
      </c>
      <c r="D366" s="17">
        <v>15.95</v>
      </c>
      <c r="E366" s="17">
        <v>15.95</v>
      </c>
      <c r="F366" s="6" t="s">
        <v>27</v>
      </c>
      <c r="G366" s="7"/>
      <c r="H366" s="7">
        <v>6</v>
      </c>
      <c r="I366" s="7"/>
      <c r="J366" s="8">
        <f t="shared" si="33"/>
        <v>6</v>
      </c>
      <c r="K366" s="9">
        <f t="shared" si="34"/>
        <v>88.14</v>
      </c>
      <c r="L366" s="5"/>
      <c r="M366" s="9"/>
      <c r="N366" s="21"/>
      <c r="O366" s="21"/>
      <c r="P366" s="21"/>
      <c r="Q366" s="21"/>
      <c r="R366" s="21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2.75" customHeight="1" x14ac:dyDescent="0.25">
      <c r="A367" s="3">
        <v>700</v>
      </c>
      <c r="B367" s="19" t="s">
        <v>317</v>
      </c>
      <c r="C367" s="17">
        <v>13.08</v>
      </c>
      <c r="D367" s="17">
        <v>15.95</v>
      </c>
      <c r="E367" s="17">
        <v>15.95</v>
      </c>
      <c r="F367" s="6" t="s">
        <v>27</v>
      </c>
      <c r="G367" s="7"/>
      <c r="H367" s="7">
        <v>2</v>
      </c>
      <c r="I367" s="7"/>
      <c r="J367" s="8">
        <f t="shared" si="33"/>
        <v>2</v>
      </c>
      <c r="K367" s="9">
        <f t="shared" si="34"/>
        <v>26.16</v>
      </c>
      <c r="L367" s="5"/>
      <c r="M367" s="9"/>
      <c r="N367" s="21"/>
      <c r="O367" s="21"/>
      <c r="P367" s="21"/>
      <c r="Q367" s="21"/>
      <c r="R367" s="21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2.75" customHeight="1" x14ac:dyDescent="0.25">
      <c r="A368" s="3" t="s">
        <v>30</v>
      </c>
      <c r="B368" s="19" t="s">
        <v>318</v>
      </c>
      <c r="C368" s="17">
        <v>15.68</v>
      </c>
      <c r="D368" s="17">
        <v>16.95</v>
      </c>
      <c r="E368" s="17">
        <v>16.95</v>
      </c>
      <c r="F368" s="6" t="s">
        <v>108</v>
      </c>
      <c r="G368" s="7"/>
      <c r="H368" s="7">
        <v>6</v>
      </c>
      <c r="I368" s="7"/>
      <c r="J368" s="8">
        <f t="shared" si="33"/>
        <v>6</v>
      </c>
      <c r="K368" s="9">
        <f t="shared" si="34"/>
        <v>94.08</v>
      </c>
      <c r="L368" s="5"/>
      <c r="M368" s="9"/>
      <c r="N368" s="9"/>
      <c r="O368" s="9"/>
      <c r="P368" s="9"/>
      <c r="Q368" s="9"/>
      <c r="R368" s="9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 spans="1:30" ht="12.75" customHeight="1" x14ac:dyDescent="0.25">
      <c r="A369" s="3">
        <v>700</v>
      </c>
      <c r="B369" s="19" t="s">
        <v>318</v>
      </c>
      <c r="C369" s="17">
        <v>14.3</v>
      </c>
      <c r="D369" s="17">
        <v>14.95</v>
      </c>
      <c r="E369" s="17">
        <v>14.95</v>
      </c>
      <c r="F369" s="6" t="s">
        <v>27</v>
      </c>
      <c r="G369" s="7"/>
      <c r="H369" s="7">
        <v>4</v>
      </c>
      <c r="I369" s="7"/>
      <c r="J369" s="8">
        <f t="shared" si="33"/>
        <v>4</v>
      </c>
      <c r="K369" s="9">
        <f t="shared" si="34"/>
        <v>57.2</v>
      </c>
      <c r="L369" s="5"/>
      <c r="M369" s="9"/>
      <c r="N369" s="9"/>
      <c r="O369" s="9"/>
      <c r="P369" s="9"/>
      <c r="Q369" s="9"/>
      <c r="R369" s="9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 spans="1:30" ht="12.75" customHeight="1" x14ac:dyDescent="0.25">
      <c r="A370" s="3"/>
      <c r="B370" s="19"/>
      <c r="C370" s="5"/>
      <c r="D370" s="5"/>
      <c r="E370" s="5"/>
      <c r="F370" s="6"/>
      <c r="G370" s="7"/>
      <c r="H370" s="7"/>
      <c r="I370" s="7"/>
      <c r="J370" s="8"/>
      <c r="K370" s="9"/>
      <c r="L370" s="5"/>
      <c r="M370" s="9"/>
      <c r="N370" s="21"/>
      <c r="O370" s="21"/>
      <c r="P370" s="21"/>
      <c r="Q370" s="21"/>
      <c r="R370" s="21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2.75" customHeight="1" x14ac:dyDescent="0.3">
      <c r="A371" s="3"/>
      <c r="B371" s="15" t="s">
        <v>319</v>
      </c>
      <c r="C371" s="5"/>
      <c r="D371" s="5"/>
      <c r="E371" s="5"/>
      <c r="F371" s="6"/>
      <c r="G371" s="7"/>
      <c r="H371" s="7"/>
      <c r="I371" s="7"/>
      <c r="J371" s="8"/>
      <c r="K371" s="9"/>
      <c r="L371" s="5"/>
      <c r="M371" s="9"/>
      <c r="N371" s="21"/>
      <c r="O371" s="21"/>
      <c r="P371" s="21"/>
      <c r="Q371" s="21"/>
      <c r="R371" s="21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2.75" customHeight="1" x14ac:dyDescent="0.25">
      <c r="A372" s="3"/>
      <c r="B372" s="4"/>
      <c r="C372" s="5"/>
      <c r="D372" s="5"/>
      <c r="E372" s="5"/>
      <c r="F372" s="6"/>
      <c r="G372" s="7"/>
      <c r="H372" s="7"/>
      <c r="I372" s="7"/>
      <c r="J372" s="8"/>
      <c r="K372" s="9"/>
      <c r="L372" s="5"/>
      <c r="M372" s="9"/>
      <c r="N372" s="9"/>
      <c r="O372" s="9"/>
      <c r="P372" s="9"/>
      <c r="Q372" s="9"/>
      <c r="R372" s="9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 spans="1:30" ht="12.75" customHeight="1" x14ac:dyDescent="0.25">
      <c r="A373" s="3" t="s">
        <v>13</v>
      </c>
      <c r="B373" s="4" t="s">
        <v>14</v>
      </c>
      <c r="C373" s="5"/>
      <c r="D373" s="5"/>
      <c r="E373" s="5"/>
      <c r="F373" s="6"/>
      <c r="G373" s="7"/>
      <c r="H373" s="7"/>
      <c r="I373" s="7"/>
      <c r="J373" s="8"/>
      <c r="K373" s="9"/>
      <c r="L373" s="5"/>
      <c r="M373" s="9"/>
      <c r="N373" s="9"/>
      <c r="O373" s="9"/>
      <c r="P373" s="9"/>
      <c r="Q373" s="9"/>
      <c r="R373" s="9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 spans="1:30" ht="12.75" customHeight="1" x14ac:dyDescent="0.25">
      <c r="A374" s="3" t="s">
        <v>30</v>
      </c>
      <c r="B374" s="4" t="s">
        <v>320</v>
      </c>
      <c r="C374" s="5">
        <v>21.71</v>
      </c>
      <c r="D374" s="5">
        <v>26</v>
      </c>
      <c r="E374" s="5">
        <v>26</v>
      </c>
      <c r="F374" s="6" t="s">
        <v>49</v>
      </c>
      <c r="G374" s="7"/>
      <c r="H374" s="7">
        <v>3</v>
      </c>
      <c r="J374" s="8">
        <f t="shared" ref="J374:J380" si="35">SUM(G374:I374)</f>
        <v>3</v>
      </c>
      <c r="K374" s="9">
        <f t="shared" ref="K374:K380" si="36">SUM(C374*J374)</f>
        <v>65.13</v>
      </c>
      <c r="L374" s="5"/>
      <c r="M374" s="9"/>
      <c r="N374" s="9"/>
      <c r="O374" s="9"/>
      <c r="P374" s="9"/>
      <c r="Q374" s="9"/>
      <c r="R374" s="9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 spans="1:30" ht="12.75" customHeight="1" x14ac:dyDescent="0.25">
      <c r="A375" s="3" t="s">
        <v>84</v>
      </c>
      <c r="B375" s="4" t="s">
        <v>320</v>
      </c>
      <c r="C375" s="5">
        <v>16.72</v>
      </c>
      <c r="D375" s="17">
        <v>22</v>
      </c>
      <c r="E375" s="17">
        <v>22.95</v>
      </c>
      <c r="F375" s="6" t="s">
        <v>49</v>
      </c>
      <c r="G375" s="7"/>
      <c r="H375" s="7"/>
      <c r="I375" s="7"/>
      <c r="J375" s="8">
        <f t="shared" si="35"/>
        <v>0</v>
      </c>
      <c r="K375" s="9">
        <f t="shared" si="36"/>
        <v>0</v>
      </c>
      <c r="L375" s="5"/>
      <c r="M375" s="9"/>
      <c r="N375" s="9"/>
      <c r="O375" s="9"/>
      <c r="P375" s="9"/>
      <c r="Q375" s="9"/>
      <c r="R375" s="9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 spans="1:30" ht="12.75" customHeight="1" x14ac:dyDescent="0.25">
      <c r="A376" s="3" t="s">
        <v>30</v>
      </c>
      <c r="B376" s="4" t="s">
        <v>321</v>
      </c>
      <c r="C376" s="5">
        <v>15.36</v>
      </c>
      <c r="D376" s="24">
        <v>18.95</v>
      </c>
      <c r="E376" s="5">
        <v>18.95</v>
      </c>
      <c r="F376" s="6" t="s">
        <v>49</v>
      </c>
      <c r="G376" s="7"/>
      <c r="H376" s="7">
        <v>5</v>
      </c>
      <c r="I376" s="7"/>
      <c r="J376" s="8">
        <f t="shared" si="35"/>
        <v>5</v>
      </c>
      <c r="K376" s="9">
        <f t="shared" si="36"/>
        <v>76.8</v>
      </c>
      <c r="L376" s="5"/>
      <c r="M376" s="9"/>
      <c r="N376" s="9"/>
      <c r="O376" s="9"/>
      <c r="P376" s="9"/>
      <c r="Q376" s="9"/>
      <c r="R376" s="9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 spans="1:30" ht="12.75" customHeight="1" x14ac:dyDescent="0.25">
      <c r="A377" s="3" t="s">
        <v>30</v>
      </c>
      <c r="B377" s="4" t="s">
        <v>322</v>
      </c>
      <c r="C377" s="17">
        <v>22.78</v>
      </c>
      <c r="D377" s="17">
        <v>24.5</v>
      </c>
      <c r="E377" s="17">
        <v>25</v>
      </c>
      <c r="F377" s="6" t="s">
        <v>27</v>
      </c>
      <c r="G377" s="7"/>
      <c r="H377" s="7">
        <v>8</v>
      </c>
      <c r="I377" s="7" t="s">
        <v>63</v>
      </c>
      <c r="J377" s="8">
        <f t="shared" si="35"/>
        <v>8</v>
      </c>
      <c r="K377" s="9">
        <f t="shared" si="36"/>
        <v>182.24</v>
      </c>
      <c r="L377" s="5"/>
      <c r="M377" s="9"/>
      <c r="N377" s="9"/>
      <c r="O377" s="9"/>
      <c r="P377" s="9"/>
      <c r="Q377" s="9"/>
      <c r="R377" s="9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 spans="1:30" ht="12.75" customHeight="1" x14ac:dyDescent="0.25">
      <c r="A378" s="3">
        <v>700</v>
      </c>
      <c r="B378" s="4" t="s">
        <v>322</v>
      </c>
      <c r="C378" s="5">
        <v>17.79</v>
      </c>
      <c r="D378" s="17">
        <v>19.95</v>
      </c>
      <c r="E378" s="17">
        <v>19.95</v>
      </c>
      <c r="F378" s="6" t="s">
        <v>27</v>
      </c>
      <c r="G378" s="7"/>
      <c r="H378" s="7">
        <v>3</v>
      </c>
      <c r="I378" s="7"/>
      <c r="J378" s="8">
        <f t="shared" si="35"/>
        <v>3</v>
      </c>
      <c r="K378" s="9">
        <f t="shared" si="36"/>
        <v>53.37</v>
      </c>
      <c r="L378" s="5"/>
      <c r="M378" s="9"/>
      <c r="N378" s="9"/>
      <c r="O378" s="9"/>
      <c r="P378" s="9"/>
      <c r="Q378" s="9"/>
      <c r="R378" s="9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 spans="1:30" ht="12.75" customHeight="1" x14ac:dyDescent="0.25">
      <c r="A379" s="3" t="s">
        <v>30</v>
      </c>
      <c r="B379" s="4" t="s">
        <v>323</v>
      </c>
      <c r="C379" s="5">
        <v>18.41</v>
      </c>
      <c r="D379" s="17">
        <v>19.95</v>
      </c>
      <c r="E379" s="17">
        <v>22</v>
      </c>
      <c r="F379" s="6" t="s">
        <v>27</v>
      </c>
      <c r="G379" s="7"/>
      <c r="H379" s="7">
        <v>2</v>
      </c>
      <c r="I379" s="7"/>
      <c r="J379" s="8">
        <f t="shared" si="35"/>
        <v>2</v>
      </c>
      <c r="K379" s="9">
        <f t="shared" si="36"/>
        <v>36.82</v>
      </c>
      <c r="L379" s="5"/>
      <c r="M379" s="9"/>
      <c r="N379" s="9"/>
      <c r="O379" s="9"/>
      <c r="P379" s="9"/>
      <c r="Q379" s="9"/>
      <c r="R379" s="9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 spans="1:30" ht="12.75" customHeight="1" x14ac:dyDescent="0.25">
      <c r="A380" s="3" t="s">
        <v>30</v>
      </c>
      <c r="B380" s="4" t="s">
        <v>324</v>
      </c>
      <c r="C380" s="17">
        <v>18.25</v>
      </c>
      <c r="D380" s="17">
        <v>19.95</v>
      </c>
      <c r="E380" s="17">
        <v>19.95</v>
      </c>
      <c r="F380" s="6" t="s">
        <v>27</v>
      </c>
      <c r="G380" s="7"/>
      <c r="H380" s="7">
        <v>1</v>
      </c>
      <c r="I380" s="7"/>
      <c r="J380" s="8">
        <f t="shared" si="35"/>
        <v>1</v>
      </c>
      <c r="K380" s="9">
        <f t="shared" si="36"/>
        <v>18.25</v>
      </c>
      <c r="L380" s="5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2.75" customHeight="1" x14ac:dyDescent="0.25">
      <c r="A381" s="10"/>
      <c r="B381" s="19"/>
      <c r="C381" s="5"/>
      <c r="D381" s="5"/>
      <c r="E381" s="5"/>
      <c r="F381" s="6"/>
      <c r="G381" s="7"/>
      <c r="H381" s="7"/>
      <c r="I381" s="7"/>
      <c r="J381" s="8"/>
      <c r="K381" s="9"/>
      <c r="L381" s="5"/>
      <c r="M381" s="9"/>
      <c r="N381" s="21"/>
      <c r="O381" s="20"/>
      <c r="P381" s="21"/>
      <c r="Q381" s="21"/>
      <c r="R381" s="21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2.75" customHeight="1" x14ac:dyDescent="0.3">
      <c r="A382" s="3"/>
      <c r="B382" s="15" t="s">
        <v>325</v>
      </c>
      <c r="C382" s="5"/>
      <c r="D382" s="5"/>
      <c r="E382" s="5"/>
      <c r="F382" s="6"/>
      <c r="G382" s="7"/>
      <c r="H382" s="7"/>
      <c r="I382" s="7"/>
      <c r="J382" s="8"/>
      <c r="K382" s="9"/>
      <c r="L382" s="5"/>
      <c r="M382" s="9"/>
      <c r="N382" s="21"/>
      <c r="O382" s="20"/>
      <c r="P382" s="21"/>
      <c r="Q382" s="21"/>
      <c r="R382" s="21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2.75" customHeight="1" x14ac:dyDescent="0.25">
      <c r="A383" s="3"/>
      <c r="B383" s="4"/>
      <c r="C383" s="5"/>
      <c r="D383" s="5"/>
      <c r="E383" s="5"/>
      <c r="F383" s="6"/>
      <c r="G383" s="7"/>
      <c r="H383" s="7"/>
      <c r="I383" s="7"/>
      <c r="J383" s="8"/>
      <c r="K383" s="9"/>
      <c r="L383" s="5"/>
      <c r="M383" s="9"/>
      <c r="N383" s="9"/>
      <c r="O383" s="9"/>
      <c r="P383" s="9"/>
      <c r="Q383" s="9"/>
      <c r="R383" s="9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 spans="1:30" ht="12.75" customHeight="1" x14ac:dyDescent="0.25">
      <c r="A384" s="3" t="s">
        <v>13</v>
      </c>
      <c r="B384" s="4" t="s">
        <v>14</v>
      </c>
      <c r="C384" s="10"/>
      <c r="D384" s="10"/>
      <c r="E384" s="10"/>
      <c r="F384" s="11"/>
      <c r="G384" s="12"/>
      <c r="H384" s="12"/>
      <c r="I384" s="12"/>
      <c r="J384" s="8"/>
      <c r="K384" s="9"/>
      <c r="L384" s="10"/>
      <c r="M384" s="9"/>
      <c r="N384" s="9"/>
      <c r="O384" s="9"/>
      <c r="P384" s="9"/>
      <c r="Q384" s="9"/>
      <c r="R384" s="9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 spans="1:30" ht="12.75" customHeight="1" x14ac:dyDescent="0.25">
      <c r="A385" s="3" t="s">
        <v>30</v>
      </c>
      <c r="B385" s="19" t="s">
        <v>326</v>
      </c>
      <c r="C385" s="17">
        <v>17.48</v>
      </c>
      <c r="D385" s="37">
        <v>18.95</v>
      </c>
      <c r="E385" s="37">
        <v>18.95</v>
      </c>
      <c r="F385" s="6" t="s">
        <v>27</v>
      </c>
      <c r="G385" s="7">
        <v>5</v>
      </c>
      <c r="H385" s="7">
        <v>4</v>
      </c>
      <c r="I385" s="7"/>
      <c r="J385" s="8">
        <f t="shared" ref="J385:J412" si="37">SUM(G385:I385)</f>
        <v>9</v>
      </c>
      <c r="K385" s="9">
        <f t="shared" ref="K385:K412" si="38">SUM(C385*J385)</f>
        <v>157.32</v>
      </c>
      <c r="L385" s="5"/>
      <c r="M385" s="9"/>
      <c r="N385" s="9"/>
      <c r="O385" s="9"/>
      <c r="P385" s="21"/>
      <c r="Q385" s="21"/>
      <c r="R385" s="21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2.75" customHeight="1" x14ac:dyDescent="0.25">
      <c r="A386" s="3">
        <v>700</v>
      </c>
      <c r="B386" s="19" t="s">
        <v>327</v>
      </c>
      <c r="C386" s="17">
        <v>12.57</v>
      </c>
      <c r="D386" s="17">
        <v>13.95</v>
      </c>
      <c r="E386" s="17">
        <v>13.95</v>
      </c>
      <c r="F386" s="6" t="s">
        <v>27</v>
      </c>
      <c r="G386" s="7"/>
      <c r="H386" s="7"/>
      <c r="I386" s="7"/>
      <c r="J386" s="8">
        <f t="shared" si="37"/>
        <v>0</v>
      </c>
      <c r="K386" s="9">
        <f t="shared" si="38"/>
        <v>0</v>
      </c>
      <c r="L386" s="5"/>
      <c r="M386" s="9"/>
      <c r="N386" s="9"/>
      <c r="O386" s="9"/>
      <c r="P386" s="21"/>
      <c r="Q386" s="21"/>
      <c r="R386" s="21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2.75" customHeight="1" x14ac:dyDescent="0.25">
      <c r="A387" s="3" t="s">
        <v>30</v>
      </c>
      <c r="B387" s="19" t="s">
        <v>328</v>
      </c>
      <c r="C387" s="17">
        <v>12.29</v>
      </c>
      <c r="D387" s="17">
        <v>13.95</v>
      </c>
      <c r="E387" s="17">
        <v>13.95</v>
      </c>
      <c r="F387" s="6" t="s">
        <v>27</v>
      </c>
      <c r="G387" s="7"/>
      <c r="H387" s="7">
        <v>9</v>
      </c>
      <c r="I387" s="7"/>
      <c r="J387" s="8">
        <f t="shared" si="37"/>
        <v>9</v>
      </c>
      <c r="K387" s="9">
        <f t="shared" si="38"/>
        <v>110.60999999999999</v>
      </c>
      <c r="L387" s="5"/>
      <c r="M387" s="9"/>
      <c r="N387" s="21"/>
      <c r="O387" s="21"/>
      <c r="P387" s="21"/>
      <c r="Q387" s="21"/>
      <c r="R387" s="21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2.75" customHeight="1" x14ac:dyDescent="0.25">
      <c r="A388" s="3">
        <v>700</v>
      </c>
      <c r="B388" s="19" t="s">
        <v>329</v>
      </c>
      <c r="C388" s="5">
        <v>35.479999999999997</v>
      </c>
      <c r="D388" s="17">
        <v>37.5</v>
      </c>
      <c r="E388" s="17">
        <v>37.5</v>
      </c>
      <c r="F388" s="6" t="s">
        <v>27</v>
      </c>
      <c r="G388" s="7"/>
      <c r="H388" s="7">
        <v>2</v>
      </c>
      <c r="I388" s="7"/>
      <c r="J388" s="8">
        <f t="shared" si="37"/>
        <v>2</v>
      </c>
      <c r="K388" s="9">
        <f t="shared" si="38"/>
        <v>70.959999999999994</v>
      </c>
      <c r="L388" s="5"/>
      <c r="M388" s="9"/>
      <c r="N388" s="21"/>
      <c r="O388" s="21"/>
      <c r="P388" s="21"/>
      <c r="Q388" s="21"/>
      <c r="R388" s="21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2.75" customHeight="1" x14ac:dyDescent="0.25">
      <c r="A389" s="3" t="s">
        <v>30</v>
      </c>
      <c r="B389" s="19" t="s">
        <v>330</v>
      </c>
      <c r="C389" s="17">
        <v>28.13</v>
      </c>
      <c r="D389" s="17">
        <v>32</v>
      </c>
      <c r="E389" s="17">
        <v>32</v>
      </c>
      <c r="F389" s="6" t="s">
        <v>49</v>
      </c>
      <c r="G389" s="7"/>
      <c r="H389" s="7"/>
      <c r="I389" s="7"/>
      <c r="J389" s="8">
        <f t="shared" si="37"/>
        <v>0</v>
      </c>
      <c r="K389" s="9">
        <f t="shared" si="38"/>
        <v>0</v>
      </c>
      <c r="L389" s="5"/>
      <c r="M389" s="9"/>
      <c r="N389" s="21"/>
      <c r="O389" s="21"/>
      <c r="P389" s="21"/>
      <c r="Q389" s="21"/>
      <c r="R389" s="21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2.75" customHeight="1" x14ac:dyDescent="0.25">
      <c r="A390" s="3" t="s">
        <v>30</v>
      </c>
      <c r="B390" s="19" t="s">
        <v>331</v>
      </c>
      <c r="C390" s="17">
        <v>13.43</v>
      </c>
      <c r="D390" s="17">
        <v>15.9</v>
      </c>
      <c r="E390" s="17">
        <v>15.9</v>
      </c>
      <c r="F390" s="6" t="s">
        <v>49</v>
      </c>
      <c r="G390" s="7"/>
      <c r="H390" s="7">
        <v>3</v>
      </c>
      <c r="I390" s="7"/>
      <c r="J390" s="8">
        <f t="shared" si="37"/>
        <v>3</v>
      </c>
      <c r="K390" s="9">
        <f t="shared" si="38"/>
        <v>40.29</v>
      </c>
      <c r="L390" s="5"/>
      <c r="M390" s="9"/>
      <c r="N390" s="21"/>
      <c r="O390" s="21"/>
      <c r="P390" s="21"/>
      <c r="Q390" s="21"/>
      <c r="R390" s="21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2.75" customHeight="1" x14ac:dyDescent="0.25">
      <c r="A391" s="3" t="s">
        <v>30</v>
      </c>
      <c r="B391" s="4" t="s">
        <v>332</v>
      </c>
      <c r="C391" s="17">
        <v>14.3</v>
      </c>
      <c r="D391" s="17">
        <v>15.5</v>
      </c>
      <c r="E391" s="17">
        <v>15.95</v>
      </c>
      <c r="F391" s="6" t="s">
        <v>27</v>
      </c>
      <c r="G391" s="7"/>
      <c r="H391" s="7">
        <v>11</v>
      </c>
      <c r="I391" s="7"/>
      <c r="J391" s="8">
        <f t="shared" si="37"/>
        <v>11</v>
      </c>
      <c r="K391" s="9">
        <f t="shared" si="38"/>
        <v>157.30000000000001</v>
      </c>
      <c r="L391" s="5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2.75" customHeight="1" x14ac:dyDescent="0.25">
      <c r="A392" s="3" t="s">
        <v>30</v>
      </c>
      <c r="B392" s="19" t="s">
        <v>333</v>
      </c>
      <c r="C392" s="5">
        <v>14.21</v>
      </c>
      <c r="D392" s="17">
        <v>18.95</v>
      </c>
      <c r="E392" s="17">
        <v>18.95</v>
      </c>
      <c r="F392" s="6" t="s">
        <v>108</v>
      </c>
      <c r="G392" s="7">
        <v>5</v>
      </c>
      <c r="H392" s="7">
        <v>7</v>
      </c>
      <c r="I392" s="7"/>
      <c r="J392" s="8">
        <f t="shared" si="37"/>
        <v>12</v>
      </c>
      <c r="K392" s="9">
        <f t="shared" si="38"/>
        <v>170.52</v>
      </c>
      <c r="L392" s="5"/>
      <c r="M392" s="9"/>
      <c r="N392" s="21"/>
      <c r="O392" s="21"/>
      <c r="P392" s="21"/>
      <c r="Q392" s="21"/>
      <c r="R392" s="21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2.75" customHeight="1" x14ac:dyDescent="0.25">
      <c r="A393" s="3" t="s">
        <v>84</v>
      </c>
      <c r="B393" s="19" t="s">
        <v>333</v>
      </c>
      <c r="C393" s="5">
        <v>14.16</v>
      </c>
      <c r="D393" s="17">
        <v>15.95</v>
      </c>
      <c r="E393" s="17">
        <v>15.95</v>
      </c>
      <c r="F393" s="6" t="s">
        <v>27</v>
      </c>
      <c r="G393" s="7"/>
      <c r="H393" s="7"/>
      <c r="I393" s="7"/>
      <c r="J393" s="8">
        <f t="shared" si="37"/>
        <v>0</v>
      </c>
      <c r="K393" s="9">
        <f t="shared" si="38"/>
        <v>0</v>
      </c>
      <c r="L393" s="5"/>
      <c r="M393" s="9"/>
      <c r="N393" s="21"/>
      <c r="O393" s="21"/>
      <c r="P393" s="21"/>
      <c r="Q393" s="21"/>
      <c r="R393" s="21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2.75" customHeight="1" x14ac:dyDescent="0.25">
      <c r="A394" s="3">
        <v>700</v>
      </c>
      <c r="B394" s="19" t="s">
        <v>334</v>
      </c>
      <c r="C394" s="17">
        <v>33.68</v>
      </c>
      <c r="D394" s="17">
        <v>35</v>
      </c>
      <c r="E394" s="37">
        <v>36</v>
      </c>
      <c r="F394" s="6" t="s">
        <v>27</v>
      </c>
      <c r="G394" s="7"/>
      <c r="H394" s="7">
        <v>7</v>
      </c>
      <c r="I394" s="7"/>
      <c r="J394" s="8">
        <f t="shared" si="37"/>
        <v>7</v>
      </c>
      <c r="K394" s="9">
        <f t="shared" si="38"/>
        <v>235.76</v>
      </c>
      <c r="L394" s="5"/>
      <c r="M394" s="9"/>
      <c r="N394" s="21"/>
      <c r="O394" s="21"/>
      <c r="P394" s="21"/>
      <c r="Q394" s="21"/>
      <c r="R394" s="21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2.75" customHeight="1" x14ac:dyDescent="0.25">
      <c r="A395" s="3">
        <v>700</v>
      </c>
      <c r="B395" s="19" t="s">
        <v>335</v>
      </c>
      <c r="C395" s="5">
        <v>30.12</v>
      </c>
      <c r="D395" s="37">
        <v>36</v>
      </c>
      <c r="E395" s="37">
        <v>36</v>
      </c>
      <c r="F395" s="6" t="s">
        <v>49</v>
      </c>
      <c r="G395" s="7"/>
      <c r="H395" s="7">
        <v>1</v>
      </c>
      <c r="I395" s="7"/>
      <c r="J395" s="8">
        <f t="shared" si="37"/>
        <v>1</v>
      </c>
      <c r="K395" s="9">
        <f t="shared" si="38"/>
        <v>30.12</v>
      </c>
      <c r="L395" s="5"/>
      <c r="M395" s="9"/>
      <c r="N395" s="21"/>
      <c r="O395" s="21"/>
      <c r="P395" s="21"/>
      <c r="Q395" s="21"/>
      <c r="R395" s="21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2.75" customHeight="1" x14ac:dyDescent="0.25">
      <c r="A396" s="3" t="s">
        <v>84</v>
      </c>
      <c r="B396" s="19" t="s">
        <v>336</v>
      </c>
      <c r="C396" s="5">
        <v>33.14</v>
      </c>
      <c r="D396" s="37">
        <v>37</v>
      </c>
      <c r="E396" s="37">
        <v>37.5</v>
      </c>
      <c r="F396" s="6" t="s">
        <v>49</v>
      </c>
      <c r="G396" s="7"/>
      <c r="H396" s="7">
        <v>0</v>
      </c>
      <c r="I396" s="7"/>
      <c r="J396" s="8">
        <f t="shared" si="37"/>
        <v>0</v>
      </c>
      <c r="K396" s="9">
        <f t="shared" si="38"/>
        <v>0</v>
      </c>
      <c r="L396" s="5"/>
      <c r="M396" s="9"/>
      <c r="N396" s="21"/>
      <c r="O396" s="21"/>
      <c r="P396" s="21"/>
      <c r="Q396" s="21"/>
      <c r="R396" s="21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2.75" customHeight="1" x14ac:dyDescent="0.25">
      <c r="A397" s="3" t="s">
        <v>30</v>
      </c>
      <c r="B397" s="19" t="s">
        <v>337</v>
      </c>
      <c r="C397" s="5">
        <v>10</v>
      </c>
      <c r="D397" s="5">
        <v>10.95</v>
      </c>
      <c r="E397" s="17">
        <v>10.95</v>
      </c>
      <c r="F397" s="6" t="s">
        <v>168</v>
      </c>
      <c r="G397" s="7"/>
      <c r="H397" s="7">
        <v>2</v>
      </c>
      <c r="I397" s="7"/>
      <c r="J397" s="8">
        <f t="shared" si="37"/>
        <v>2</v>
      </c>
      <c r="K397" s="9">
        <f t="shared" si="38"/>
        <v>20</v>
      </c>
      <c r="L397" s="5"/>
      <c r="M397" s="9"/>
      <c r="N397" s="21"/>
      <c r="O397" s="21"/>
      <c r="P397" s="21"/>
      <c r="Q397" s="21"/>
      <c r="R397" s="21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2.75" customHeight="1" x14ac:dyDescent="0.25">
      <c r="A398" s="3" t="s">
        <v>30</v>
      </c>
      <c r="B398" s="19" t="s">
        <v>338</v>
      </c>
      <c r="C398" s="17">
        <v>12.08</v>
      </c>
      <c r="D398" s="17">
        <v>13.95</v>
      </c>
      <c r="E398" s="17">
        <v>13.95</v>
      </c>
      <c r="F398" s="6" t="s">
        <v>27</v>
      </c>
      <c r="G398" s="7"/>
      <c r="H398" s="7">
        <v>2</v>
      </c>
      <c r="I398" s="7"/>
      <c r="J398" s="8">
        <f t="shared" si="37"/>
        <v>2</v>
      </c>
      <c r="K398" s="9">
        <f t="shared" si="38"/>
        <v>24.16</v>
      </c>
      <c r="L398" s="5"/>
      <c r="M398" s="9"/>
      <c r="N398" s="21"/>
      <c r="O398" s="21"/>
      <c r="P398" s="21"/>
      <c r="Q398" s="21"/>
      <c r="R398" s="21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2.75" customHeight="1" x14ac:dyDescent="0.25">
      <c r="A399" s="3" t="s">
        <v>30</v>
      </c>
      <c r="B399" s="19" t="s">
        <v>339</v>
      </c>
      <c r="C399" s="5">
        <v>9.57</v>
      </c>
      <c r="D399" s="5">
        <v>10.95</v>
      </c>
      <c r="E399" s="5">
        <v>10.95</v>
      </c>
      <c r="F399" s="6" t="s">
        <v>27</v>
      </c>
      <c r="G399" s="7">
        <v>7</v>
      </c>
      <c r="H399" s="7">
        <v>4</v>
      </c>
      <c r="I399" s="7"/>
      <c r="J399" s="8">
        <f t="shared" si="37"/>
        <v>11</v>
      </c>
      <c r="K399" s="9">
        <f t="shared" si="38"/>
        <v>105.27000000000001</v>
      </c>
      <c r="L399" s="5"/>
      <c r="M399" s="9"/>
      <c r="N399" s="21"/>
      <c r="O399" s="21"/>
      <c r="P399" s="21"/>
      <c r="Q399" s="21"/>
      <c r="R399" s="21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2.75" customHeight="1" x14ac:dyDescent="0.25">
      <c r="A400" s="3" t="s">
        <v>30</v>
      </c>
      <c r="B400" s="19" t="s">
        <v>340</v>
      </c>
      <c r="C400" s="5">
        <v>16.559999999999999</v>
      </c>
      <c r="D400" s="17">
        <v>17.95</v>
      </c>
      <c r="E400" s="31">
        <v>18.5</v>
      </c>
      <c r="F400" s="6" t="s">
        <v>27</v>
      </c>
      <c r="G400" s="7"/>
      <c r="H400" s="7">
        <v>5</v>
      </c>
      <c r="I400" s="7"/>
      <c r="J400" s="8">
        <f t="shared" si="37"/>
        <v>5</v>
      </c>
      <c r="K400" s="9">
        <f t="shared" si="38"/>
        <v>82.8</v>
      </c>
      <c r="L400" s="5"/>
      <c r="M400" s="9"/>
      <c r="N400" s="21"/>
      <c r="O400" s="21"/>
      <c r="P400" s="21"/>
      <c r="Q400" s="21"/>
      <c r="R400" s="21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2.75" customHeight="1" x14ac:dyDescent="0.25">
      <c r="A401" s="3">
        <v>700</v>
      </c>
      <c r="B401" s="19" t="s">
        <v>341</v>
      </c>
      <c r="C401" s="5">
        <v>11.98</v>
      </c>
      <c r="D401" s="17">
        <v>12.95</v>
      </c>
      <c r="E401" s="17">
        <v>13.95</v>
      </c>
      <c r="F401" s="6" t="s">
        <v>27</v>
      </c>
      <c r="G401" s="7"/>
      <c r="H401" s="7">
        <v>4</v>
      </c>
      <c r="I401" s="7"/>
      <c r="J401" s="8">
        <f t="shared" si="37"/>
        <v>4</v>
      </c>
      <c r="K401" s="9">
        <f t="shared" si="38"/>
        <v>47.92</v>
      </c>
      <c r="L401" s="5"/>
      <c r="M401" s="9"/>
      <c r="N401" s="21"/>
      <c r="O401" s="21"/>
      <c r="P401" s="21"/>
      <c r="Q401" s="21"/>
      <c r="R401" s="21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2.75" customHeight="1" x14ac:dyDescent="0.25">
      <c r="A402" s="3">
        <v>700</v>
      </c>
      <c r="B402" s="19" t="s">
        <v>342</v>
      </c>
      <c r="C402" s="5">
        <v>19.84</v>
      </c>
      <c r="D402" s="5">
        <v>25</v>
      </c>
      <c r="E402" s="5">
        <v>27.5</v>
      </c>
      <c r="F402" s="6" t="s">
        <v>27</v>
      </c>
      <c r="G402" s="7"/>
      <c r="H402" s="7">
        <v>0</v>
      </c>
      <c r="I402" s="7"/>
      <c r="J402" s="8">
        <f t="shared" si="37"/>
        <v>0</v>
      </c>
      <c r="K402" s="9">
        <f t="shared" si="38"/>
        <v>0</v>
      </c>
      <c r="L402" s="5"/>
      <c r="M402" s="9"/>
      <c r="N402" s="21"/>
      <c r="O402" s="21"/>
      <c r="P402" s="21"/>
      <c r="Q402" s="21"/>
      <c r="R402" s="21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2.75" customHeight="1" x14ac:dyDescent="0.25">
      <c r="A403" s="3" t="s">
        <v>30</v>
      </c>
      <c r="B403" s="19" t="s">
        <v>342</v>
      </c>
      <c r="C403" s="5">
        <v>26.13</v>
      </c>
      <c r="D403" s="5">
        <v>32</v>
      </c>
      <c r="E403" s="5">
        <v>35</v>
      </c>
      <c r="F403" s="6" t="s">
        <v>49</v>
      </c>
      <c r="G403" s="7"/>
      <c r="H403" s="7"/>
      <c r="I403" s="7"/>
      <c r="J403" s="8">
        <f t="shared" si="37"/>
        <v>0</v>
      </c>
      <c r="K403" s="9">
        <f t="shared" si="38"/>
        <v>0</v>
      </c>
      <c r="L403" s="5"/>
      <c r="M403" s="9"/>
      <c r="N403" s="21"/>
      <c r="O403" s="21"/>
      <c r="P403" s="21"/>
      <c r="Q403" s="21"/>
      <c r="R403" s="21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2.75" customHeight="1" x14ac:dyDescent="0.25">
      <c r="A404" s="3" t="s">
        <v>30</v>
      </c>
      <c r="B404" s="19" t="s">
        <v>343</v>
      </c>
      <c r="C404" s="5">
        <v>17.43</v>
      </c>
      <c r="D404" s="17">
        <v>17.95</v>
      </c>
      <c r="E404" s="17">
        <v>18.5</v>
      </c>
      <c r="F404" s="6" t="s">
        <v>27</v>
      </c>
      <c r="G404" s="7"/>
      <c r="H404" s="7">
        <v>8</v>
      </c>
      <c r="I404" s="7"/>
      <c r="J404" s="8">
        <f t="shared" si="37"/>
        <v>8</v>
      </c>
      <c r="K404" s="9">
        <f t="shared" si="38"/>
        <v>139.44</v>
      </c>
      <c r="L404" s="5"/>
      <c r="M404" s="9"/>
      <c r="N404" s="21"/>
      <c r="O404" s="21"/>
      <c r="P404" s="21"/>
      <c r="Q404" s="21"/>
      <c r="R404" s="21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2.75" customHeight="1" x14ac:dyDescent="0.25">
      <c r="A405" s="3">
        <v>700</v>
      </c>
      <c r="B405" s="19" t="s">
        <v>343</v>
      </c>
      <c r="C405" s="5">
        <v>11.97</v>
      </c>
      <c r="D405" s="5">
        <v>13.5</v>
      </c>
      <c r="E405" s="5">
        <v>13.5</v>
      </c>
      <c r="F405" s="6" t="s">
        <v>27</v>
      </c>
      <c r="G405" s="7"/>
      <c r="H405" s="7"/>
      <c r="I405" s="7"/>
      <c r="J405" s="8">
        <f t="shared" si="37"/>
        <v>0</v>
      </c>
      <c r="K405" s="9">
        <f t="shared" si="38"/>
        <v>0</v>
      </c>
      <c r="L405" s="5"/>
      <c r="M405" s="9"/>
      <c r="N405" s="21"/>
      <c r="O405" s="21"/>
      <c r="P405" s="21"/>
      <c r="Q405" s="21"/>
      <c r="R405" s="21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2.75" customHeight="1" x14ac:dyDescent="0.25">
      <c r="A406" s="3">
        <v>700</v>
      </c>
      <c r="B406" s="19" t="s">
        <v>344</v>
      </c>
      <c r="C406" s="17">
        <v>144.22999999999999</v>
      </c>
      <c r="D406" s="17">
        <v>175</v>
      </c>
      <c r="E406" s="17">
        <v>175</v>
      </c>
      <c r="F406" s="6" t="s">
        <v>49</v>
      </c>
      <c r="G406" s="7"/>
      <c r="H406" s="7">
        <v>0</v>
      </c>
      <c r="I406" s="7"/>
      <c r="J406" s="8">
        <f t="shared" si="37"/>
        <v>0</v>
      </c>
      <c r="K406" s="9">
        <f t="shared" si="38"/>
        <v>0</v>
      </c>
      <c r="L406" s="5"/>
      <c r="M406" s="9"/>
      <c r="N406" s="21"/>
      <c r="O406" s="21"/>
      <c r="P406" s="21"/>
      <c r="Q406" s="21"/>
      <c r="R406" s="21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2.75" customHeight="1" x14ac:dyDescent="0.25">
      <c r="A407" s="3">
        <v>700</v>
      </c>
      <c r="B407" s="19" t="s">
        <v>345</v>
      </c>
      <c r="C407" s="17">
        <v>57.7</v>
      </c>
      <c r="D407" s="17">
        <v>75</v>
      </c>
      <c r="E407" s="17">
        <v>78</v>
      </c>
      <c r="F407" s="6" t="s">
        <v>49</v>
      </c>
      <c r="G407" s="7"/>
      <c r="H407" s="7"/>
      <c r="I407" s="7"/>
      <c r="J407" s="8">
        <f t="shared" si="37"/>
        <v>0</v>
      </c>
      <c r="K407" s="9">
        <f t="shared" si="38"/>
        <v>0</v>
      </c>
      <c r="L407" s="5"/>
      <c r="M407" s="9"/>
      <c r="N407" s="21"/>
      <c r="O407" s="21"/>
      <c r="P407" s="21"/>
      <c r="Q407" s="21"/>
      <c r="R407" s="21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2.75" customHeight="1" x14ac:dyDescent="0.25">
      <c r="A408" s="3" t="s">
        <v>30</v>
      </c>
      <c r="B408" s="19" t="s">
        <v>346</v>
      </c>
      <c r="C408" s="17">
        <v>47.21</v>
      </c>
      <c r="D408" s="17">
        <v>50</v>
      </c>
      <c r="E408" s="17">
        <v>50</v>
      </c>
      <c r="F408" s="6" t="s">
        <v>49</v>
      </c>
      <c r="G408" s="7"/>
      <c r="H408" s="7"/>
      <c r="I408" s="7"/>
      <c r="J408" s="8">
        <f t="shared" si="37"/>
        <v>0</v>
      </c>
      <c r="K408" s="9">
        <f t="shared" si="38"/>
        <v>0</v>
      </c>
      <c r="L408" s="5"/>
      <c r="M408" s="9"/>
      <c r="N408" s="21"/>
      <c r="O408" s="21"/>
      <c r="P408" s="21"/>
      <c r="Q408" s="21"/>
      <c r="R408" s="21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2.75" customHeight="1" x14ac:dyDescent="0.25">
      <c r="A409" s="3">
        <v>700</v>
      </c>
      <c r="B409" s="19" t="s">
        <v>346</v>
      </c>
      <c r="C409" s="17">
        <v>31.85</v>
      </c>
      <c r="D409" s="17">
        <v>38</v>
      </c>
      <c r="E409" s="17">
        <v>40</v>
      </c>
      <c r="F409" s="6" t="s">
        <v>49</v>
      </c>
      <c r="G409" s="7"/>
      <c r="H409" s="7"/>
      <c r="I409" s="7"/>
      <c r="J409" s="8">
        <f t="shared" si="37"/>
        <v>0</v>
      </c>
      <c r="K409" s="9">
        <f t="shared" si="38"/>
        <v>0</v>
      </c>
      <c r="L409" s="5"/>
      <c r="M409" s="9"/>
      <c r="N409" s="21"/>
      <c r="O409" s="21"/>
      <c r="P409" s="21"/>
      <c r="Q409" s="21"/>
      <c r="R409" s="21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2.75" customHeight="1" x14ac:dyDescent="0.25">
      <c r="A410" s="3" t="s">
        <v>30</v>
      </c>
      <c r="B410" s="19" t="s">
        <v>347</v>
      </c>
      <c r="C410" s="17">
        <v>13.9</v>
      </c>
      <c r="D410" s="17">
        <v>17.5</v>
      </c>
      <c r="E410" s="17">
        <v>17.5</v>
      </c>
      <c r="F410" s="6" t="s">
        <v>49</v>
      </c>
      <c r="G410" s="7"/>
      <c r="H410" s="7">
        <v>0</v>
      </c>
      <c r="I410" s="7"/>
      <c r="J410" s="8">
        <f t="shared" si="37"/>
        <v>0</v>
      </c>
      <c r="K410" s="9">
        <f t="shared" si="38"/>
        <v>0</v>
      </c>
      <c r="L410" s="5"/>
      <c r="M410" s="9"/>
      <c r="N410" s="21"/>
      <c r="O410" s="21"/>
      <c r="P410" s="21"/>
      <c r="Q410" s="21"/>
      <c r="R410" s="21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2.75" customHeight="1" x14ac:dyDescent="0.25">
      <c r="A411" s="3" t="s">
        <v>30</v>
      </c>
      <c r="B411" s="19" t="s">
        <v>348</v>
      </c>
      <c r="C411" s="17">
        <v>13.32</v>
      </c>
      <c r="D411" s="17">
        <v>14.95</v>
      </c>
      <c r="E411" s="17">
        <v>14.95</v>
      </c>
      <c r="F411" s="6" t="s">
        <v>49</v>
      </c>
      <c r="G411" s="7"/>
      <c r="H411" s="7"/>
      <c r="I411" s="7"/>
      <c r="J411" s="8">
        <f t="shared" si="37"/>
        <v>0</v>
      </c>
      <c r="K411" s="9">
        <f t="shared" si="38"/>
        <v>0</v>
      </c>
      <c r="L411" s="5"/>
      <c r="M411" s="9"/>
      <c r="N411" s="9"/>
      <c r="O411" s="9"/>
      <c r="P411" s="9"/>
      <c r="Q411" s="9"/>
      <c r="R411" s="9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 spans="1:30" ht="12.75" customHeight="1" x14ac:dyDescent="0.25">
      <c r="A412" s="3" t="s">
        <v>84</v>
      </c>
      <c r="B412" s="4" t="s">
        <v>349</v>
      </c>
      <c r="C412" s="5">
        <v>10.01</v>
      </c>
      <c r="D412" s="17">
        <v>10.95</v>
      </c>
      <c r="E412" s="17">
        <v>10.95</v>
      </c>
      <c r="F412" s="6" t="s">
        <v>27</v>
      </c>
      <c r="G412" s="7"/>
      <c r="H412" s="7">
        <v>2</v>
      </c>
      <c r="I412" s="7"/>
      <c r="J412" s="8">
        <f t="shared" si="37"/>
        <v>2</v>
      </c>
      <c r="K412" s="9">
        <f t="shared" si="38"/>
        <v>20.02</v>
      </c>
      <c r="L412" s="5"/>
      <c r="M412" s="9"/>
      <c r="N412" s="9"/>
      <c r="O412" s="9"/>
      <c r="P412" s="9"/>
      <c r="Q412" s="9"/>
      <c r="R412" s="9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 spans="1:30" ht="12.75" customHeight="1" x14ac:dyDescent="0.25">
      <c r="A413" s="3"/>
      <c r="B413" s="4"/>
      <c r="C413" s="5"/>
      <c r="D413" s="5"/>
      <c r="E413" s="5"/>
      <c r="F413" s="6"/>
      <c r="G413" s="7"/>
      <c r="H413" s="7"/>
      <c r="I413" s="7"/>
      <c r="J413" s="8"/>
      <c r="K413" s="9"/>
      <c r="L413" s="5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2.75" customHeight="1" x14ac:dyDescent="0.25">
      <c r="A414" s="3"/>
      <c r="B414" s="19"/>
      <c r="C414" s="5"/>
      <c r="D414" s="5"/>
      <c r="E414" s="5"/>
      <c r="F414" s="6"/>
      <c r="G414" s="7"/>
      <c r="H414" s="7"/>
      <c r="I414" s="7"/>
      <c r="J414" s="8"/>
      <c r="K414" s="9"/>
      <c r="L414" s="5"/>
      <c r="M414" s="9"/>
      <c r="N414" s="21"/>
      <c r="O414" s="21"/>
      <c r="P414" s="21"/>
      <c r="Q414" s="21"/>
      <c r="R414" s="21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2.75" customHeight="1" x14ac:dyDescent="0.25">
      <c r="A415" s="3"/>
      <c r="B415" s="19"/>
      <c r="C415" s="5"/>
      <c r="D415" s="5"/>
      <c r="E415" s="5"/>
      <c r="F415" s="6"/>
      <c r="G415" s="7"/>
      <c r="H415" s="7"/>
      <c r="I415" s="7"/>
      <c r="J415" s="8"/>
      <c r="K415" s="9"/>
      <c r="L415" s="5"/>
      <c r="M415" s="9"/>
      <c r="N415" s="21"/>
      <c r="O415" s="20"/>
      <c r="P415" s="21"/>
      <c r="Q415" s="21"/>
      <c r="R415" s="21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2.75" customHeight="1" x14ac:dyDescent="0.25">
      <c r="A416" s="3"/>
      <c r="B416" s="19"/>
      <c r="C416" s="5"/>
      <c r="D416" s="5"/>
      <c r="E416" s="5"/>
      <c r="F416" s="6"/>
      <c r="G416" s="7"/>
      <c r="H416" s="7"/>
      <c r="I416" s="7"/>
      <c r="J416" s="8"/>
      <c r="K416" s="9"/>
      <c r="L416" s="5"/>
      <c r="M416" s="9"/>
      <c r="N416" s="21"/>
      <c r="O416" s="20"/>
      <c r="P416" s="21"/>
      <c r="Q416" s="21"/>
      <c r="R416" s="21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2.75" customHeight="1" x14ac:dyDescent="0.25">
      <c r="A417" s="3"/>
      <c r="B417" s="19"/>
      <c r="C417" s="5"/>
      <c r="D417" s="5"/>
      <c r="E417" s="5"/>
      <c r="F417" s="6"/>
      <c r="G417" s="7"/>
      <c r="H417" s="7"/>
      <c r="I417" s="7"/>
      <c r="J417" s="8"/>
      <c r="K417" s="9"/>
      <c r="L417" s="5"/>
      <c r="M417" s="9"/>
      <c r="N417" s="21"/>
      <c r="O417" s="20"/>
      <c r="P417" s="21"/>
      <c r="Q417" s="21"/>
      <c r="R417" s="21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2.75" customHeight="1" x14ac:dyDescent="0.25">
      <c r="A418" s="3"/>
      <c r="B418" s="19"/>
      <c r="C418" s="5"/>
      <c r="D418" s="5"/>
      <c r="E418" s="5"/>
      <c r="F418" s="6"/>
      <c r="G418" s="7"/>
      <c r="H418" s="7"/>
      <c r="I418" s="7"/>
      <c r="J418" s="8"/>
      <c r="K418" s="9"/>
      <c r="L418" s="5"/>
      <c r="M418" s="9"/>
      <c r="N418" s="21"/>
      <c r="O418" s="20"/>
      <c r="P418" s="21"/>
      <c r="Q418" s="21"/>
      <c r="R418" s="21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2.75" customHeight="1" x14ac:dyDescent="0.25">
      <c r="A419" s="3"/>
      <c r="B419" s="19"/>
      <c r="C419" s="5"/>
      <c r="D419" s="5"/>
      <c r="E419" s="5"/>
      <c r="F419" s="6"/>
      <c r="G419" s="7"/>
      <c r="H419" s="7"/>
      <c r="I419" s="7"/>
      <c r="J419" s="8"/>
      <c r="K419" s="9"/>
      <c r="L419" s="5"/>
      <c r="M419" s="9"/>
      <c r="N419" s="21"/>
      <c r="O419" s="20"/>
      <c r="P419" s="21"/>
      <c r="Q419" s="21"/>
      <c r="R419" s="21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2.75" customHeight="1" x14ac:dyDescent="0.25">
      <c r="A420" s="41"/>
      <c r="B420" s="41"/>
      <c r="C420" s="41"/>
      <c r="D420" s="41"/>
      <c r="E420" s="41"/>
      <c r="F420" s="6"/>
      <c r="G420" s="7"/>
      <c r="H420" s="7"/>
      <c r="I420" s="7"/>
      <c r="J420" s="42"/>
      <c r="K420" s="9"/>
      <c r="L420" s="5"/>
      <c r="M420" s="9"/>
      <c r="N420" s="21"/>
      <c r="O420" s="20"/>
      <c r="P420" s="21"/>
      <c r="Q420" s="21"/>
      <c r="R420" s="21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2.75" customHeight="1" x14ac:dyDescent="0.25">
      <c r="A421" s="43"/>
      <c r="B421" s="43"/>
      <c r="C421" s="43"/>
      <c r="D421" s="43"/>
      <c r="E421" s="43"/>
      <c r="F421" s="6"/>
      <c r="G421" s="7"/>
      <c r="H421" s="7"/>
      <c r="I421" s="7"/>
      <c r="J421" s="44"/>
      <c r="K421" s="9"/>
      <c r="L421" s="5"/>
      <c r="M421" s="9"/>
      <c r="N421" s="21"/>
      <c r="O421" s="20"/>
      <c r="P421" s="21"/>
      <c r="Q421" s="21"/>
      <c r="R421" s="21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2.75" customHeight="1" x14ac:dyDescent="0.25">
      <c r="A422" s="43"/>
      <c r="B422" s="45"/>
      <c r="C422" s="43"/>
      <c r="D422" s="43"/>
      <c r="E422" s="43"/>
      <c r="F422" s="6"/>
      <c r="G422" s="7"/>
      <c r="H422" s="7"/>
      <c r="I422" s="7"/>
      <c r="J422" s="44"/>
      <c r="K422" s="9"/>
      <c r="L422" s="5"/>
      <c r="M422" s="9"/>
      <c r="N422" s="21"/>
      <c r="O422" s="20"/>
      <c r="P422" s="21"/>
      <c r="Q422" s="21"/>
      <c r="R422" s="21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2.75" customHeight="1" x14ac:dyDescent="0.25">
      <c r="A423" s="43"/>
      <c r="B423" s="45"/>
      <c r="C423" s="43"/>
      <c r="D423" s="43"/>
      <c r="E423" s="43"/>
      <c r="F423" s="6"/>
      <c r="G423" s="7"/>
      <c r="H423" s="7"/>
      <c r="I423" s="7"/>
      <c r="J423" s="44"/>
      <c r="K423" s="9"/>
      <c r="L423" s="5"/>
      <c r="M423" s="9"/>
      <c r="N423" s="21"/>
      <c r="O423" s="20"/>
      <c r="P423" s="21"/>
      <c r="Q423" s="21"/>
      <c r="R423" s="21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2.75" customHeight="1" x14ac:dyDescent="0.25">
      <c r="A424" s="43"/>
      <c r="B424" s="43"/>
      <c r="C424" s="43"/>
      <c r="D424" s="43"/>
      <c r="E424" s="43"/>
      <c r="F424" s="6"/>
      <c r="G424" s="7"/>
      <c r="H424" s="7"/>
      <c r="I424" s="7"/>
      <c r="J424" s="44"/>
      <c r="K424" s="9"/>
      <c r="L424" s="5"/>
      <c r="M424" s="9"/>
      <c r="N424" s="21"/>
      <c r="O424" s="20"/>
      <c r="P424" s="21"/>
      <c r="Q424" s="21"/>
      <c r="R424" s="21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2.75" customHeight="1" x14ac:dyDescent="0.25">
      <c r="A425" s="43"/>
      <c r="B425" s="43"/>
      <c r="C425" s="43"/>
      <c r="D425" s="43"/>
      <c r="E425" s="43"/>
      <c r="F425" s="6"/>
      <c r="G425" s="7"/>
      <c r="H425" s="7"/>
      <c r="I425" s="7"/>
      <c r="J425" s="44"/>
      <c r="K425" s="9"/>
      <c r="L425" s="5"/>
      <c r="M425" s="9"/>
      <c r="N425" s="21"/>
      <c r="O425" s="20"/>
      <c r="P425" s="21"/>
      <c r="Q425" s="21"/>
      <c r="R425" s="21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2.75" customHeight="1" x14ac:dyDescent="0.25">
      <c r="A426" s="43"/>
      <c r="B426" s="43"/>
      <c r="C426" s="43"/>
      <c r="D426" s="43"/>
      <c r="E426" s="43"/>
      <c r="F426" s="6"/>
      <c r="G426" s="7"/>
      <c r="H426" s="7"/>
      <c r="I426" s="7"/>
      <c r="J426" s="44"/>
      <c r="K426" s="9"/>
      <c r="L426" s="5"/>
      <c r="M426" s="9"/>
      <c r="N426" s="21"/>
      <c r="O426" s="20"/>
      <c r="P426" s="21"/>
      <c r="Q426" s="21"/>
      <c r="R426" s="21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2.75" customHeight="1" x14ac:dyDescent="0.25">
      <c r="A427" s="43"/>
      <c r="B427" s="43"/>
      <c r="C427" s="43"/>
      <c r="D427" s="43"/>
      <c r="E427" s="43"/>
      <c r="F427" s="6"/>
      <c r="G427" s="7"/>
      <c r="H427" s="7"/>
      <c r="I427" s="7"/>
      <c r="J427" s="44"/>
      <c r="K427" s="9"/>
      <c r="L427" s="5"/>
      <c r="M427" s="9"/>
      <c r="N427" s="21"/>
      <c r="O427" s="20"/>
      <c r="P427" s="21"/>
      <c r="Q427" s="21"/>
      <c r="R427" s="21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2.75" customHeight="1" x14ac:dyDescent="0.25">
      <c r="A428" s="43"/>
      <c r="B428" s="43"/>
      <c r="C428" s="43"/>
      <c r="D428" s="43"/>
      <c r="E428" s="43"/>
      <c r="F428" s="6"/>
      <c r="G428" s="7"/>
      <c r="H428" s="7"/>
      <c r="I428" s="7"/>
      <c r="J428" s="44"/>
      <c r="K428" s="9"/>
      <c r="L428" s="5"/>
      <c r="M428" s="9"/>
      <c r="N428" s="21"/>
      <c r="O428" s="20"/>
      <c r="P428" s="21"/>
      <c r="Q428" s="21"/>
      <c r="R428" s="21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2.75" customHeight="1" x14ac:dyDescent="0.25">
      <c r="A429" s="43"/>
      <c r="B429" s="43"/>
      <c r="C429" s="43"/>
      <c r="D429" s="43"/>
      <c r="E429" s="43"/>
      <c r="F429" s="6"/>
      <c r="G429" s="7"/>
      <c r="H429" s="7"/>
      <c r="I429" s="7"/>
      <c r="J429" s="44"/>
      <c r="K429" s="9"/>
      <c r="L429" s="5"/>
      <c r="M429" s="9"/>
      <c r="N429" s="21"/>
      <c r="O429" s="20"/>
      <c r="P429" s="21"/>
      <c r="Q429" s="21"/>
      <c r="R429" s="21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2.75" customHeight="1" x14ac:dyDescent="0.25">
      <c r="A430" s="3"/>
      <c r="B430" s="19"/>
      <c r="C430" s="5"/>
      <c r="D430" s="5"/>
      <c r="E430" s="5"/>
      <c r="F430" s="6"/>
      <c r="G430" s="7"/>
      <c r="H430" s="7"/>
      <c r="I430" s="7"/>
      <c r="J430" s="8"/>
      <c r="K430" s="9"/>
      <c r="L430" s="5"/>
      <c r="M430" s="9"/>
      <c r="N430" s="21"/>
      <c r="O430" s="20"/>
      <c r="P430" s="21"/>
      <c r="Q430" s="21"/>
      <c r="R430" s="21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2.75" customHeight="1" x14ac:dyDescent="0.25">
      <c r="A431" s="3"/>
      <c r="B431" s="19"/>
      <c r="C431" s="5"/>
      <c r="D431" s="5"/>
      <c r="E431" s="5"/>
      <c r="F431" s="6"/>
      <c r="G431" s="7"/>
      <c r="H431" s="7"/>
      <c r="I431" s="7"/>
      <c r="J431" s="8"/>
      <c r="K431" s="9"/>
      <c r="L431" s="5"/>
      <c r="M431" s="9"/>
      <c r="N431" s="21"/>
      <c r="O431" s="20"/>
      <c r="P431" s="21"/>
      <c r="Q431" s="21"/>
      <c r="R431" s="21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2.75" customHeight="1" x14ac:dyDescent="0.25">
      <c r="A432" s="3"/>
      <c r="B432" s="19"/>
      <c r="C432" s="5"/>
      <c r="D432" s="5"/>
      <c r="E432" s="5"/>
      <c r="F432" s="6"/>
      <c r="G432" s="7"/>
      <c r="H432" s="7"/>
      <c r="I432" s="7"/>
      <c r="J432" s="8"/>
      <c r="K432" s="9"/>
      <c r="L432" s="5"/>
      <c r="M432" s="9"/>
      <c r="N432" s="21"/>
      <c r="O432" s="20"/>
      <c r="P432" s="21"/>
      <c r="Q432" s="21"/>
      <c r="R432" s="21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2.75" customHeight="1" x14ac:dyDescent="0.25">
      <c r="A433" s="3"/>
      <c r="B433" s="19"/>
      <c r="C433" s="5"/>
      <c r="D433" s="5"/>
      <c r="E433" s="5"/>
      <c r="F433" s="6"/>
      <c r="G433" s="7"/>
      <c r="H433" s="7"/>
      <c r="I433" s="7"/>
      <c r="J433" s="8"/>
      <c r="K433" s="9"/>
      <c r="L433" s="5"/>
      <c r="M433" s="9"/>
      <c r="N433" s="21"/>
      <c r="O433" s="20"/>
      <c r="P433" s="21"/>
      <c r="Q433" s="21"/>
      <c r="R433" s="21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2.75" customHeight="1" x14ac:dyDescent="0.25">
      <c r="A434" s="3"/>
      <c r="B434" s="19"/>
      <c r="C434" s="5"/>
      <c r="D434" s="5"/>
      <c r="E434" s="5"/>
      <c r="F434" s="6"/>
      <c r="G434" s="7"/>
      <c r="H434" s="7"/>
      <c r="I434" s="7"/>
      <c r="J434" s="8"/>
      <c r="K434" s="9"/>
      <c r="L434" s="5"/>
      <c r="M434" s="9"/>
      <c r="N434" s="21"/>
      <c r="O434" s="20"/>
      <c r="P434" s="21"/>
      <c r="Q434" s="21"/>
      <c r="R434" s="21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2.75" customHeight="1" x14ac:dyDescent="0.25">
      <c r="A435" s="3"/>
      <c r="B435" s="19"/>
      <c r="C435" s="5"/>
      <c r="D435" s="5"/>
      <c r="E435" s="5"/>
      <c r="F435" s="6"/>
      <c r="G435" s="7"/>
      <c r="H435" s="7"/>
      <c r="I435" s="7"/>
      <c r="J435" s="8"/>
      <c r="K435" s="9"/>
      <c r="L435" s="5"/>
      <c r="M435" s="9"/>
      <c r="N435" s="21"/>
      <c r="O435" s="20"/>
      <c r="P435" s="21"/>
      <c r="Q435" s="21"/>
      <c r="R435" s="21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2.75" customHeight="1" x14ac:dyDescent="0.25">
      <c r="A436" s="3"/>
      <c r="B436" s="19"/>
      <c r="C436" s="5"/>
      <c r="D436" s="5"/>
      <c r="E436" s="5"/>
      <c r="F436" s="6"/>
      <c r="G436" s="7"/>
      <c r="H436" s="7"/>
      <c r="I436" s="7"/>
      <c r="J436" s="8"/>
      <c r="K436" s="9"/>
      <c r="L436" s="5"/>
      <c r="M436" s="9"/>
      <c r="N436" s="21"/>
      <c r="O436" s="20"/>
      <c r="P436" s="21"/>
      <c r="Q436" s="21"/>
      <c r="R436" s="21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2.75" customHeight="1" x14ac:dyDescent="0.25">
      <c r="A437" s="3"/>
      <c r="B437" s="19"/>
      <c r="C437" s="5"/>
      <c r="D437" s="5"/>
      <c r="E437" s="5"/>
      <c r="F437" s="6"/>
      <c r="G437" s="7"/>
      <c r="H437" s="7"/>
      <c r="I437" s="7"/>
      <c r="J437" s="8"/>
      <c r="K437" s="9"/>
      <c r="L437" s="5"/>
      <c r="M437" s="9"/>
      <c r="N437" s="21"/>
      <c r="O437" s="20"/>
      <c r="P437" s="21"/>
      <c r="Q437" s="21"/>
      <c r="R437" s="21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2.75" customHeight="1" x14ac:dyDescent="0.25">
      <c r="A438" s="3"/>
      <c r="B438" s="19"/>
      <c r="C438" s="5"/>
      <c r="D438" s="5"/>
      <c r="E438" s="5"/>
      <c r="F438" s="6"/>
      <c r="G438" s="7"/>
      <c r="H438" s="7"/>
      <c r="I438" s="7"/>
      <c r="J438" s="8"/>
      <c r="K438" s="9"/>
      <c r="L438" s="5"/>
      <c r="M438" s="9"/>
      <c r="N438" s="21"/>
      <c r="O438" s="20"/>
      <c r="P438" s="21"/>
      <c r="Q438" s="21"/>
      <c r="R438" s="21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2.75" customHeight="1" x14ac:dyDescent="0.25">
      <c r="A439" s="3"/>
      <c r="B439" s="19"/>
      <c r="C439" s="5"/>
      <c r="D439" s="5"/>
      <c r="E439" s="5"/>
      <c r="F439" s="6"/>
      <c r="G439" s="7"/>
      <c r="H439" s="7"/>
      <c r="I439" s="7"/>
      <c r="J439" s="8"/>
      <c r="K439" s="9"/>
      <c r="L439" s="5"/>
      <c r="M439" s="9"/>
      <c r="N439" s="21"/>
      <c r="O439" s="20"/>
      <c r="P439" s="21"/>
      <c r="Q439" s="21"/>
      <c r="R439" s="21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2.75" customHeight="1" x14ac:dyDescent="0.25">
      <c r="A440" s="3"/>
      <c r="B440" s="19"/>
      <c r="C440" s="5"/>
      <c r="D440" s="5"/>
      <c r="E440" s="5"/>
      <c r="F440" s="6"/>
      <c r="G440" s="7"/>
      <c r="H440" s="7"/>
      <c r="I440" s="7"/>
      <c r="J440" s="8"/>
      <c r="K440" s="9"/>
      <c r="L440" s="5"/>
      <c r="M440" s="9"/>
      <c r="N440" s="21"/>
      <c r="O440" s="20"/>
      <c r="P440" s="21"/>
      <c r="Q440" s="21"/>
      <c r="R440" s="21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2.75" customHeight="1" x14ac:dyDescent="0.25">
      <c r="A441" s="3"/>
      <c r="B441" s="19"/>
      <c r="C441" s="5"/>
      <c r="D441" s="5"/>
      <c r="E441" s="5"/>
      <c r="F441" s="6"/>
      <c r="G441" s="7"/>
      <c r="H441" s="7"/>
      <c r="I441" s="7"/>
      <c r="J441" s="8"/>
      <c r="K441" s="9"/>
      <c r="L441" s="5"/>
      <c r="M441" s="9"/>
      <c r="N441" s="21"/>
      <c r="O441" s="20"/>
      <c r="P441" s="21"/>
      <c r="Q441" s="21"/>
      <c r="R441" s="21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2.75" customHeight="1" x14ac:dyDescent="0.25">
      <c r="A442" s="3"/>
      <c r="B442" s="19"/>
      <c r="C442" s="5"/>
      <c r="D442" s="5"/>
      <c r="E442" s="5"/>
      <c r="F442" s="6"/>
      <c r="G442" s="7"/>
      <c r="H442" s="7"/>
      <c r="I442" s="7"/>
      <c r="J442" s="8"/>
      <c r="K442" s="9"/>
      <c r="L442" s="5"/>
      <c r="M442" s="9"/>
      <c r="N442" s="21"/>
      <c r="O442" s="20"/>
      <c r="P442" s="21"/>
      <c r="Q442" s="21"/>
      <c r="R442" s="21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2.75" customHeight="1" x14ac:dyDescent="0.25">
      <c r="A443" s="3"/>
      <c r="B443" s="19"/>
      <c r="C443" s="5"/>
      <c r="D443" s="5"/>
      <c r="E443" s="5"/>
      <c r="F443" s="6"/>
      <c r="G443" s="7"/>
      <c r="H443" s="7"/>
      <c r="I443" s="7"/>
      <c r="J443" s="8"/>
      <c r="K443" s="9"/>
      <c r="L443" s="5"/>
      <c r="M443" s="9"/>
      <c r="N443" s="21"/>
      <c r="O443" s="20"/>
      <c r="P443" s="21"/>
      <c r="Q443" s="21"/>
      <c r="R443" s="21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2.75" customHeight="1" x14ac:dyDescent="0.25">
      <c r="A444" s="3"/>
      <c r="B444" s="19"/>
      <c r="C444" s="5"/>
      <c r="D444" s="5"/>
      <c r="E444" s="5"/>
      <c r="F444" s="6"/>
      <c r="G444" s="7"/>
      <c r="H444" s="7"/>
      <c r="I444" s="7"/>
      <c r="J444" s="8"/>
      <c r="K444" s="9"/>
      <c r="L444" s="5"/>
      <c r="M444" s="9"/>
      <c r="N444" s="21"/>
      <c r="O444" s="20"/>
      <c r="P444" s="21"/>
      <c r="Q444" s="21"/>
      <c r="R444" s="21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2.75" customHeight="1" x14ac:dyDescent="0.25">
      <c r="A445" s="3"/>
      <c r="B445" s="19"/>
      <c r="C445" s="5"/>
      <c r="D445" s="5"/>
      <c r="E445" s="5"/>
      <c r="F445" s="6"/>
      <c r="G445" s="7"/>
      <c r="H445" s="7"/>
      <c r="I445" s="7"/>
      <c r="J445" s="8"/>
      <c r="K445" s="9"/>
      <c r="L445" s="5"/>
      <c r="M445" s="9"/>
      <c r="N445" s="21"/>
      <c r="O445" s="20"/>
      <c r="P445" s="21"/>
      <c r="Q445" s="21"/>
      <c r="R445" s="21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2.75" customHeight="1" x14ac:dyDescent="0.25">
      <c r="A446" s="3"/>
      <c r="B446" s="19"/>
      <c r="C446" s="5"/>
      <c r="D446" s="5"/>
      <c r="E446" s="5"/>
      <c r="F446" s="6"/>
      <c r="G446" s="7"/>
      <c r="H446" s="7"/>
      <c r="I446" s="7"/>
      <c r="J446" s="8"/>
      <c r="K446" s="9"/>
      <c r="L446" s="5"/>
      <c r="M446" s="9"/>
      <c r="N446" s="21"/>
      <c r="O446" s="20"/>
      <c r="P446" s="21"/>
      <c r="Q446" s="21"/>
      <c r="R446" s="21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2.75" customHeight="1" x14ac:dyDescent="0.25">
      <c r="A447" s="3"/>
      <c r="B447" s="19"/>
      <c r="C447" s="5"/>
      <c r="D447" s="5"/>
      <c r="E447" s="5"/>
      <c r="F447" s="6"/>
      <c r="G447" s="7"/>
      <c r="H447" s="7"/>
      <c r="I447" s="7"/>
      <c r="J447" s="8"/>
      <c r="K447" s="9"/>
      <c r="L447" s="5"/>
      <c r="M447" s="9"/>
      <c r="N447" s="21"/>
      <c r="O447" s="20"/>
      <c r="P447" s="21"/>
      <c r="Q447" s="21"/>
      <c r="R447" s="21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2.75" customHeight="1" x14ac:dyDescent="0.25">
      <c r="A448" s="3"/>
      <c r="B448" s="19"/>
      <c r="C448" s="5"/>
      <c r="D448" s="5"/>
      <c r="E448" s="5"/>
      <c r="F448" s="6"/>
      <c r="G448" s="7"/>
      <c r="H448" s="7"/>
      <c r="I448" s="7"/>
      <c r="J448" s="8"/>
      <c r="K448" s="9"/>
      <c r="L448" s="5"/>
      <c r="M448" s="9"/>
      <c r="N448" s="21"/>
      <c r="O448" s="20"/>
      <c r="P448" s="21"/>
      <c r="Q448" s="21"/>
      <c r="R448" s="21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2.75" customHeight="1" x14ac:dyDescent="0.25">
      <c r="A449" s="3"/>
      <c r="B449" s="19"/>
      <c r="C449" s="5"/>
      <c r="D449" s="5"/>
      <c r="E449" s="5"/>
      <c r="F449" s="6"/>
      <c r="G449" s="7"/>
      <c r="H449" s="7"/>
      <c r="I449" s="7"/>
      <c r="J449" s="8"/>
      <c r="K449" s="9"/>
      <c r="L449" s="5"/>
      <c r="M449" s="9"/>
      <c r="N449" s="21"/>
      <c r="O449" s="20"/>
      <c r="P449" s="21"/>
      <c r="Q449" s="21"/>
      <c r="R449" s="21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2.75" customHeight="1" x14ac:dyDescent="0.25">
      <c r="A450" s="3"/>
      <c r="B450" s="19"/>
      <c r="C450" s="5"/>
      <c r="D450" s="5"/>
      <c r="E450" s="5"/>
      <c r="F450" s="6"/>
      <c r="G450" s="7"/>
      <c r="H450" s="7"/>
      <c r="I450" s="7"/>
      <c r="J450" s="8"/>
      <c r="K450" s="9"/>
      <c r="L450" s="5"/>
      <c r="M450" s="9"/>
      <c r="N450" s="21"/>
      <c r="O450" s="20"/>
      <c r="P450" s="21"/>
      <c r="Q450" s="21"/>
      <c r="R450" s="21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2.75" customHeight="1" x14ac:dyDescent="0.25">
      <c r="A451" s="3"/>
      <c r="B451" s="19"/>
      <c r="C451" s="5"/>
      <c r="D451" s="5"/>
      <c r="E451" s="5"/>
      <c r="F451" s="6"/>
      <c r="G451" s="7"/>
      <c r="H451" s="7"/>
      <c r="I451" s="7"/>
      <c r="J451" s="8"/>
      <c r="K451" s="9"/>
      <c r="L451" s="5"/>
      <c r="M451" s="9"/>
      <c r="N451" s="21"/>
      <c r="O451" s="20"/>
      <c r="P451" s="21"/>
      <c r="Q451" s="21"/>
      <c r="R451" s="21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2.75" customHeight="1" x14ac:dyDescent="0.25">
      <c r="A452" s="3"/>
      <c r="B452" s="19"/>
      <c r="C452" s="5"/>
      <c r="D452" s="5"/>
      <c r="E452" s="5"/>
      <c r="F452" s="6"/>
      <c r="G452" s="7"/>
      <c r="H452" s="7"/>
      <c r="I452" s="7"/>
      <c r="J452" s="8"/>
      <c r="K452" s="9"/>
      <c r="L452" s="5"/>
      <c r="M452" s="9"/>
      <c r="N452" s="21"/>
      <c r="O452" s="20"/>
      <c r="P452" s="21"/>
      <c r="Q452" s="21"/>
      <c r="R452" s="21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2.75" customHeight="1" x14ac:dyDescent="0.25">
      <c r="A453" s="3"/>
      <c r="B453" s="19"/>
      <c r="C453" s="5"/>
      <c r="D453" s="5"/>
      <c r="E453" s="5"/>
      <c r="F453" s="6"/>
      <c r="G453" s="7"/>
      <c r="H453" s="7"/>
      <c r="I453" s="7"/>
      <c r="J453" s="8"/>
      <c r="K453" s="9"/>
      <c r="L453" s="5"/>
      <c r="M453" s="9"/>
      <c r="N453" s="21"/>
      <c r="O453" s="20"/>
      <c r="P453" s="21"/>
      <c r="Q453" s="21"/>
      <c r="R453" s="21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2.75" customHeight="1" x14ac:dyDescent="0.25">
      <c r="A454" s="3"/>
      <c r="B454" s="19"/>
      <c r="C454" s="5"/>
      <c r="D454" s="5"/>
      <c r="E454" s="5"/>
      <c r="F454" s="6"/>
      <c r="G454" s="7"/>
      <c r="H454" s="7"/>
      <c r="I454" s="7"/>
      <c r="J454" s="8"/>
      <c r="K454" s="9"/>
      <c r="L454" s="5"/>
      <c r="M454" s="9"/>
      <c r="N454" s="21"/>
      <c r="O454" s="20"/>
      <c r="P454" s="21"/>
      <c r="Q454" s="21"/>
      <c r="R454" s="21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2.75" customHeight="1" x14ac:dyDescent="0.25">
      <c r="A455" s="3"/>
      <c r="B455" s="19"/>
      <c r="C455" s="5"/>
      <c r="D455" s="5"/>
      <c r="E455" s="5"/>
      <c r="F455" s="6"/>
      <c r="G455" s="7"/>
      <c r="H455" s="7"/>
      <c r="I455" s="7"/>
      <c r="J455" s="8"/>
      <c r="K455" s="9"/>
      <c r="L455" s="5"/>
      <c r="M455" s="9"/>
      <c r="N455" s="21"/>
      <c r="O455" s="20"/>
      <c r="P455" s="21"/>
      <c r="Q455" s="21"/>
      <c r="R455" s="21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2.75" customHeight="1" x14ac:dyDescent="0.25">
      <c r="A456" s="3"/>
      <c r="B456" s="19"/>
      <c r="C456" s="5"/>
      <c r="D456" s="5"/>
      <c r="E456" s="5"/>
      <c r="F456" s="6"/>
      <c r="G456" s="7"/>
      <c r="H456" s="7"/>
      <c r="I456" s="7"/>
      <c r="J456" s="8"/>
      <c r="K456" s="9"/>
      <c r="L456" s="5"/>
      <c r="M456" s="9"/>
      <c r="N456" s="21"/>
      <c r="O456" s="20"/>
      <c r="P456" s="21"/>
      <c r="Q456" s="21"/>
      <c r="R456" s="21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2.75" customHeight="1" x14ac:dyDescent="0.25">
      <c r="A457" s="3"/>
      <c r="B457" s="19"/>
      <c r="C457" s="5"/>
      <c r="D457" s="5"/>
      <c r="E457" s="5"/>
      <c r="F457" s="6"/>
      <c r="G457" s="7"/>
      <c r="H457" s="7"/>
      <c r="I457" s="7"/>
      <c r="J457" s="8"/>
      <c r="K457" s="9"/>
      <c r="L457" s="5"/>
      <c r="M457" s="9"/>
      <c r="N457" s="21"/>
      <c r="O457" s="20"/>
      <c r="P457" s="21"/>
      <c r="Q457" s="21"/>
      <c r="R457" s="21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2.75" customHeight="1" x14ac:dyDescent="0.25">
      <c r="A458" s="3"/>
      <c r="B458" s="19"/>
      <c r="C458" s="5"/>
      <c r="D458" s="5"/>
      <c r="E458" s="5"/>
      <c r="F458" s="6"/>
      <c r="G458" s="7"/>
      <c r="H458" s="7"/>
      <c r="I458" s="7"/>
      <c r="J458" s="8"/>
      <c r="K458" s="9"/>
      <c r="L458" s="5"/>
      <c r="M458" s="9"/>
      <c r="N458" s="21"/>
      <c r="O458" s="20"/>
      <c r="P458" s="21"/>
      <c r="Q458" s="21"/>
      <c r="R458" s="21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2.75" customHeight="1" x14ac:dyDescent="0.25">
      <c r="A459" s="3"/>
      <c r="B459" s="19"/>
      <c r="C459" s="5"/>
      <c r="D459" s="5"/>
      <c r="E459" s="5"/>
      <c r="F459" s="6"/>
      <c r="G459" s="7"/>
      <c r="H459" s="7"/>
      <c r="I459" s="7"/>
      <c r="J459" s="8"/>
      <c r="K459" s="9"/>
      <c r="L459" s="5"/>
      <c r="M459" s="9"/>
      <c r="N459" s="21"/>
      <c r="O459" s="20"/>
      <c r="P459" s="21"/>
      <c r="Q459" s="21"/>
      <c r="R459" s="21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2.75" customHeight="1" x14ac:dyDescent="0.25">
      <c r="A460" s="3"/>
      <c r="B460" s="19"/>
      <c r="C460" s="5"/>
      <c r="D460" s="5"/>
      <c r="E460" s="5"/>
      <c r="F460" s="6"/>
      <c r="G460" s="7"/>
      <c r="H460" s="7"/>
      <c r="I460" s="7"/>
      <c r="J460" s="8"/>
      <c r="K460" s="9"/>
      <c r="L460" s="5"/>
      <c r="M460" s="9"/>
      <c r="N460" s="21"/>
      <c r="O460" s="20"/>
      <c r="P460" s="21"/>
      <c r="Q460" s="21"/>
      <c r="R460" s="21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2.75" customHeight="1" x14ac:dyDescent="0.25">
      <c r="A461" s="3"/>
      <c r="B461" s="19"/>
      <c r="C461" s="5"/>
      <c r="D461" s="5"/>
      <c r="E461" s="5"/>
      <c r="F461" s="6"/>
      <c r="G461" s="7"/>
      <c r="H461" s="7"/>
      <c r="I461" s="7"/>
      <c r="J461" s="8"/>
      <c r="K461" s="9"/>
      <c r="L461" s="5"/>
      <c r="M461" s="9"/>
      <c r="N461" s="21"/>
      <c r="O461" s="20"/>
      <c r="P461" s="21"/>
      <c r="Q461" s="21"/>
      <c r="R461" s="21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2.75" customHeight="1" x14ac:dyDescent="0.25">
      <c r="A462" s="3"/>
      <c r="B462" s="19"/>
      <c r="C462" s="5"/>
      <c r="D462" s="5"/>
      <c r="E462" s="5"/>
      <c r="F462" s="6"/>
      <c r="G462" s="7"/>
      <c r="H462" s="7"/>
      <c r="I462" s="7"/>
      <c r="J462" s="8"/>
      <c r="K462" s="9"/>
      <c r="L462" s="5"/>
      <c r="M462" s="9"/>
      <c r="N462" s="21"/>
      <c r="O462" s="20"/>
      <c r="P462" s="21"/>
      <c r="Q462" s="21"/>
      <c r="R462" s="21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2.75" customHeight="1" x14ac:dyDescent="0.25">
      <c r="A463" s="3"/>
      <c r="B463" s="19"/>
      <c r="C463" s="5"/>
      <c r="D463" s="5"/>
      <c r="E463" s="5"/>
      <c r="F463" s="6"/>
      <c r="G463" s="7"/>
      <c r="H463" s="7"/>
      <c r="I463" s="7"/>
      <c r="J463" s="8"/>
      <c r="K463" s="9"/>
      <c r="L463" s="5"/>
      <c r="M463" s="9"/>
      <c r="N463" s="21"/>
      <c r="O463" s="20"/>
      <c r="P463" s="21"/>
      <c r="Q463" s="21"/>
      <c r="R463" s="21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2.75" customHeight="1" x14ac:dyDescent="0.25">
      <c r="A464" s="3"/>
      <c r="B464" s="19"/>
      <c r="C464" s="5"/>
      <c r="D464" s="5"/>
      <c r="E464" s="5"/>
      <c r="F464" s="6"/>
      <c r="G464" s="7"/>
      <c r="H464" s="7"/>
      <c r="I464" s="7"/>
      <c r="J464" s="8"/>
      <c r="K464" s="9"/>
      <c r="L464" s="5"/>
      <c r="M464" s="9"/>
      <c r="N464" s="21"/>
      <c r="O464" s="20"/>
      <c r="P464" s="21"/>
      <c r="Q464" s="21"/>
      <c r="R464" s="21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2.75" customHeight="1" x14ac:dyDescent="0.25">
      <c r="A465" s="3"/>
      <c r="B465" s="19"/>
      <c r="C465" s="5"/>
      <c r="D465" s="5"/>
      <c r="E465" s="5"/>
      <c r="F465" s="6"/>
      <c r="G465" s="7"/>
      <c r="H465" s="7"/>
      <c r="I465" s="7"/>
      <c r="J465" s="8"/>
      <c r="K465" s="9"/>
      <c r="L465" s="5"/>
      <c r="M465" s="9"/>
      <c r="N465" s="21"/>
      <c r="O465" s="20"/>
      <c r="P465" s="21"/>
      <c r="Q465" s="21"/>
      <c r="R465" s="21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2.75" customHeight="1" x14ac:dyDescent="0.25">
      <c r="A466" s="3"/>
      <c r="B466" s="19"/>
      <c r="C466" s="5"/>
      <c r="D466" s="5"/>
      <c r="E466" s="5"/>
      <c r="F466" s="6"/>
      <c r="G466" s="7"/>
      <c r="H466" s="7"/>
      <c r="I466" s="7"/>
      <c r="J466" s="8"/>
      <c r="K466" s="9"/>
      <c r="L466" s="5"/>
      <c r="M466" s="9"/>
      <c r="N466" s="21"/>
      <c r="O466" s="20"/>
      <c r="P466" s="21"/>
      <c r="Q466" s="21"/>
      <c r="R466" s="21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2.75" customHeight="1" x14ac:dyDescent="0.25">
      <c r="A467" s="3"/>
      <c r="B467" s="19"/>
      <c r="C467" s="5"/>
      <c r="D467" s="5"/>
      <c r="E467" s="5"/>
      <c r="F467" s="6"/>
      <c r="G467" s="7"/>
      <c r="H467" s="7"/>
      <c r="I467" s="7"/>
      <c r="J467" s="8"/>
      <c r="K467" s="9"/>
      <c r="L467" s="5"/>
      <c r="M467" s="9"/>
      <c r="N467" s="21"/>
      <c r="O467" s="20"/>
      <c r="P467" s="21"/>
      <c r="Q467" s="21"/>
      <c r="R467" s="21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2.75" customHeight="1" x14ac:dyDescent="0.25">
      <c r="A468" s="3"/>
      <c r="B468" s="19"/>
      <c r="C468" s="5"/>
      <c r="D468" s="5"/>
      <c r="E468" s="5"/>
      <c r="F468" s="6"/>
      <c r="G468" s="7"/>
      <c r="H468" s="7"/>
      <c r="I468" s="7"/>
      <c r="J468" s="8"/>
      <c r="K468" s="9"/>
      <c r="L468" s="5"/>
      <c r="M468" s="9"/>
      <c r="N468" s="21"/>
      <c r="O468" s="20"/>
      <c r="P468" s="21"/>
      <c r="Q468" s="21"/>
      <c r="R468" s="21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2.75" customHeight="1" x14ac:dyDescent="0.25">
      <c r="A469" s="3"/>
      <c r="B469" s="19"/>
      <c r="C469" s="5"/>
      <c r="D469" s="5"/>
      <c r="E469" s="5"/>
      <c r="F469" s="6"/>
      <c r="G469" s="7"/>
      <c r="H469" s="7"/>
      <c r="I469" s="7"/>
      <c r="J469" s="8"/>
      <c r="K469" s="9"/>
      <c r="L469" s="5"/>
      <c r="M469" s="9"/>
      <c r="N469" s="21"/>
      <c r="O469" s="20"/>
      <c r="P469" s="21"/>
      <c r="Q469" s="21"/>
      <c r="R469" s="21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2.75" customHeight="1" x14ac:dyDescent="0.25">
      <c r="A470" s="3"/>
      <c r="B470" s="19"/>
      <c r="C470" s="5"/>
      <c r="D470" s="5"/>
      <c r="E470" s="5"/>
      <c r="F470" s="6"/>
      <c r="G470" s="7"/>
      <c r="H470" s="7"/>
      <c r="I470" s="7"/>
      <c r="J470" s="8"/>
      <c r="K470" s="9"/>
      <c r="L470" s="5"/>
      <c r="M470" s="9"/>
      <c r="N470" s="21"/>
      <c r="O470" s="20"/>
      <c r="P470" s="21"/>
      <c r="Q470" s="21"/>
      <c r="R470" s="21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2.75" customHeight="1" x14ac:dyDescent="0.25">
      <c r="A471" s="3"/>
      <c r="B471" s="19"/>
      <c r="C471" s="5"/>
      <c r="D471" s="5"/>
      <c r="E471" s="5"/>
      <c r="F471" s="6"/>
      <c r="G471" s="7"/>
      <c r="H471" s="7"/>
      <c r="I471" s="7"/>
      <c r="J471" s="8"/>
      <c r="K471" s="9"/>
      <c r="L471" s="5"/>
      <c r="M471" s="9"/>
      <c r="N471" s="21"/>
      <c r="O471" s="20"/>
      <c r="P471" s="21"/>
      <c r="Q471" s="21"/>
      <c r="R471" s="21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2.75" customHeight="1" x14ac:dyDescent="0.25">
      <c r="A472" s="3"/>
      <c r="B472" s="19"/>
      <c r="C472" s="5"/>
      <c r="D472" s="5"/>
      <c r="E472" s="5"/>
      <c r="F472" s="6"/>
      <c r="G472" s="7"/>
      <c r="H472" s="7"/>
      <c r="I472" s="7"/>
      <c r="J472" s="8"/>
      <c r="K472" s="9"/>
      <c r="L472" s="5"/>
      <c r="M472" s="9"/>
      <c r="N472" s="21"/>
      <c r="O472" s="20"/>
      <c r="P472" s="21"/>
      <c r="Q472" s="21"/>
      <c r="R472" s="21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2.75" customHeight="1" x14ac:dyDescent="0.25">
      <c r="A473" s="3"/>
      <c r="B473" s="19"/>
      <c r="C473" s="5"/>
      <c r="D473" s="5"/>
      <c r="E473" s="5"/>
      <c r="F473" s="6"/>
      <c r="G473" s="7"/>
      <c r="H473" s="7"/>
      <c r="I473" s="7"/>
      <c r="J473" s="8"/>
      <c r="K473" s="9"/>
      <c r="L473" s="5"/>
      <c r="M473" s="9"/>
      <c r="N473" s="21"/>
      <c r="O473" s="20"/>
      <c r="P473" s="21"/>
      <c r="Q473" s="21"/>
      <c r="R473" s="21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2.75" customHeight="1" x14ac:dyDescent="0.25">
      <c r="A474" s="3"/>
      <c r="B474" s="19"/>
      <c r="C474" s="5"/>
      <c r="D474" s="5"/>
      <c r="E474" s="5"/>
      <c r="F474" s="6"/>
      <c r="G474" s="7"/>
      <c r="H474" s="7"/>
      <c r="I474" s="7"/>
      <c r="J474" s="8"/>
      <c r="K474" s="9"/>
      <c r="L474" s="5"/>
      <c r="M474" s="9"/>
      <c r="N474" s="21"/>
      <c r="O474" s="20"/>
      <c r="P474" s="21"/>
      <c r="Q474" s="21"/>
      <c r="R474" s="21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2.75" customHeight="1" x14ac:dyDescent="0.25">
      <c r="A475" s="3"/>
      <c r="B475" s="19"/>
      <c r="C475" s="5"/>
      <c r="D475" s="5"/>
      <c r="E475" s="5"/>
      <c r="F475" s="6"/>
      <c r="G475" s="7"/>
      <c r="H475" s="7"/>
      <c r="I475" s="7"/>
      <c r="J475" s="8"/>
      <c r="K475" s="9"/>
      <c r="L475" s="5"/>
      <c r="M475" s="9"/>
      <c r="N475" s="21"/>
      <c r="O475" s="20"/>
      <c r="P475" s="21"/>
      <c r="Q475" s="21"/>
      <c r="R475" s="21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2.75" customHeight="1" x14ac:dyDescent="0.25">
      <c r="A476" s="3"/>
      <c r="B476" s="19"/>
      <c r="C476" s="5"/>
      <c r="D476" s="5"/>
      <c r="E476" s="5"/>
      <c r="F476" s="6"/>
      <c r="G476" s="7"/>
      <c r="H476" s="7"/>
      <c r="I476" s="7"/>
      <c r="J476" s="8"/>
      <c r="K476" s="9"/>
      <c r="L476" s="5"/>
      <c r="M476" s="9"/>
      <c r="N476" s="21"/>
      <c r="O476" s="20"/>
      <c r="P476" s="21"/>
      <c r="Q476" s="21"/>
      <c r="R476" s="21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2.75" customHeight="1" x14ac:dyDescent="0.25">
      <c r="A477" s="3"/>
      <c r="B477" s="19"/>
      <c r="C477" s="5"/>
      <c r="D477" s="5"/>
      <c r="E477" s="5"/>
      <c r="F477" s="6"/>
      <c r="G477" s="7"/>
      <c r="H477" s="7"/>
      <c r="I477" s="7"/>
      <c r="J477" s="8"/>
      <c r="K477" s="9"/>
      <c r="L477" s="5"/>
      <c r="M477" s="9"/>
      <c r="N477" s="21"/>
      <c r="O477" s="20"/>
      <c r="P477" s="21"/>
      <c r="Q477" s="21"/>
      <c r="R477" s="21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2.75" customHeight="1" x14ac:dyDescent="0.25">
      <c r="A478" s="3"/>
      <c r="B478" s="19"/>
      <c r="C478" s="5"/>
      <c r="D478" s="5"/>
      <c r="E478" s="5"/>
      <c r="F478" s="6"/>
      <c r="G478" s="7"/>
      <c r="H478" s="7"/>
      <c r="I478" s="7"/>
      <c r="J478" s="8"/>
      <c r="K478" s="9"/>
      <c r="L478" s="5"/>
      <c r="M478" s="9"/>
      <c r="N478" s="21"/>
      <c r="O478" s="20"/>
      <c r="P478" s="21"/>
      <c r="Q478" s="21"/>
      <c r="R478" s="21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2.75" customHeight="1" x14ac:dyDescent="0.25">
      <c r="A479" s="3"/>
      <c r="B479" s="19"/>
      <c r="C479" s="5"/>
      <c r="D479" s="5"/>
      <c r="E479" s="5"/>
      <c r="F479" s="6"/>
      <c r="G479" s="7"/>
      <c r="H479" s="7"/>
      <c r="I479" s="7"/>
      <c r="J479" s="8"/>
      <c r="K479" s="9"/>
      <c r="L479" s="5"/>
      <c r="M479" s="9"/>
      <c r="N479" s="21"/>
      <c r="O479" s="20"/>
      <c r="P479" s="21"/>
      <c r="Q479" s="21"/>
      <c r="R479" s="21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2.75" customHeight="1" x14ac:dyDescent="0.25">
      <c r="A480" s="3"/>
      <c r="B480" s="19"/>
      <c r="C480" s="5"/>
      <c r="D480" s="5"/>
      <c r="E480" s="5"/>
      <c r="F480" s="6"/>
      <c r="G480" s="7"/>
      <c r="H480" s="7"/>
      <c r="I480" s="7"/>
      <c r="J480" s="8"/>
      <c r="K480" s="9"/>
      <c r="L480" s="5"/>
      <c r="M480" s="9"/>
      <c r="N480" s="21"/>
      <c r="O480" s="20"/>
      <c r="P480" s="21"/>
      <c r="Q480" s="21"/>
      <c r="R480" s="21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2.75" customHeight="1" x14ac:dyDescent="0.25">
      <c r="A481" s="3"/>
      <c r="B481" s="19"/>
      <c r="C481" s="5"/>
      <c r="D481" s="5"/>
      <c r="E481" s="5"/>
      <c r="F481" s="6"/>
      <c r="G481" s="7"/>
      <c r="H481" s="7"/>
      <c r="I481" s="7"/>
      <c r="J481" s="8"/>
      <c r="K481" s="9"/>
      <c r="L481" s="5"/>
      <c r="M481" s="9"/>
      <c r="N481" s="21"/>
      <c r="O481" s="20"/>
      <c r="P481" s="21"/>
      <c r="Q481" s="21"/>
      <c r="R481" s="21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2.75" customHeight="1" x14ac:dyDescent="0.25">
      <c r="A482" s="3"/>
      <c r="B482" s="19"/>
      <c r="C482" s="5"/>
      <c r="D482" s="5"/>
      <c r="E482" s="5"/>
      <c r="F482" s="6"/>
      <c r="G482" s="7"/>
      <c r="H482" s="7"/>
      <c r="I482" s="7"/>
      <c r="J482" s="8"/>
      <c r="K482" s="9"/>
      <c r="L482" s="5"/>
      <c r="M482" s="9"/>
      <c r="N482" s="21"/>
      <c r="O482" s="20"/>
      <c r="P482" s="21"/>
      <c r="Q482" s="21"/>
      <c r="R482" s="21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2.75" customHeight="1" x14ac:dyDescent="0.25">
      <c r="A483" s="3"/>
      <c r="B483" s="19"/>
      <c r="C483" s="5"/>
      <c r="D483" s="5"/>
      <c r="E483" s="5"/>
      <c r="F483" s="6"/>
      <c r="G483" s="7"/>
      <c r="H483" s="7"/>
      <c r="I483" s="7"/>
      <c r="J483" s="8"/>
      <c r="K483" s="9"/>
      <c r="L483" s="5"/>
      <c r="M483" s="9"/>
      <c r="N483" s="21"/>
      <c r="O483" s="20"/>
      <c r="P483" s="21"/>
      <c r="Q483" s="21"/>
      <c r="R483" s="21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2.75" customHeight="1" x14ac:dyDescent="0.25">
      <c r="A484" s="3"/>
      <c r="B484" s="19"/>
      <c r="C484" s="5"/>
      <c r="D484" s="5"/>
      <c r="E484" s="5"/>
      <c r="F484" s="6"/>
      <c r="G484" s="7"/>
      <c r="H484" s="7"/>
      <c r="I484" s="7"/>
      <c r="J484" s="8"/>
      <c r="K484" s="9"/>
      <c r="L484" s="5"/>
      <c r="M484" s="9"/>
      <c r="N484" s="21"/>
      <c r="O484" s="20"/>
      <c r="P484" s="21"/>
      <c r="Q484" s="21"/>
      <c r="R484" s="21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2.75" customHeight="1" x14ac:dyDescent="0.25">
      <c r="A485" s="3"/>
      <c r="B485" s="19"/>
      <c r="C485" s="5"/>
      <c r="D485" s="5"/>
      <c r="E485" s="5"/>
      <c r="F485" s="6"/>
      <c r="G485" s="7"/>
      <c r="H485" s="7"/>
      <c r="I485" s="7"/>
      <c r="J485" s="8"/>
      <c r="K485" s="9"/>
      <c r="L485" s="5"/>
      <c r="M485" s="9"/>
      <c r="N485" s="21"/>
      <c r="O485" s="20"/>
      <c r="P485" s="21"/>
      <c r="Q485" s="21"/>
      <c r="R485" s="21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2.75" customHeight="1" x14ac:dyDescent="0.25">
      <c r="A486" s="3"/>
      <c r="B486" s="19"/>
      <c r="C486" s="5"/>
      <c r="D486" s="5"/>
      <c r="E486" s="5"/>
      <c r="F486" s="6"/>
      <c r="G486" s="7"/>
      <c r="H486" s="7"/>
      <c r="I486" s="7"/>
      <c r="J486" s="8"/>
      <c r="K486" s="9"/>
      <c r="L486" s="5"/>
      <c r="M486" s="9"/>
      <c r="N486" s="21"/>
      <c r="O486" s="20"/>
      <c r="P486" s="21"/>
      <c r="Q486" s="21"/>
      <c r="R486" s="21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2.75" customHeight="1" x14ac:dyDescent="0.25">
      <c r="A487" s="3"/>
      <c r="B487" s="19"/>
      <c r="C487" s="5"/>
      <c r="D487" s="5"/>
      <c r="E487" s="5"/>
      <c r="F487" s="6"/>
      <c r="G487" s="7"/>
      <c r="H487" s="7"/>
      <c r="I487" s="7"/>
      <c r="J487" s="8"/>
      <c r="K487" s="9"/>
      <c r="L487" s="5"/>
      <c r="M487" s="9"/>
      <c r="N487" s="21"/>
      <c r="O487" s="20"/>
      <c r="P487" s="21"/>
      <c r="Q487" s="21"/>
      <c r="R487" s="21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2.75" customHeight="1" x14ac:dyDescent="0.25">
      <c r="A488" s="3"/>
      <c r="B488" s="19"/>
      <c r="C488" s="5"/>
      <c r="D488" s="5"/>
      <c r="E488" s="5"/>
      <c r="F488" s="6"/>
      <c r="G488" s="7"/>
      <c r="H488" s="7"/>
      <c r="I488" s="7"/>
      <c r="J488" s="8"/>
      <c r="K488" s="9"/>
      <c r="L488" s="5"/>
      <c r="M488" s="9"/>
      <c r="N488" s="21"/>
      <c r="O488" s="20"/>
      <c r="P488" s="21"/>
      <c r="Q488" s="21"/>
      <c r="R488" s="21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2.75" customHeight="1" x14ac:dyDescent="0.25">
      <c r="A489" s="3"/>
      <c r="B489" s="19"/>
      <c r="C489" s="5"/>
      <c r="D489" s="5"/>
      <c r="E489" s="5"/>
      <c r="F489" s="6"/>
      <c r="G489" s="7"/>
      <c r="H489" s="7"/>
      <c r="I489" s="7"/>
      <c r="J489" s="8"/>
      <c r="K489" s="9"/>
      <c r="L489" s="5"/>
      <c r="M489" s="9"/>
      <c r="N489" s="21"/>
      <c r="O489" s="20"/>
      <c r="P489" s="21"/>
      <c r="Q489" s="21"/>
      <c r="R489" s="21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2.75" customHeight="1" x14ac:dyDescent="0.25">
      <c r="A490" s="3"/>
      <c r="B490" s="19"/>
      <c r="C490" s="5"/>
      <c r="D490" s="5"/>
      <c r="E490" s="5"/>
      <c r="F490" s="6"/>
      <c r="G490" s="7"/>
      <c r="H490" s="7"/>
      <c r="I490" s="7"/>
      <c r="J490" s="8"/>
      <c r="K490" s="9"/>
      <c r="L490" s="5"/>
      <c r="M490" s="9"/>
      <c r="N490" s="21"/>
      <c r="O490" s="20"/>
      <c r="P490" s="21"/>
      <c r="Q490" s="21"/>
      <c r="R490" s="21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2.75" customHeight="1" x14ac:dyDescent="0.25">
      <c r="A491" s="3"/>
      <c r="B491" s="19"/>
      <c r="C491" s="5"/>
      <c r="D491" s="5"/>
      <c r="E491" s="5"/>
      <c r="F491" s="6"/>
      <c r="G491" s="7"/>
      <c r="H491" s="7"/>
      <c r="I491" s="7"/>
      <c r="J491" s="8"/>
      <c r="K491" s="9"/>
      <c r="L491" s="5"/>
      <c r="M491" s="9"/>
      <c r="N491" s="21"/>
      <c r="O491" s="20"/>
      <c r="P491" s="21"/>
      <c r="Q491" s="21"/>
      <c r="R491" s="21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2.75" customHeight="1" x14ac:dyDescent="0.25">
      <c r="A492" s="3"/>
      <c r="B492" s="19"/>
      <c r="C492" s="5"/>
      <c r="D492" s="5"/>
      <c r="E492" s="5"/>
      <c r="F492" s="6"/>
      <c r="G492" s="7"/>
      <c r="H492" s="7"/>
      <c r="I492" s="7"/>
      <c r="J492" s="8"/>
      <c r="K492" s="9"/>
      <c r="L492" s="5"/>
      <c r="M492" s="9"/>
      <c r="N492" s="21"/>
      <c r="O492" s="20"/>
      <c r="P492" s="21"/>
      <c r="Q492" s="21"/>
      <c r="R492" s="21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2.75" customHeight="1" x14ac:dyDescent="0.25">
      <c r="A493" s="3"/>
      <c r="B493" s="19"/>
      <c r="C493" s="5"/>
      <c r="D493" s="5"/>
      <c r="E493" s="5"/>
      <c r="F493" s="6"/>
      <c r="G493" s="7"/>
      <c r="H493" s="7"/>
      <c r="I493" s="7"/>
      <c r="J493" s="8"/>
      <c r="K493" s="9"/>
      <c r="L493" s="5"/>
      <c r="M493" s="9"/>
      <c r="N493" s="21"/>
      <c r="O493" s="20"/>
      <c r="P493" s="21"/>
      <c r="Q493" s="21"/>
      <c r="R493" s="21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2.75" customHeight="1" x14ac:dyDescent="0.25">
      <c r="A494" s="3"/>
      <c r="B494" s="19"/>
      <c r="C494" s="5"/>
      <c r="D494" s="5"/>
      <c r="E494" s="5"/>
      <c r="F494" s="6"/>
      <c r="G494" s="7"/>
      <c r="H494" s="7"/>
      <c r="I494" s="7"/>
      <c r="J494" s="8"/>
      <c r="K494" s="9"/>
      <c r="L494" s="5"/>
      <c r="M494" s="9"/>
      <c r="N494" s="21"/>
      <c r="O494" s="20"/>
      <c r="P494" s="21"/>
      <c r="Q494" s="21"/>
      <c r="R494" s="21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2.75" customHeight="1" x14ac:dyDescent="0.25">
      <c r="A495" s="3"/>
      <c r="B495" s="19"/>
      <c r="C495" s="5"/>
      <c r="D495" s="5"/>
      <c r="E495" s="5"/>
      <c r="F495" s="6"/>
      <c r="G495" s="7"/>
      <c r="H495" s="7"/>
      <c r="I495" s="7"/>
      <c r="J495" s="8"/>
      <c r="K495" s="9"/>
      <c r="L495" s="5"/>
      <c r="M495" s="9"/>
      <c r="N495" s="21"/>
      <c r="O495" s="20"/>
      <c r="P495" s="21"/>
      <c r="Q495" s="21"/>
      <c r="R495" s="21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2.75" customHeight="1" x14ac:dyDescent="0.25">
      <c r="A496" s="3"/>
      <c r="B496" s="19"/>
      <c r="C496" s="5"/>
      <c r="D496" s="5"/>
      <c r="E496" s="5"/>
      <c r="F496" s="6"/>
      <c r="G496" s="7"/>
      <c r="H496" s="7"/>
      <c r="I496" s="7"/>
      <c r="J496" s="8"/>
      <c r="K496" s="9"/>
      <c r="L496" s="5"/>
      <c r="M496" s="9"/>
      <c r="N496" s="21"/>
      <c r="O496" s="20"/>
      <c r="P496" s="21"/>
      <c r="Q496" s="21"/>
      <c r="R496" s="21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2.75" customHeight="1" x14ac:dyDescent="0.25">
      <c r="A497" s="3"/>
      <c r="B497" s="19"/>
      <c r="C497" s="5"/>
      <c r="D497" s="5"/>
      <c r="E497" s="5"/>
      <c r="F497" s="6"/>
      <c r="G497" s="7"/>
      <c r="H497" s="7"/>
      <c r="I497" s="7"/>
      <c r="J497" s="8"/>
      <c r="K497" s="9"/>
      <c r="L497" s="5"/>
      <c r="M497" s="9"/>
      <c r="N497" s="21"/>
      <c r="O497" s="20"/>
      <c r="P497" s="21"/>
      <c r="Q497" s="21"/>
      <c r="R497" s="21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2.75" customHeight="1" x14ac:dyDescent="0.25">
      <c r="A498" s="3"/>
      <c r="B498" s="19"/>
      <c r="C498" s="5"/>
      <c r="D498" s="5"/>
      <c r="E498" s="5"/>
      <c r="F498" s="6"/>
      <c r="G498" s="7"/>
      <c r="H498" s="7"/>
      <c r="I498" s="7"/>
      <c r="J498" s="8"/>
      <c r="K498" s="9"/>
      <c r="L498" s="5"/>
      <c r="M498" s="9"/>
      <c r="N498" s="21"/>
      <c r="O498" s="20"/>
      <c r="P498" s="21"/>
      <c r="Q498" s="21"/>
      <c r="R498" s="21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2.75" customHeight="1" x14ac:dyDescent="0.25">
      <c r="A499" s="3"/>
      <c r="B499" s="19"/>
      <c r="C499" s="5"/>
      <c r="D499" s="5"/>
      <c r="E499" s="5"/>
      <c r="F499" s="6"/>
      <c r="G499" s="7"/>
      <c r="H499" s="7"/>
      <c r="I499" s="7"/>
      <c r="J499" s="8"/>
      <c r="K499" s="9"/>
      <c r="L499" s="5"/>
      <c r="M499" s="9"/>
      <c r="N499" s="21"/>
      <c r="O499" s="20"/>
      <c r="P499" s="21"/>
      <c r="Q499" s="21"/>
      <c r="R499" s="21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2.75" customHeight="1" x14ac:dyDescent="0.25">
      <c r="A500" s="3"/>
      <c r="B500" s="19"/>
      <c r="C500" s="5"/>
      <c r="D500" s="5"/>
      <c r="E500" s="5"/>
      <c r="F500" s="6"/>
      <c r="G500" s="7"/>
      <c r="H500" s="7"/>
      <c r="I500" s="7"/>
      <c r="J500" s="8"/>
      <c r="K500" s="9"/>
      <c r="L500" s="5"/>
      <c r="M500" s="9"/>
      <c r="N500" s="21"/>
      <c r="O500" s="20"/>
      <c r="P500" s="21"/>
      <c r="Q500" s="21"/>
      <c r="R500" s="21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2.75" customHeight="1" x14ac:dyDescent="0.25">
      <c r="A501" s="3"/>
      <c r="B501" s="19"/>
      <c r="C501" s="5"/>
      <c r="D501" s="5"/>
      <c r="E501" s="5"/>
      <c r="F501" s="6"/>
      <c r="G501" s="7"/>
      <c r="H501" s="7"/>
      <c r="I501" s="7"/>
      <c r="J501" s="8"/>
      <c r="K501" s="9"/>
      <c r="L501" s="5"/>
      <c r="M501" s="9"/>
      <c r="N501" s="21"/>
      <c r="O501" s="20"/>
      <c r="P501" s="21"/>
      <c r="Q501" s="21"/>
      <c r="R501" s="21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2.75" customHeight="1" x14ac:dyDescent="0.25">
      <c r="A502" s="3"/>
      <c r="B502" s="19"/>
      <c r="C502" s="5"/>
      <c r="D502" s="5"/>
      <c r="E502" s="5"/>
      <c r="F502" s="6"/>
      <c r="G502" s="7"/>
      <c r="H502" s="7"/>
      <c r="I502" s="7"/>
      <c r="J502" s="8"/>
      <c r="K502" s="9"/>
      <c r="L502" s="5"/>
      <c r="M502" s="9"/>
      <c r="N502" s="21"/>
      <c r="O502" s="20"/>
      <c r="P502" s="21"/>
      <c r="Q502" s="21"/>
      <c r="R502" s="21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2.75" customHeight="1" x14ac:dyDescent="0.25">
      <c r="A503" s="3"/>
      <c r="B503" s="19"/>
      <c r="C503" s="5"/>
      <c r="D503" s="5"/>
      <c r="E503" s="5"/>
      <c r="F503" s="6"/>
      <c r="G503" s="7"/>
      <c r="H503" s="7"/>
      <c r="I503" s="7"/>
      <c r="J503" s="8"/>
      <c r="K503" s="9"/>
      <c r="L503" s="5"/>
      <c r="M503" s="9"/>
      <c r="N503" s="21"/>
      <c r="O503" s="20"/>
      <c r="P503" s="21"/>
      <c r="Q503" s="21"/>
      <c r="R503" s="21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2.75" customHeight="1" x14ac:dyDescent="0.25">
      <c r="A504" s="3"/>
      <c r="B504" s="19"/>
      <c r="C504" s="5"/>
      <c r="D504" s="5"/>
      <c r="E504" s="5"/>
      <c r="F504" s="6"/>
      <c r="G504" s="7"/>
      <c r="H504" s="7"/>
      <c r="I504" s="7"/>
      <c r="J504" s="8"/>
      <c r="K504" s="9"/>
      <c r="L504" s="5"/>
      <c r="M504" s="9"/>
      <c r="N504" s="21"/>
      <c r="O504" s="20"/>
      <c r="P504" s="21"/>
      <c r="Q504" s="21"/>
      <c r="R504" s="21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2.75" customHeight="1" x14ac:dyDescent="0.25">
      <c r="A505" s="3"/>
      <c r="B505" s="19"/>
      <c r="C505" s="5"/>
      <c r="D505" s="5"/>
      <c r="E505" s="5"/>
      <c r="F505" s="6"/>
      <c r="G505" s="7"/>
      <c r="H505" s="7"/>
      <c r="I505" s="7"/>
      <c r="J505" s="8"/>
      <c r="K505" s="9"/>
      <c r="L505" s="5"/>
      <c r="M505" s="9"/>
      <c r="N505" s="21"/>
      <c r="O505" s="20"/>
      <c r="P505" s="21"/>
      <c r="Q505" s="21"/>
      <c r="R505" s="21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2.75" customHeight="1" x14ac:dyDescent="0.25">
      <c r="A506" s="3"/>
      <c r="B506" s="19"/>
      <c r="C506" s="5"/>
      <c r="D506" s="5"/>
      <c r="E506" s="5"/>
      <c r="F506" s="6"/>
      <c r="G506" s="7"/>
      <c r="H506" s="7"/>
      <c r="I506" s="7"/>
      <c r="J506" s="8"/>
      <c r="K506" s="9"/>
      <c r="L506" s="5"/>
      <c r="M506" s="9"/>
      <c r="N506" s="21"/>
      <c r="O506" s="20"/>
      <c r="P506" s="21"/>
      <c r="Q506" s="21"/>
      <c r="R506" s="21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2.75" customHeight="1" x14ac:dyDescent="0.25">
      <c r="A507" s="3"/>
      <c r="B507" s="19"/>
      <c r="C507" s="5"/>
      <c r="D507" s="5"/>
      <c r="E507" s="5"/>
      <c r="F507" s="6"/>
      <c r="G507" s="7"/>
      <c r="H507" s="7"/>
      <c r="I507" s="7"/>
      <c r="J507" s="8"/>
      <c r="K507" s="9"/>
      <c r="L507" s="5"/>
      <c r="M507" s="9"/>
      <c r="N507" s="21"/>
      <c r="O507" s="20"/>
      <c r="P507" s="21"/>
      <c r="Q507" s="21"/>
      <c r="R507" s="21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2.75" customHeight="1" x14ac:dyDescent="0.25">
      <c r="A508" s="3"/>
      <c r="B508" s="19"/>
      <c r="C508" s="5"/>
      <c r="D508" s="5"/>
      <c r="E508" s="5"/>
      <c r="F508" s="6"/>
      <c r="G508" s="7"/>
      <c r="H508" s="7"/>
      <c r="I508" s="7"/>
      <c r="J508" s="8"/>
      <c r="K508" s="9"/>
      <c r="L508" s="5"/>
      <c r="M508" s="9"/>
      <c r="N508" s="21"/>
      <c r="O508" s="20"/>
      <c r="P508" s="21"/>
      <c r="Q508" s="21"/>
      <c r="R508" s="21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2.75" customHeight="1" x14ac:dyDescent="0.25">
      <c r="A509" s="3"/>
      <c r="B509" s="19"/>
      <c r="C509" s="5"/>
      <c r="D509" s="5"/>
      <c r="E509" s="5"/>
      <c r="F509" s="6"/>
      <c r="G509" s="7"/>
      <c r="H509" s="7"/>
      <c r="I509" s="7"/>
      <c r="J509" s="8"/>
      <c r="K509" s="9"/>
      <c r="L509" s="5"/>
      <c r="M509" s="9"/>
      <c r="N509" s="21"/>
      <c r="O509" s="20"/>
      <c r="P509" s="21"/>
      <c r="Q509" s="21"/>
      <c r="R509" s="21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2.75" customHeight="1" x14ac:dyDescent="0.25">
      <c r="A510" s="3"/>
      <c r="B510" s="19"/>
      <c r="C510" s="5"/>
      <c r="D510" s="5"/>
      <c r="E510" s="5"/>
      <c r="F510" s="6"/>
      <c r="G510" s="7"/>
      <c r="H510" s="7"/>
      <c r="I510" s="7"/>
      <c r="J510" s="8"/>
      <c r="K510" s="9"/>
      <c r="L510" s="5"/>
      <c r="M510" s="9"/>
      <c r="N510" s="21"/>
      <c r="O510" s="20"/>
      <c r="P510" s="21"/>
      <c r="Q510" s="21"/>
      <c r="R510" s="21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2.75" customHeight="1" x14ac:dyDescent="0.25">
      <c r="A511" s="3"/>
      <c r="B511" s="19"/>
      <c r="C511" s="5"/>
      <c r="D511" s="5"/>
      <c r="E511" s="5"/>
      <c r="F511" s="6"/>
      <c r="G511" s="7"/>
      <c r="H511" s="7"/>
      <c r="I511" s="7"/>
      <c r="J511" s="8"/>
      <c r="K511" s="9"/>
      <c r="L511" s="5"/>
      <c r="M511" s="9"/>
      <c r="N511" s="21"/>
      <c r="O511" s="20"/>
      <c r="P511" s="21"/>
      <c r="Q511" s="21"/>
      <c r="R511" s="21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2.75" customHeight="1" x14ac:dyDescent="0.25">
      <c r="A512" s="3"/>
      <c r="B512" s="19"/>
      <c r="C512" s="5"/>
      <c r="D512" s="5"/>
      <c r="E512" s="5"/>
      <c r="F512" s="6"/>
      <c r="G512" s="7"/>
      <c r="H512" s="7"/>
      <c r="I512" s="7"/>
      <c r="J512" s="8"/>
      <c r="K512" s="9"/>
      <c r="L512" s="5"/>
      <c r="M512" s="9"/>
      <c r="N512" s="21"/>
      <c r="O512" s="20"/>
      <c r="P512" s="21"/>
      <c r="Q512" s="21"/>
      <c r="R512" s="21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2.75" customHeight="1" x14ac:dyDescent="0.25">
      <c r="A513" s="3"/>
      <c r="B513" s="19"/>
      <c r="C513" s="5"/>
      <c r="D513" s="5"/>
      <c r="E513" s="5"/>
      <c r="F513" s="6"/>
      <c r="G513" s="7"/>
      <c r="H513" s="7"/>
      <c r="I513" s="7"/>
      <c r="J513" s="8"/>
      <c r="K513" s="9"/>
      <c r="L513" s="5"/>
      <c r="M513" s="9"/>
      <c r="N513" s="21"/>
      <c r="O513" s="20"/>
      <c r="P513" s="21"/>
      <c r="Q513" s="21"/>
      <c r="R513" s="21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2.75" customHeight="1" x14ac:dyDescent="0.25">
      <c r="A514" s="3"/>
      <c r="B514" s="19"/>
      <c r="C514" s="5"/>
      <c r="D514" s="5"/>
      <c r="E514" s="5"/>
      <c r="F514" s="6"/>
      <c r="G514" s="7"/>
      <c r="H514" s="7"/>
      <c r="I514" s="7"/>
      <c r="J514" s="8"/>
      <c r="K514" s="9"/>
      <c r="L514" s="5"/>
      <c r="M514" s="9"/>
      <c r="N514" s="21"/>
      <c r="O514" s="20"/>
      <c r="P514" s="21"/>
      <c r="Q514" s="21"/>
      <c r="R514" s="21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2.75" customHeight="1" x14ac:dyDescent="0.25">
      <c r="A515" s="3"/>
      <c r="B515" s="19"/>
      <c r="C515" s="5"/>
      <c r="D515" s="5"/>
      <c r="E515" s="5"/>
      <c r="F515" s="6"/>
      <c r="G515" s="7"/>
      <c r="H515" s="7"/>
      <c r="I515" s="7"/>
      <c r="J515" s="8"/>
      <c r="K515" s="9"/>
      <c r="L515" s="5"/>
      <c r="M515" s="9"/>
      <c r="N515" s="21"/>
      <c r="O515" s="20"/>
      <c r="P515" s="21"/>
      <c r="Q515" s="21"/>
      <c r="R515" s="21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2.75" customHeight="1" x14ac:dyDescent="0.25">
      <c r="A516" s="3"/>
      <c r="B516" s="19"/>
      <c r="C516" s="5"/>
      <c r="D516" s="5"/>
      <c r="E516" s="5"/>
      <c r="F516" s="6"/>
      <c r="G516" s="7"/>
      <c r="H516" s="7"/>
      <c r="I516" s="7"/>
      <c r="J516" s="8"/>
      <c r="K516" s="9"/>
      <c r="L516" s="5"/>
      <c r="M516" s="9"/>
      <c r="N516" s="21"/>
      <c r="O516" s="20"/>
      <c r="P516" s="21"/>
      <c r="Q516" s="21"/>
      <c r="R516" s="21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2.75" customHeight="1" x14ac:dyDescent="0.25">
      <c r="A517" s="3"/>
      <c r="B517" s="19"/>
      <c r="C517" s="5"/>
      <c r="D517" s="5"/>
      <c r="E517" s="5"/>
      <c r="F517" s="6"/>
      <c r="G517" s="7"/>
      <c r="H517" s="7"/>
      <c r="I517" s="7"/>
      <c r="J517" s="8"/>
      <c r="K517" s="9"/>
      <c r="L517" s="5"/>
      <c r="M517" s="9"/>
      <c r="N517" s="21"/>
      <c r="O517" s="20"/>
      <c r="P517" s="21"/>
      <c r="Q517" s="21"/>
      <c r="R517" s="21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2.75" customHeight="1" x14ac:dyDescent="0.25">
      <c r="A518" s="3"/>
      <c r="B518" s="19"/>
      <c r="C518" s="5"/>
      <c r="D518" s="5"/>
      <c r="E518" s="5"/>
      <c r="F518" s="6"/>
      <c r="G518" s="7"/>
      <c r="H518" s="7"/>
      <c r="I518" s="7"/>
      <c r="J518" s="8"/>
      <c r="K518" s="9"/>
      <c r="L518" s="5"/>
      <c r="M518" s="9"/>
      <c r="N518" s="21"/>
      <c r="O518" s="20"/>
      <c r="P518" s="21"/>
      <c r="Q518" s="21"/>
      <c r="R518" s="21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2.75" customHeight="1" x14ac:dyDescent="0.25">
      <c r="A519" s="3"/>
      <c r="B519" s="19"/>
      <c r="C519" s="5"/>
      <c r="D519" s="5"/>
      <c r="E519" s="5"/>
      <c r="F519" s="6"/>
      <c r="G519" s="7"/>
      <c r="H519" s="7"/>
      <c r="I519" s="7"/>
      <c r="J519" s="8"/>
      <c r="K519" s="9"/>
      <c r="L519" s="5"/>
      <c r="M519" s="9"/>
      <c r="N519" s="21"/>
      <c r="O519" s="20"/>
      <c r="P519" s="21"/>
      <c r="Q519" s="21"/>
      <c r="R519" s="21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2.75" customHeight="1" x14ac:dyDescent="0.25">
      <c r="A520" s="3"/>
      <c r="B520" s="19"/>
      <c r="C520" s="5"/>
      <c r="D520" s="5"/>
      <c r="E520" s="5"/>
      <c r="F520" s="6"/>
      <c r="G520" s="7"/>
      <c r="H520" s="7"/>
      <c r="I520" s="7"/>
      <c r="J520" s="8"/>
      <c r="K520" s="9"/>
      <c r="L520" s="5"/>
      <c r="M520" s="9"/>
      <c r="N520" s="21"/>
      <c r="O520" s="20"/>
      <c r="P520" s="21"/>
      <c r="Q520" s="21"/>
      <c r="R520" s="21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2.75" customHeight="1" x14ac:dyDescent="0.25">
      <c r="A521" s="3"/>
      <c r="B521" s="19"/>
      <c r="C521" s="5"/>
      <c r="D521" s="5"/>
      <c r="E521" s="5"/>
      <c r="F521" s="6"/>
      <c r="G521" s="7"/>
      <c r="H521" s="7"/>
      <c r="I521" s="7"/>
      <c r="J521" s="8"/>
      <c r="K521" s="9"/>
      <c r="L521" s="5"/>
      <c r="M521" s="9"/>
      <c r="N521" s="21"/>
      <c r="O521" s="20"/>
      <c r="P521" s="21"/>
      <c r="Q521" s="21"/>
      <c r="R521" s="21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2.75" customHeight="1" x14ac:dyDescent="0.25">
      <c r="A522" s="3"/>
      <c r="B522" s="19"/>
      <c r="C522" s="5"/>
      <c r="D522" s="5"/>
      <c r="E522" s="5"/>
      <c r="F522" s="6"/>
      <c r="G522" s="7"/>
      <c r="H522" s="7"/>
      <c r="I522" s="7"/>
      <c r="J522" s="8"/>
      <c r="K522" s="9"/>
      <c r="L522" s="5"/>
      <c r="M522" s="9"/>
      <c r="N522" s="21"/>
      <c r="O522" s="20"/>
      <c r="P522" s="21"/>
      <c r="Q522" s="21"/>
      <c r="R522" s="21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2.75" customHeight="1" x14ac:dyDescent="0.25">
      <c r="A523" s="3"/>
      <c r="B523" s="19"/>
      <c r="C523" s="5"/>
      <c r="D523" s="5"/>
      <c r="E523" s="5"/>
      <c r="F523" s="6"/>
      <c r="G523" s="7"/>
      <c r="H523" s="7"/>
      <c r="I523" s="7"/>
      <c r="J523" s="8"/>
      <c r="K523" s="9"/>
      <c r="L523" s="5"/>
      <c r="M523" s="9"/>
      <c r="N523" s="21"/>
      <c r="O523" s="20"/>
      <c r="P523" s="21"/>
      <c r="Q523" s="21"/>
      <c r="R523" s="21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2.75" customHeight="1" x14ac:dyDescent="0.25">
      <c r="A524" s="3"/>
      <c r="B524" s="19"/>
      <c r="C524" s="5"/>
      <c r="D524" s="5"/>
      <c r="E524" s="5"/>
      <c r="F524" s="6"/>
      <c r="G524" s="7"/>
      <c r="H524" s="7"/>
      <c r="I524" s="7"/>
      <c r="J524" s="8"/>
      <c r="K524" s="9"/>
      <c r="L524" s="5"/>
      <c r="M524" s="9"/>
      <c r="N524" s="21"/>
      <c r="O524" s="20"/>
      <c r="P524" s="21"/>
      <c r="Q524" s="21"/>
      <c r="R524" s="21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2.75" customHeight="1" x14ac:dyDescent="0.25">
      <c r="A525" s="3"/>
      <c r="B525" s="19"/>
      <c r="C525" s="5"/>
      <c r="D525" s="5"/>
      <c r="E525" s="5"/>
      <c r="F525" s="6"/>
      <c r="G525" s="7"/>
      <c r="H525" s="7"/>
      <c r="I525" s="7"/>
      <c r="J525" s="8"/>
      <c r="K525" s="9"/>
      <c r="L525" s="5"/>
      <c r="M525" s="9"/>
      <c r="N525" s="21"/>
      <c r="O525" s="20"/>
      <c r="P525" s="21"/>
      <c r="Q525" s="21"/>
      <c r="R525" s="21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2.75" customHeight="1" x14ac:dyDescent="0.25">
      <c r="A526" s="3"/>
      <c r="B526" s="19"/>
      <c r="C526" s="5"/>
      <c r="D526" s="5"/>
      <c r="E526" s="5"/>
      <c r="F526" s="6"/>
      <c r="G526" s="7"/>
      <c r="H526" s="7"/>
      <c r="I526" s="7"/>
      <c r="J526" s="8"/>
      <c r="K526" s="9"/>
      <c r="L526" s="5"/>
      <c r="M526" s="9"/>
      <c r="N526" s="21"/>
      <c r="O526" s="20"/>
      <c r="P526" s="21"/>
      <c r="Q526" s="21"/>
      <c r="R526" s="21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2.75" customHeight="1" x14ac:dyDescent="0.25">
      <c r="A527" s="3"/>
      <c r="B527" s="19"/>
      <c r="C527" s="5"/>
      <c r="D527" s="5"/>
      <c r="E527" s="5"/>
      <c r="F527" s="6"/>
      <c r="G527" s="7"/>
      <c r="H527" s="7"/>
      <c r="I527" s="7"/>
      <c r="J527" s="8"/>
      <c r="K527" s="9"/>
      <c r="L527" s="5"/>
      <c r="M527" s="9"/>
      <c r="N527" s="21"/>
      <c r="O527" s="20"/>
      <c r="P527" s="21"/>
      <c r="Q527" s="21"/>
      <c r="R527" s="21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2.75" customHeight="1" x14ac:dyDescent="0.25">
      <c r="A528" s="3"/>
      <c r="B528" s="19"/>
      <c r="C528" s="5"/>
      <c r="D528" s="5"/>
      <c r="E528" s="5"/>
      <c r="F528" s="6"/>
      <c r="G528" s="7"/>
      <c r="H528" s="7"/>
      <c r="I528" s="7"/>
      <c r="J528" s="8"/>
      <c r="K528" s="9"/>
      <c r="L528" s="5"/>
      <c r="M528" s="9"/>
      <c r="N528" s="21"/>
      <c r="O528" s="20"/>
      <c r="P528" s="21"/>
      <c r="Q528" s="21"/>
      <c r="R528" s="21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2.75" customHeight="1" x14ac:dyDescent="0.25">
      <c r="A529" s="3"/>
      <c r="B529" s="19"/>
      <c r="C529" s="5"/>
      <c r="D529" s="5"/>
      <c r="E529" s="5"/>
      <c r="F529" s="6"/>
      <c r="G529" s="7"/>
      <c r="H529" s="7"/>
      <c r="I529" s="7"/>
      <c r="J529" s="8"/>
      <c r="K529" s="9"/>
      <c r="L529" s="5"/>
      <c r="M529" s="9"/>
      <c r="N529" s="21"/>
      <c r="O529" s="20"/>
      <c r="P529" s="21"/>
      <c r="Q529" s="21"/>
      <c r="R529" s="21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2.75" customHeight="1" x14ac:dyDescent="0.25">
      <c r="A530" s="3"/>
      <c r="B530" s="19"/>
      <c r="C530" s="5"/>
      <c r="D530" s="5"/>
      <c r="E530" s="5"/>
      <c r="F530" s="6"/>
      <c r="G530" s="7"/>
      <c r="H530" s="7"/>
      <c r="I530" s="7"/>
      <c r="J530" s="8"/>
      <c r="K530" s="9"/>
      <c r="L530" s="5"/>
      <c r="M530" s="9"/>
      <c r="N530" s="21"/>
      <c r="O530" s="20"/>
      <c r="P530" s="21"/>
      <c r="Q530" s="21"/>
      <c r="R530" s="21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2.75" customHeight="1" x14ac:dyDescent="0.25">
      <c r="A531" s="3"/>
      <c r="B531" s="19"/>
      <c r="C531" s="5"/>
      <c r="D531" s="5"/>
      <c r="E531" s="5"/>
      <c r="F531" s="6"/>
      <c r="G531" s="7"/>
      <c r="H531" s="7"/>
      <c r="I531" s="7"/>
      <c r="J531" s="8"/>
      <c r="K531" s="9"/>
      <c r="L531" s="5"/>
      <c r="M531" s="9"/>
      <c r="N531" s="21"/>
      <c r="O531" s="20"/>
      <c r="P531" s="21"/>
      <c r="Q531" s="21"/>
      <c r="R531" s="21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2.75" customHeight="1" x14ac:dyDescent="0.25">
      <c r="A532" s="3"/>
      <c r="B532" s="19"/>
      <c r="C532" s="5"/>
      <c r="D532" s="5"/>
      <c r="E532" s="5"/>
      <c r="F532" s="6"/>
      <c r="G532" s="7"/>
      <c r="H532" s="7"/>
      <c r="I532" s="7"/>
      <c r="J532" s="8"/>
      <c r="K532" s="9"/>
      <c r="L532" s="5"/>
      <c r="M532" s="9"/>
      <c r="N532" s="21"/>
      <c r="O532" s="20"/>
      <c r="P532" s="21"/>
      <c r="Q532" s="21"/>
      <c r="R532" s="21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2.75" customHeight="1" x14ac:dyDescent="0.25">
      <c r="A533" s="3"/>
      <c r="B533" s="19"/>
      <c r="C533" s="5"/>
      <c r="D533" s="5"/>
      <c r="E533" s="5"/>
      <c r="F533" s="6"/>
      <c r="G533" s="7"/>
      <c r="H533" s="7"/>
      <c r="I533" s="7"/>
      <c r="J533" s="8"/>
      <c r="K533" s="9"/>
      <c r="L533" s="5"/>
      <c r="M533" s="9"/>
      <c r="N533" s="21"/>
      <c r="O533" s="20"/>
      <c r="P533" s="21"/>
      <c r="Q533" s="21"/>
      <c r="R533" s="21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2.75" customHeight="1" x14ac:dyDescent="0.25">
      <c r="A534" s="3"/>
      <c r="B534" s="19"/>
      <c r="C534" s="5"/>
      <c r="D534" s="5"/>
      <c r="E534" s="5"/>
      <c r="F534" s="6"/>
      <c r="G534" s="7"/>
      <c r="H534" s="7"/>
      <c r="I534" s="7"/>
      <c r="J534" s="8"/>
      <c r="K534" s="9"/>
      <c r="L534" s="5"/>
      <c r="M534" s="9"/>
      <c r="N534" s="21"/>
      <c r="O534" s="20"/>
      <c r="P534" s="21"/>
      <c r="Q534" s="21"/>
      <c r="R534" s="21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2.75" customHeight="1" x14ac:dyDescent="0.25">
      <c r="A535" s="3"/>
      <c r="B535" s="19"/>
      <c r="C535" s="5"/>
      <c r="D535" s="5"/>
      <c r="E535" s="5"/>
      <c r="F535" s="6"/>
      <c r="G535" s="7"/>
      <c r="H535" s="7"/>
      <c r="I535" s="7"/>
      <c r="J535" s="8"/>
      <c r="K535" s="9"/>
      <c r="L535" s="5"/>
      <c r="M535" s="9"/>
      <c r="N535" s="21"/>
      <c r="O535" s="20"/>
      <c r="P535" s="21"/>
      <c r="Q535" s="21"/>
      <c r="R535" s="21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2.75" customHeight="1" x14ac:dyDescent="0.25">
      <c r="A536" s="3"/>
      <c r="B536" s="19"/>
      <c r="C536" s="5"/>
      <c r="D536" s="5"/>
      <c r="E536" s="5"/>
      <c r="F536" s="6"/>
      <c r="G536" s="7"/>
      <c r="H536" s="7"/>
      <c r="I536" s="7"/>
      <c r="J536" s="8"/>
      <c r="K536" s="9"/>
      <c r="L536" s="5"/>
      <c r="M536" s="9"/>
      <c r="N536" s="21"/>
      <c r="O536" s="20"/>
      <c r="P536" s="21"/>
      <c r="Q536" s="21"/>
      <c r="R536" s="21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2.75" customHeight="1" x14ac:dyDescent="0.25">
      <c r="A537" s="3"/>
      <c r="B537" s="19"/>
      <c r="C537" s="5"/>
      <c r="D537" s="5"/>
      <c r="E537" s="5"/>
      <c r="F537" s="6"/>
      <c r="G537" s="7"/>
      <c r="H537" s="7"/>
      <c r="I537" s="7"/>
      <c r="J537" s="8"/>
      <c r="K537" s="9"/>
      <c r="L537" s="5"/>
      <c r="M537" s="9"/>
      <c r="N537" s="21"/>
      <c r="O537" s="20"/>
      <c r="P537" s="21"/>
      <c r="Q537" s="21"/>
      <c r="R537" s="21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2.75" customHeight="1" x14ac:dyDescent="0.25">
      <c r="A538" s="3"/>
      <c r="B538" s="19"/>
      <c r="C538" s="5"/>
      <c r="D538" s="5"/>
      <c r="E538" s="5"/>
      <c r="F538" s="6"/>
      <c r="G538" s="7"/>
      <c r="H538" s="7"/>
      <c r="I538" s="7"/>
      <c r="J538" s="8"/>
      <c r="K538" s="9"/>
      <c r="L538" s="5"/>
      <c r="M538" s="9"/>
      <c r="N538" s="21"/>
      <c r="O538" s="20"/>
      <c r="P538" s="21"/>
      <c r="Q538" s="21"/>
      <c r="R538" s="21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2.75" customHeight="1" x14ac:dyDescent="0.25">
      <c r="A539" s="3"/>
      <c r="B539" s="19"/>
      <c r="C539" s="5"/>
      <c r="D539" s="5"/>
      <c r="E539" s="5"/>
      <c r="F539" s="6"/>
      <c r="G539" s="7"/>
      <c r="H539" s="7"/>
      <c r="I539" s="7"/>
      <c r="J539" s="8"/>
      <c r="K539" s="9"/>
      <c r="L539" s="5"/>
      <c r="M539" s="9"/>
      <c r="N539" s="21"/>
      <c r="O539" s="20"/>
      <c r="P539" s="21"/>
      <c r="Q539" s="21"/>
      <c r="R539" s="21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2.75" customHeight="1" x14ac:dyDescent="0.25">
      <c r="A540" s="3"/>
      <c r="B540" s="19"/>
      <c r="C540" s="5"/>
      <c r="D540" s="5"/>
      <c r="E540" s="5"/>
      <c r="F540" s="6"/>
      <c r="G540" s="7"/>
      <c r="H540" s="7"/>
      <c r="I540" s="7"/>
      <c r="J540" s="8"/>
      <c r="K540" s="9"/>
      <c r="L540" s="5"/>
      <c r="M540" s="9"/>
      <c r="N540" s="21"/>
      <c r="O540" s="20"/>
      <c r="P540" s="21"/>
      <c r="Q540" s="21"/>
      <c r="R540" s="21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2.75" customHeight="1" x14ac:dyDescent="0.25">
      <c r="A541" s="3"/>
      <c r="B541" s="19"/>
      <c r="C541" s="5"/>
      <c r="D541" s="5"/>
      <c r="E541" s="5"/>
      <c r="F541" s="6"/>
      <c r="G541" s="7"/>
      <c r="H541" s="7"/>
      <c r="I541" s="7"/>
      <c r="J541" s="8"/>
      <c r="K541" s="9"/>
      <c r="L541" s="5"/>
      <c r="M541" s="9"/>
      <c r="N541" s="21"/>
      <c r="O541" s="20"/>
      <c r="P541" s="21"/>
      <c r="Q541" s="21"/>
      <c r="R541" s="21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2.75" customHeight="1" x14ac:dyDescent="0.25">
      <c r="A542" s="3"/>
      <c r="B542" s="19"/>
      <c r="C542" s="5"/>
      <c r="D542" s="5"/>
      <c r="E542" s="5"/>
      <c r="F542" s="6"/>
      <c r="G542" s="7"/>
      <c r="H542" s="7"/>
      <c r="I542" s="7"/>
      <c r="J542" s="8"/>
      <c r="K542" s="9"/>
      <c r="L542" s="5"/>
      <c r="M542" s="9"/>
      <c r="N542" s="21"/>
      <c r="O542" s="20"/>
      <c r="P542" s="21"/>
      <c r="Q542" s="21"/>
      <c r="R542" s="21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2.75" customHeight="1" x14ac:dyDescent="0.25">
      <c r="A543" s="3"/>
      <c r="B543" s="19"/>
      <c r="C543" s="5"/>
      <c r="D543" s="5"/>
      <c r="E543" s="5"/>
      <c r="F543" s="6"/>
      <c r="G543" s="7"/>
      <c r="H543" s="7"/>
      <c r="I543" s="7"/>
      <c r="J543" s="8"/>
      <c r="K543" s="9"/>
      <c r="L543" s="5"/>
      <c r="M543" s="9"/>
      <c r="N543" s="21"/>
      <c r="O543" s="20"/>
      <c r="P543" s="21"/>
      <c r="Q543" s="21"/>
      <c r="R543" s="21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2.75" customHeight="1" x14ac:dyDescent="0.25">
      <c r="A544" s="3"/>
      <c r="B544" s="19"/>
      <c r="C544" s="5"/>
      <c r="D544" s="5"/>
      <c r="E544" s="5"/>
      <c r="F544" s="6"/>
      <c r="G544" s="7"/>
      <c r="H544" s="7"/>
      <c r="I544" s="7"/>
      <c r="J544" s="8"/>
      <c r="K544" s="9"/>
      <c r="L544" s="5"/>
      <c r="M544" s="9"/>
      <c r="N544" s="21"/>
      <c r="O544" s="20"/>
      <c r="P544" s="21"/>
      <c r="Q544" s="21"/>
      <c r="R544" s="21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2.75" customHeight="1" x14ac:dyDescent="0.25">
      <c r="A545" s="3"/>
      <c r="B545" s="19"/>
      <c r="C545" s="5"/>
      <c r="D545" s="5"/>
      <c r="E545" s="5"/>
      <c r="F545" s="6"/>
      <c r="G545" s="7"/>
      <c r="H545" s="7"/>
      <c r="I545" s="7"/>
      <c r="J545" s="8"/>
      <c r="K545" s="9"/>
      <c r="L545" s="5"/>
      <c r="M545" s="9"/>
      <c r="N545" s="21"/>
      <c r="O545" s="20"/>
      <c r="P545" s="21"/>
      <c r="Q545" s="21"/>
      <c r="R545" s="21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2.75" customHeight="1" x14ac:dyDescent="0.25">
      <c r="A546" s="3"/>
      <c r="B546" s="19"/>
      <c r="C546" s="5"/>
      <c r="D546" s="5"/>
      <c r="E546" s="5"/>
      <c r="F546" s="6"/>
      <c r="G546" s="7"/>
      <c r="H546" s="7"/>
      <c r="I546" s="7"/>
      <c r="J546" s="8"/>
      <c r="K546" s="9"/>
      <c r="L546" s="5"/>
      <c r="M546" s="9"/>
      <c r="N546" s="21"/>
      <c r="O546" s="20"/>
      <c r="P546" s="21"/>
      <c r="Q546" s="21"/>
      <c r="R546" s="21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2.75" customHeight="1" x14ac:dyDescent="0.25">
      <c r="A547" s="3"/>
      <c r="B547" s="19"/>
      <c r="C547" s="5"/>
      <c r="D547" s="5"/>
      <c r="E547" s="5"/>
      <c r="F547" s="6"/>
      <c r="G547" s="7"/>
      <c r="H547" s="7"/>
      <c r="I547" s="7"/>
      <c r="J547" s="8"/>
      <c r="K547" s="9"/>
      <c r="L547" s="5"/>
      <c r="M547" s="9"/>
      <c r="N547" s="21"/>
      <c r="O547" s="20"/>
      <c r="P547" s="21"/>
      <c r="Q547" s="21"/>
      <c r="R547" s="21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2.75" customHeight="1" x14ac:dyDescent="0.25">
      <c r="A548" s="3"/>
      <c r="B548" s="19"/>
      <c r="C548" s="5"/>
      <c r="D548" s="5"/>
      <c r="E548" s="5"/>
      <c r="F548" s="6"/>
      <c r="G548" s="7"/>
      <c r="H548" s="7"/>
      <c r="I548" s="7"/>
      <c r="J548" s="8"/>
      <c r="K548" s="9"/>
      <c r="L548" s="5"/>
      <c r="M548" s="9"/>
      <c r="N548" s="21"/>
      <c r="O548" s="20"/>
      <c r="P548" s="21"/>
      <c r="Q548" s="21"/>
      <c r="R548" s="21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2.75" customHeight="1" x14ac:dyDescent="0.25">
      <c r="A549" s="3"/>
      <c r="B549" s="19"/>
      <c r="C549" s="5"/>
      <c r="D549" s="5"/>
      <c r="E549" s="5"/>
      <c r="F549" s="6"/>
      <c r="G549" s="7"/>
      <c r="H549" s="7"/>
      <c r="I549" s="7"/>
      <c r="J549" s="8"/>
      <c r="K549" s="9"/>
      <c r="L549" s="5"/>
      <c r="M549" s="9"/>
      <c r="N549" s="21"/>
      <c r="O549" s="20"/>
      <c r="P549" s="21"/>
      <c r="Q549" s="21"/>
      <c r="R549" s="21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2.75" customHeight="1" x14ac:dyDescent="0.25">
      <c r="A550" s="3"/>
      <c r="B550" s="19"/>
      <c r="C550" s="5"/>
      <c r="D550" s="5"/>
      <c r="E550" s="5"/>
      <c r="F550" s="6"/>
      <c r="G550" s="7"/>
      <c r="H550" s="7"/>
      <c r="I550" s="7"/>
      <c r="J550" s="8"/>
      <c r="K550" s="9"/>
      <c r="L550" s="5"/>
      <c r="M550" s="9"/>
      <c r="N550" s="21"/>
      <c r="O550" s="20"/>
      <c r="P550" s="21"/>
      <c r="Q550" s="21"/>
      <c r="R550" s="21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2.75" customHeight="1" x14ac:dyDescent="0.25">
      <c r="A551" s="3"/>
      <c r="B551" s="19"/>
      <c r="C551" s="5"/>
      <c r="D551" s="5"/>
      <c r="E551" s="5"/>
      <c r="F551" s="6"/>
      <c r="G551" s="7"/>
      <c r="H551" s="7"/>
      <c r="I551" s="7"/>
      <c r="J551" s="8"/>
      <c r="K551" s="9"/>
      <c r="L551" s="5"/>
      <c r="M551" s="9"/>
      <c r="N551" s="21"/>
      <c r="O551" s="20"/>
      <c r="P551" s="21"/>
      <c r="Q551" s="21"/>
      <c r="R551" s="21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2.75" customHeight="1" x14ac:dyDescent="0.25">
      <c r="A552" s="3"/>
      <c r="B552" s="19"/>
      <c r="C552" s="5"/>
      <c r="D552" s="5"/>
      <c r="E552" s="5"/>
      <c r="F552" s="6"/>
      <c r="G552" s="7"/>
      <c r="H552" s="7"/>
      <c r="I552" s="7"/>
      <c r="J552" s="8"/>
      <c r="K552" s="9"/>
      <c r="L552" s="5"/>
      <c r="M552" s="9"/>
      <c r="N552" s="21"/>
      <c r="O552" s="20"/>
      <c r="P552" s="21"/>
      <c r="Q552" s="21"/>
      <c r="R552" s="21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2.75" customHeight="1" x14ac:dyDescent="0.25">
      <c r="A553" s="3"/>
      <c r="B553" s="19"/>
      <c r="C553" s="5"/>
      <c r="D553" s="5"/>
      <c r="E553" s="5"/>
      <c r="F553" s="6"/>
      <c r="G553" s="7"/>
      <c r="H553" s="7"/>
      <c r="I553" s="7"/>
      <c r="J553" s="8"/>
      <c r="K553" s="9"/>
      <c r="L553" s="5"/>
      <c r="M553" s="9"/>
      <c r="N553" s="21"/>
      <c r="O553" s="20"/>
      <c r="P553" s="21"/>
      <c r="Q553" s="21"/>
      <c r="R553" s="21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2.75" customHeight="1" x14ac:dyDescent="0.25">
      <c r="A554" s="3"/>
      <c r="B554" s="19"/>
      <c r="C554" s="5"/>
      <c r="D554" s="5"/>
      <c r="E554" s="5"/>
      <c r="F554" s="6"/>
      <c r="G554" s="7"/>
      <c r="H554" s="7"/>
      <c r="I554" s="7"/>
      <c r="J554" s="8"/>
      <c r="K554" s="9"/>
      <c r="L554" s="5"/>
      <c r="M554" s="9"/>
      <c r="N554" s="21"/>
      <c r="O554" s="20"/>
      <c r="P554" s="21"/>
      <c r="Q554" s="21"/>
      <c r="R554" s="21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2.75" customHeight="1" x14ac:dyDescent="0.25">
      <c r="A555" s="3"/>
      <c r="B555" s="19"/>
      <c r="C555" s="5"/>
      <c r="D555" s="5"/>
      <c r="E555" s="5"/>
      <c r="F555" s="6"/>
      <c r="G555" s="7"/>
      <c r="H555" s="7"/>
      <c r="I555" s="7"/>
      <c r="J555" s="8"/>
      <c r="K555" s="9"/>
      <c r="L555" s="5"/>
      <c r="M555" s="9"/>
      <c r="N555" s="21"/>
      <c r="O555" s="20"/>
      <c r="P555" s="21"/>
      <c r="Q555" s="21"/>
      <c r="R555" s="21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2.75" customHeight="1" x14ac:dyDescent="0.25">
      <c r="A556" s="3"/>
      <c r="B556" s="19"/>
      <c r="C556" s="5"/>
      <c r="D556" s="5"/>
      <c r="E556" s="5"/>
      <c r="F556" s="6"/>
      <c r="G556" s="7"/>
      <c r="H556" s="7"/>
      <c r="I556" s="7"/>
      <c r="J556" s="8"/>
      <c r="K556" s="9"/>
      <c r="L556" s="5"/>
      <c r="M556" s="9"/>
      <c r="N556" s="21"/>
      <c r="O556" s="20"/>
      <c r="P556" s="21"/>
      <c r="Q556" s="21"/>
      <c r="R556" s="21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2.75" customHeight="1" x14ac:dyDescent="0.25">
      <c r="A557" s="3"/>
      <c r="B557" s="19"/>
      <c r="C557" s="5"/>
      <c r="D557" s="5"/>
      <c r="E557" s="5"/>
      <c r="F557" s="6"/>
      <c r="G557" s="7"/>
      <c r="H557" s="7"/>
      <c r="I557" s="7"/>
      <c r="J557" s="8"/>
      <c r="K557" s="9"/>
      <c r="L557" s="5"/>
      <c r="M557" s="9"/>
      <c r="N557" s="21"/>
      <c r="O557" s="20"/>
      <c r="P557" s="21"/>
      <c r="Q557" s="21"/>
      <c r="R557" s="21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2.75" customHeight="1" x14ac:dyDescent="0.25">
      <c r="A558" s="3"/>
      <c r="B558" s="19"/>
      <c r="C558" s="5"/>
      <c r="D558" s="5"/>
      <c r="E558" s="5"/>
      <c r="F558" s="6"/>
      <c r="G558" s="7"/>
      <c r="H558" s="7"/>
      <c r="I558" s="7"/>
      <c r="J558" s="8"/>
      <c r="K558" s="9"/>
      <c r="L558" s="5"/>
      <c r="M558" s="9"/>
      <c r="N558" s="21"/>
      <c r="O558" s="20"/>
      <c r="P558" s="21"/>
      <c r="Q558" s="21"/>
      <c r="R558" s="21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2.75" customHeight="1" x14ac:dyDescent="0.25">
      <c r="A559" s="3"/>
      <c r="B559" s="19"/>
      <c r="C559" s="5"/>
      <c r="D559" s="5"/>
      <c r="E559" s="5"/>
      <c r="F559" s="6"/>
      <c r="G559" s="7"/>
      <c r="H559" s="7"/>
      <c r="I559" s="7"/>
      <c r="J559" s="8"/>
      <c r="K559" s="9"/>
      <c r="L559" s="5"/>
      <c r="M559" s="9"/>
      <c r="N559" s="21"/>
      <c r="O559" s="20"/>
      <c r="P559" s="21"/>
      <c r="Q559" s="21"/>
      <c r="R559" s="21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2.75" customHeight="1" x14ac:dyDescent="0.25">
      <c r="A560" s="3"/>
      <c r="B560" s="19"/>
      <c r="C560" s="5"/>
      <c r="D560" s="5"/>
      <c r="E560" s="5"/>
      <c r="F560" s="6"/>
      <c r="G560" s="7"/>
      <c r="H560" s="7"/>
      <c r="I560" s="7"/>
      <c r="J560" s="8"/>
      <c r="K560" s="9"/>
      <c r="L560" s="5"/>
      <c r="M560" s="9"/>
      <c r="N560" s="21"/>
      <c r="O560" s="20"/>
      <c r="P560" s="21"/>
      <c r="Q560" s="21"/>
      <c r="R560" s="21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2.75" customHeight="1" x14ac:dyDescent="0.25">
      <c r="A561" s="3"/>
      <c r="B561" s="19"/>
      <c r="C561" s="5"/>
      <c r="D561" s="5"/>
      <c r="E561" s="5"/>
      <c r="F561" s="6"/>
      <c r="G561" s="7"/>
      <c r="H561" s="7"/>
      <c r="I561" s="7"/>
      <c r="J561" s="8"/>
      <c r="K561" s="9"/>
      <c r="L561" s="5"/>
      <c r="M561" s="9"/>
      <c r="N561" s="21"/>
      <c r="O561" s="20"/>
      <c r="P561" s="21"/>
      <c r="Q561" s="21"/>
      <c r="R561" s="21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2.75" customHeight="1" x14ac:dyDescent="0.25">
      <c r="A562" s="3"/>
      <c r="B562" s="19"/>
      <c r="C562" s="5"/>
      <c r="D562" s="5"/>
      <c r="E562" s="5"/>
      <c r="F562" s="6"/>
      <c r="G562" s="7"/>
      <c r="H562" s="7"/>
      <c r="I562" s="7"/>
      <c r="J562" s="8"/>
      <c r="K562" s="9"/>
      <c r="L562" s="5"/>
      <c r="M562" s="9"/>
      <c r="N562" s="21"/>
      <c r="O562" s="20"/>
      <c r="P562" s="21"/>
      <c r="Q562" s="21"/>
      <c r="R562" s="21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2.75" customHeight="1" x14ac:dyDescent="0.25">
      <c r="A563" s="3"/>
      <c r="B563" s="19"/>
      <c r="C563" s="5"/>
      <c r="D563" s="5"/>
      <c r="E563" s="5"/>
      <c r="F563" s="6"/>
      <c r="G563" s="7"/>
      <c r="H563" s="7"/>
      <c r="I563" s="7"/>
      <c r="J563" s="8"/>
      <c r="K563" s="9"/>
      <c r="L563" s="5"/>
      <c r="M563" s="9"/>
      <c r="N563" s="21"/>
      <c r="O563" s="20"/>
      <c r="P563" s="21"/>
      <c r="Q563" s="21"/>
      <c r="R563" s="21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2.75" customHeight="1" x14ac:dyDescent="0.25">
      <c r="A564" s="3"/>
      <c r="B564" s="19"/>
      <c r="C564" s="5"/>
      <c r="D564" s="5"/>
      <c r="E564" s="5"/>
      <c r="F564" s="6"/>
      <c r="G564" s="7"/>
      <c r="H564" s="7"/>
      <c r="I564" s="7"/>
      <c r="J564" s="8"/>
      <c r="K564" s="9"/>
      <c r="L564" s="5"/>
      <c r="M564" s="9"/>
      <c r="N564" s="21"/>
      <c r="O564" s="20"/>
      <c r="P564" s="21"/>
      <c r="Q564" s="21"/>
      <c r="R564" s="21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2.75" customHeight="1" x14ac:dyDescent="0.25">
      <c r="A565" s="3"/>
      <c r="B565" s="19"/>
      <c r="C565" s="5"/>
      <c r="D565" s="5"/>
      <c r="E565" s="5"/>
      <c r="F565" s="6"/>
      <c r="G565" s="7"/>
      <c r="H565" s="7"/>
      <c r="I565" s="7"/>
      <c r="J565" s="8"/>
      <c r="K565" s="9"/>
      <c r="L565" s="5"/>
      <c r="M565" s="9"/>
      <c r="N565" s="21"/>
      <c r="O565" s="20"/>
      <c r="P565" s="21"/>
      <c r="Q565" s="21"/>
      <c r="R565" s="21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2.75" customHeight="1" x14ac:dyDescent="0.25">
      <c r="A566" s="3"/>
      <c r="B566" s="19"/>
      <c r="C566" s="5"/>
      <c r="D566" s="5"/>
      <c r="E566" s="5"/>
      <c r="F566" s="6"/>
      <c r="G566" s="7"/>
      <c r="H566" s="7"/>
      <c r="I566" s="7"/>
      <c r="J566" s="8"/>
      <c r="K566" s="9"/>
      <c r="L566" s="5"/>
      <c r="M566" s="9"/>
      <c r="N566" s="21"/>
      <c r="O566" s="20"/>
      <c r="P566" s="21"/>
      <c r="Q566" s="21"/>
      <c r="R566" s="21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2.75" customHeight="1" x14ac:dyDescent="0.25">
      <c r="A567" s="3"/>
      <c r="B567" s="19"/>
      <c r="C567" s="5"/>
      <c r="D567" s="5"/>
      <c r="E567" s="5"/>
      <c r="F567" s="6"/>
      <c r="G567" s="7"/>
      <c r="H567" s="7"/>
      <c r="I567" s="7"/>
      <c r="J567" s="8"/>
      <c r="K567" s="9"/>
      <c r="L567" s="5"/>
      <c r="M567" s="9"/>
      <c r="N567" s="21"/>
      <c r="O567" s="20"/>
      <c r="P567" s="21"/>
      <c r="Q567" s="21"/>
      <c r="R567" s="21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2.75" customHeight="1" x14ac:dyDescent="0.25">
      <c r="A568" s="3"/>
      <c r="B568" s="19"/>
      <c r="C568" s="5"/>
      <c r="D568" s="5"/>
      <c r="E568" s="5"/>
      <c r="F568" s="6"/>
      <c r="G568" s="7"/>
      <c r="H568" s="7"/>
      <c r="I568" s="7"/>
      <c r="J568" s="8"/>
      <c r="K568" s="9"/>
      <c r="L568" s="5"/>
      <c r="M568" s="9"/>
      <c r="N568" s="21"/>
      <c r="O568" s="20"/>
      <c r="P568" s="21"/>
      <c r="Q568" s="21"/>
      <c r="R568" s="21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2.75" customHeight="1" x14ac:dyDescent="0.25">
      <c r="A569" s="3"/>
      <c r="B569" s="19"/>
      <c r="C569" s="5"/>
      <c r="D569" s="5"/>
      <c r="E569" s="5"/>
      <c r="F569" s="6"/>
      <c r="G569" s="7"/>
      <c r="H569" s="7"/>
      <c r="I569" s="7"/>
      <c r="J569" s="8"/>
      <c r="K569" s="9"/>
      <c r="L569" s="5"/>
      <c r="M569" s="9"/>
      <c r="N569" s="21"/>
      <c r="O569" s="20"/>
      <c r="P569" s="21"/>
      <c r="Q569" s="21"/>
      <c r="R569" s="21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2.75" customHeight="1" x14ac:dyDescent="0.25">
      <c r="A570" s="3"/>
      <c r="B570" s="19"/>
      <c r="C570" s="5"/>
      <c r="D570" s="5"/>
      <c r="E570" s="5"/>
      <c r="F570" s="6"/>
      <c r="G570" s="7"/>
      <c r="H570" s="7"/>
      <c r="I570" s="7"/>
      <c r="J570" s="8"/>
      <c r="K570" s="9"/>
      <c r="L570" s="5"/>
      <c r="M570" s="9"/>
      <c r="N570" s="21"/>
      <c r="O570" s="20"/>
      <c r="P570" s="21"/>
      <c r="Q570" s="21"/>
      <c r="R570" s="21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2.75" customHeight="1" x14ac:dyDescent="0.25">
      <c r="A571" s="3"/>
      <c r="B571" s="19"/>
      <c r="C571" s="5"/>
      <c r="D571" s="5"/>
      <c r="E571" s="5"/>
      <c r="F571" s="6"/>
      <c r="G571" s="7"/>
      <c r="H571" s="7"/>
      <c r="I571" s="7"/>
      <c r="J571" s="8"/>
      <c r="K571" s="9"/>
      <c r="L571" s="5"/>
      <c r="M571" s="9"/>
      <c r="N571" s="21"/>
      <c r="O571" s="20"/>
      <c r="P571" s="21"/>
      <c r="Q571" s="21"/>
      <c r="R571" s="21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2.75" customHeight="1" x14ac:dyDescent="0.25">
      <c r="A572" s="3"/>
      <c r="B572" s="19"/>
      <c r="C572" s="5"/>
      <c r="D572" s="5"/>
      <c r="E572" s="5"/>
      <c r="F572" s="6"/>
      <c r="G572" s="7"/>
      <c r="H572" s="7"/>
      <c r="I572" s="7"/>
      <c r="J572" s="8"/>
      <c r="K572" s="9"/>
      <c r="L572" s="5"/>
      <c r="M572" s="9"/>
      <c r="N572" s="21"/>
      <c r="O572" s="20"/>
      <c r="P572" s="21"/>
      <c r="Q572" s="21"/>
      <c r="R572" s="21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2.75" customHeight="1" x14ac:dyDescent="0.25">
      <c r="A573" s="3"/>
      <c r="B573" s="19"/>
      <c r="C573" s="5"/>
      <c r="D573" s="5"/>
      <c r="E573" s="5"/>
      <c r="F573" s="6"/>
      <c r="G573" s="7"/>
      <c r="H573" s="7"/>
      <c r="I573" s="7"/>
      <c r="J573" s="8"/>
      <c r="K573" s="9"/>
      <c r="L573" s="5"/>
      <c r="M573" s="9"/>
      <c r="N573" s="21"/>
      <c r="O573" s="20"/>
      <c r="P573" s="21"/>
      <c r="Q573" s="21"/>
      <c r="R573" s="21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2.75" customHeight="1" x14ac:dyDescent="0.25">
      <c r="A574" s="3"/>
      <c r="B574" s="19"/>
      <c r="C574" s="5"/>
      <c r="D574" s="5"/>
      <c r="E574" s="5"/>
      <c r="F574" s="6"/>
      <c r="G574" s="7"/>
      <c r="H574" s="7"/>
      <c r="I574" s="7"/>
      <c r="J574" s="8"/>
      <c r="K574" s="9"/>
      <c r="L574" s="5"/>
      <c r="M574" s="9"/>
      <c r="N574" s="21"/>
      <c r="O574" s="20"/>
      <c r="P574" s="21"/>
      <c r="Q574" s="21"/>
      <c r="R574" s="21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2.75" customHeight="1" x14ac:dyDescent="0.25">
      <c r="A575" s="3"/>
      <c r="B575" s="19"/>
      <c r="C575" s="5"/>
      <c r="D575" s="5"/>
      <c r="E575" s="5"/>
      <c r="F575" s="6"/>
      <c r="G575" s="7"/>
      <c r="H575" s="7"/>
      <c r="I575" s="7"/>
      <c r="J575" s="8"/>
      <c r="K575" s="9"/>
      <c r="L575" s="5"/>
      <c r="M575" s="9"/>
      <c r="N575" s="21"/>
      <c r="O575" s="20"/>
      <c r="P575" s="21"/>
      <c r="Q575" s="21"/>
      <c r="R575" s="21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2.75" customHeight="1" x14ac:dyDescent="0.25">
      <c r="A576" s="3"/>
      <c r="B576" s="19"/>
      <c r="C576" s="5"/>
      <c r="D576" s="5"/>
      <c r="E576" s="5"/>
      <c r="F576" s="6"/>
      <c r="G576" s="7"/>
      <c r="H576" s="7"/>
      <c r="I576" s="7"/>
      <c r="J576" s="8"/>
      <c r="K576" s="9"/>
      <c r="L576" s="5"/>
      <c r="M576" s="9"/>
      <c r="N576" s="21"/>
      <c r="O576" s="20"/>
      <c r="P576" s="21"/>
      <c r="Q576" s="21"/>
      <c r="R576" s="21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2.75" customHeight="1" x14ac:dyDescent="0.25">
      <c r="A577" s="3"/>
      <c r="B577" s="19"/>
      <c r="C577" s="5"/>
      <c r="D577" s="5"/>
      <c r="E577" s="5"/>
      <c r="F577" s="6"/>
      <c r="G577" s="7"/>
      <c r="H577" s="7"/>
      <c r="I577" s="7"/>
      <c r="J577" s="8"/>
      <c r="K577" s="9"/>
      <c r="L577" s="5"/>
      <c r="M577" s="9"/>
      <c r="N577" s="21"/>
      <c r="O577" s="20"/>
      <c r="P577" s="21"/>
      <c r="Q577" s="21"/>
      <c r="R577" s="21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2.75" customHeight="1" x14ac:dyDescent="0.25">
      <c r="A578" s="3"/>
      <c r="B578" s="19"/>
      <c r="C578" s="5"/>
      <c r="D578" s="5"/>
      <c r="E578" s="5"/>
      <c r="F578" s="6"/>
      <c r="G578" s="7"/>
      <c r="H578" s="7"/>
      <c r="I578" s="7"/>
      <c r="J578" s="8"/>
      <c r="K578" s="9"/>
      <c r="L578" s="5"/>
      <c r="M578" s="9"/>
      <c r="N578" s="21"/>
      <c r="O578" s="20"/>
      <c r="P578" s="21"/>
      <c r="Q578" s="21"/>
      <c r="R578" s="21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2.75" customHeight="1" x14ac:dyDescent="0.25">
      <c r="A579" s="3"/>
      <c r="B579" s="19"/>
      <c r="C579" s="5"/>
      <c r="D579" s="5"/>
      <c r="E579" s="5"/>
      <c r="F579" s="6"/>
      <c r="G579" s="7"/>
      <c r="H579" s="7"/>
      <c r="I579" s="7"/>
      <c r="J579" s="8"/>
      <c r="K579" s="9"/>
      <c r="L579" s="5"/>
      <c r="M579" s="9"/>
      <c r="N579" s="21"/>
      <c r="O579" s="20"/>
      <c r="P579" s="21"/>
      <c r="Q579" s="21"/>
      <c r="R579" s="21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2.75" customHeight="1" x14ac:dyDescent="0.25">
      <c r="A580" s="3"/>
      <c r="B580" s="19"/>
      <c r="C580" s="5"/>
      <c r="D580" s="5"/>
      <c r="E580" s="5"/>
      <c r="F580" s="6"/>
      <c r="G580" s="7"/>
      <c r="H580" s="7"/>
      <c r="I580" s="7"/>
      <c r="J580" s="8"/>
      <c r="K580" s="9"/>
      <c r="L580" s="5"/>
      <c r="M580" s="9"/>
      <c r="N580" s="21"/>
      <c r="O580" s="20"/>
      <c r="P580" s="21"/>
      <c r="Q580" s="21"/>
      <c r="R580" s="21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2.75" customHeight="1" x14ac:dyDescent="0.25">
      <c r="A581" s="3"/>
      <c r="B581" s="19"/>
      <c r="C581" s="5"/>
      <c r="D581" s="5"/>
      <c r="E581" s="5"/>
      <c r="F581" s="6"/>
      <c r="G581" s="7"/>
      <c r="H581" s="7"/>
      <c r="I581" s="7"/>
      <c r="J581" s="8"/>
      <c r="K581" s="9"/>
      <c r="L581" s="5"/>
      <c r="M581" s="9"/>
      <c r="N581" s="21"/>
      <c r="O581" s="20"/>
      <c r="P581" s="21"/>
      <c r="Q581" s="21"/>
      <c r="R581" s="21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2.75" customHeight="1" x14ac:dyDescent="0.25">
      <c r="A582" s="3"/>
      <c r="B582" s="19"/>
      <c r="C582" s="5"/>
      <c r="D582" s="5"/>
      <c r="E582" s="5"/>
      <c r="F582" s="6"/>
      <c r="G582" s="7"/>
      <c r="H582" s="7"/>
      <c r="I582" s="7"/>
      <c r="J582" s="8"/>
      <c r="K582" s="9"/>
      <c r="L582" s="5"/>
      <c r="M582" s="9"/>
      <c r="N582" s="21"/>
      <c r="O582" s="20"/>
      <c r="P582" s="21"/>
      <c r="Q582" s="21"/>
      <c r="R582" s="21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2.75" customHeight="1" x14ac:dyDescent="0.25">
      <c r="A583" s="3"/>
      <c r="B583" s="19"/>
      <c r="C583" s="5"/>
      <c r="D583" s="5"/>
      <c r="E583" s="5"/>
      <c r="F583" s="6"/>
      <c r="G583" s="7"/>
      <c r="H583" s="7"/>
      <c r="I583" s="7"/>
      <c r="J583" s="8"/>
      <c r="K583" s="9"/>
      <c r="L583" s="5"/>
      <c r="M583" s="9"/>
      <c r="N583" s="21"/>
      <c r="O583" s="20"/>
      <c r="P583" s="21"/>
      <c r="Q583" s="21"/>
      <c r="R583" s="21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2.75" customHeight="1" x14ac:dyDescent="0.25">
      <c r="A584" s="3"/>
      <c r="B584" s="19"/>
      <c r="C584" s="5"/>
      <c r="D584" s="5"/>
      <c r="E584" s="5"/>
      <c r="F584" s="6"/>
      <c r="G584" s="7"/>
      <c r="H584" s="7"/>
      <c r="I584" s="7"/>
      <c r="J584" s="8"/>
      <c r="K584" s="9"/>
      <c r="L584" s="5"/>
      <c r="M584" s="9"/>
      <c r="N584" s="21"/>
      <c r="O584" s="20"/>
      <c r="P584" s="21"/>
      <c r="Q584" s="21"/>
      <c r="R584" s="21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2.75" customHeight="1" x14ac:dyDescent="0.25">
      <c r="A585" s="3"/>
      <c r="B585" s="19"/>
      <c r="C585" s="5"/>
      <c r="D585" s="5"/>
      <c r="E585" s="5"/>
      <c r="F585" s="6"/>
      <c r="G585" s="7"/>
      <c r="H585" s="7"/>
      <c r="I585" s="7"/>
      <c r="J585" s="8"/>
      <c r="K585" s="9"/>
      <c r="L585" s="5"/>
      <c r="M585" s="9"/>
      <c r="N585" s="21"/>
      <c r="O585" s="20"/>
      <c r="P585" s="21"/>
      <c r="Q585" s="21"/>
      <c r="R585" s="21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2.75" customHeight="1" x14ac:dyDescent="0.25">
      <c r="A586" s="3"/>
      <c r="B586" s="19"/>
      <c r="C586" s="5"/>
      <c r="D586" s="5"/>
      <c r="E586" s="5"/>
      <c r="F586" s="6"/>
      <c r="G586" s="7"/>
      <c r="H586" s="7"/>
      <c r="I586" s="7"/>
      <c r="J586" s="8"/>
      <c r="K586" s="9"/>
      <c r="L586" s="5"/>
      <c r="M586" s="9"/>
      <c r="N586" s="21"/>
      <c r="O586" s="20"/>
      <c r="P586" s="21"/>
      <c r="Q586" s="21"/>
      <c r="R586" s="21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2.75" customHeight="1" x14ac:dyDescent="0.25">
      <c r="A587" s="3"/>
      <c r="B587" s="19"/>
      <c r="C587" s="5"/>
      <c r="D587" s="5"/>
      <c r="E587" s="5"/>
      <c r="F587" s="6"/>
      <c r="G587" s="7"/>
      <c r="H587" s="7"/>
      <c r="I587" s="7"/>
      <c r="J587" s="8"/>
      <c r="K587" s="9"/>
      <c r="L587" s="5"/>
      <c r="M587" s="9"/>
      <c r="N587" s="21"/>
      <c r="O587" s="20"/>
      <c r="P587" s="21"/>
      <c r="Q587" s="21"/>
      <c r="R587" s="21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2.75" customHeight="1" x14ac:dyDescent="0.25">
      <c r="A588" s="3"/>
      <c r="B588" s="19"/>
      <c r="C588" s="5"/>
      <c r="D588" s="5"/>
      <c r="E588" s="5"/>
      <c r="F588" s="6"/>
      <c r="G588" s="7"/>
      <c r="H588" s="7"/>
      <c r="I588" s="7"/>
      <c r="J588" s="8"/>
      <c r="K588" s="9"/>
      <c r="L588" s="5"/>
      <c r="M588" s="9"/>
      <c r="N588" s="21"/>
      <c r="O588" s="20"/>
      <c r="P588" s="21"/>
      <c r="Q588" s="21"/>
      <c r="R588" s="21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2.75" customHeight="1" x14ac:dyDescent="0.25">
      <c r="A589" s="3"/>
      <c r="B589" s="19"/>
      <c r="C589" s="5"/>
      <c r="D589" s="5"/>
      <c r="E589" s="5"/>
      <c r="F589" s="6"/>
      <c r="G589" s="7"/>
      <c r="H589" s="7"/>
      <c r="I589" s="7"/>
      <c r="J589" s="8"/>
      <c r="K589" s="9"/>
      <c r="L589" s="5"/>
      <c r="M589" s="9"/>
      <c r="N589" s="21"/>
      <c r="O589" s="20"/>
      <c r="P589" s="21"/>
      <c r="Q589" s="21"/>
      <c r="R589" s="21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2.75" customHeight="1" x14ac:dyDescent="0.25">
      <c r="A590" s="3"/>
      <c r="B590" s="19"/>
      <c r="C590" s="5"/>
      <c r="D590" s="5"/>
      <c r="E590" s="5"/>
      <c r="F590" s="6"/>
      <c r="G590" s="7"/>
      <c r="H590" s="7"/>
      <c r="I590" s="7"/>
      <c r="J590" s="8"/>
      <c r="K590" s="9"/>
      <c r="L590" s="5"/>
      <c r="M590" s="9"/>
      <c r="N590" s="21"/>
      <c r="O590" s="20"/>
      <c r="P590" s="21"/>
      <c r="Q590" s="21"/>
      <c r="R590" s="21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2.75" customHeight="1" x14ac:dyDescent="0.25">
      <c r="A591" s="3"/>
      <c r="B591" s="19"/>
      <c r="C591" s="5"/>
      <c r="D591" s="5"/>
      <c r="E591" s="5"/>
      <c r="F591" s="6"/>
      <c r="G591" s="7"/>
      <c r="H591" s="7"/>
      <c r="I591" s="7"/>
      <c r="J591" s="8"/>
      <c r="K591" s="9"/>
      <c r="L591" s="5"/>
      <c r="M591" s="9"/>
      <c r="N591" s="21"/>
      <c r="O591" s="20"/>
      <c r="P591" s="21"/>
      <c r="Q591" s="21"/>
      <c r="R591" s="21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2.75" customHeight="1" x14ac:dyDescent="0.25">
      <c r="A592" s="3"/>
      <c r="B592" s="19"/>
      <c r="C592" s="5"/>
      <c r="D592" s="5"/>
      <c r="E592" s="5"/>
      <c r="F592" s="6"/>
      <c r="G592" s="7"/>
      <c r="H592" s="7"/>
      <c r="I592" s="7"/>
      <c r="J592" s="8"/>
      <c r="K592" s="9"/>
      <c r="L592" s="5"/>
      <c r="M592" s="9"/>
      <c r="N592" s="21"/>
      <c r="O592" s="20"/>
      <c r="P592" s="21"/>
      <c r="Q592" s="21"/>
      <c r="R592" s="21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2.75" customHeight="1" x14ac:dyDescent="0.25">
      <c r="A593" s="3"/>
      <c r="B593" s="19"/>
      <c r="C593" s="5"/>
      <c r="D593" s="5"/>
      <c r="E593" s="5"/>
      <c r="F593" s="6"/>
      <c r="G593" s="7"/>
      <c r="H593" s="7"/>
      <c r="I593" s="7"/>
      <c r="J593" s="8"/>
      <c r="K593" s="9"/>
      <c r="L593" s="5"/>
      <c r="M593" s="9"/>
      <c r="N593" s="21"/>
      <c r="O593" s="20"/>
      <c r="P593" s="21"/>
      <c r="Q593" s="21"/>
      <c r="R593" s="21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2.75" customHeight="1" x14ac:dyDescent="0.25">
      <c r="A594" s="3"/>
      <c r="B594" s="19"/>
      <c r="C594" s="5"/>
      <c r="D594" s="5"/>
      <c r="E594" s="5"/>
      <c r="F594" s="6"/>
      <c r="G594" s="7"/>
      <c r="H594" s="7"/>
      <c r="I594" s="7"/>
      <c r="J594" s="8"/>
      <c r="K594" s="9"/>
      <c r="L594" s="5"/>
      <c r="M594" s="9"/>
      <c r="N594" s="21"/>
      <c r="O594" s="20"/>
      <c r="P594" s="21"/>
      <c r="Q594" s="21"/>
      <c r="R594" s="21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2.75" customHeight="1" x14ac:dyDescent="0.25">
      <c r="A595" s="3"/>
      <c r="B595" s="19"/>
      <c r="C595" s="5"/>
      <c r="D595" s="5"/>
      <c r="E595" s="5"/>
      <c r="F595" s="6"/>
      <c r="G595" s="7"/>
      <c r="H595" s="7"/>
      <c r="I595" s="7"/>
      <c r="J595" s="8"/>
      <c r="K595" s="9"/>
      <c r="L595" s="5"/>
      <c r="M595" s="9"/>
      <c r="N595" s="21"/>
      <c r="O595" s="20"/>
      <c r="P595" s="21"/>
      <c r="Q595" s="21"/>
      <c r="R595" s="21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2.75" customHeight="1" x14ac:dyDescent="0.25">
      <c r="A596" s="3"/>
      <c r="B596" s="19"/>
      <c r="C596" s="5"/>
      <c r="D596" s="5"/>
      <c r="E596" s="5"/>
      <c r="F596" s="6"/>
      <c r="G596" s="7"/>
      <c r="H596" s="7"/>
      <c r="I596" s="7"/>
      <c r="J596" s="8"/>
      <c r="K596" s="9"/>
      <c r="L596" s="5"/>
      <c r="M596" s="9"/>
      <c r="N596" s="21"/>
      <c r="O596" s="20"/>
      <c r="P596" s="21"/>
      <c r="Q596" s="21"/>
      <c r="R596" s="21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2.75" customHeight="1" x14ac:dyDescent="0.25">
      <c r="A597" s="3"/>
      <c r="B597" s="19"/>
      <c r="C597" s="5"/>
      <c r="D597" s="5"/>
      <c r="E597" s="5"/>
      <c r="F597" s="6"/>
      <c r="G597" s="7"/>
      <c r="H597" s="7"/>
      <c r="I597" s="7"/>
      <c r="J597" s="8"/>
      <c r="K597" s="9"/>
      <c r="L597" s="5"/>
      <c r="M597" s="9"/>
      <c r="N597" s="21"/>
      <c r="O597" s="20"/>
      <c r="P597" s="21"/>
      <c r="Q597" s="21"/>
      <c r="R597" s="21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2.75" customHeight="1" x14ac:dyDescent="0.25">
      <c r="A598" s="3"/>
      <c r="B598" s="19"/>
      <c r="C598" s="5"/>
      <c r="D598" s="5"/>
      <c r="E598" s="5"/>
      <c r="F598" s="6"/>
      <c r="G598" s="7"/>
      <c r="H598" s="7"/>
      <c r="I598" s="7"/>
      <c r="J598" s="8"/>
      <c r="K598" s="9"/>
      <c r="L598" s="5"/>
      <c r="M598" s="9"/>
      <c r="N598" s="21"/>
      <c r="O598" s="20"/>
      <c r="P598" s="21"/>
      <c r="Q598" s="21"/>
      <c r="R598" s="21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2.75" customHeight="1" x14ac:dyDescent="0.25">
      <c r="A599" s="3"/>
      <c r="B599" s="19"/>
      <c r="C599" s="5"/>
      <c r="D599" s="5"/>
      <c r="E599" s="5"/>
      <c r="F599" s="6"/>
      <c r="G599" s="7"/>
      <c r="H599" s="7"/>
      <c r="I599" s="7"/>
      <c r="J599" s="8"/>
      <c r="K599" s="9"/>
      <c r="L599" s="5"/>
      <c r="M599" s="9"/>
      <c r="N599" s="21"/>
      <c r="O599" s="20"/>
      <c r="P599" s="21"/>
      <c r="Q599" s="21"/>
      <c r="R599" s="21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2.75" customHeight="1" x14ac:dyDescent="0.25">
      <c r="A600" s="3"/>
      <c r="B600" s="19"/>
      <c r="C600" s="5"/>
      <c r="D600" s="5"/>
      <c r="E600" s="5"/>
      <c r="F600" s="6"/>
      <c r="G600" s="7"/>
      <c r="H600" s="7"/>
      <c r="I600" s="7"/>
      <c r="J600" s="8"/>
      <c r="K600" s="9"/>
      <c r="L600" s="5"/>
      <c r="M600" s="9"/>
      <c r="N600" s="21"/>
      <c r="O600" s="20"/>
      <c r="P600" s="21"/>
      <c r="Q600" s="21"/>
      <c r="R600" s="21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2.75" customHeight="1" x14ac:dyDescent="0.25">
      <c r="A601" s="3"/>
      <c r="B601" s="19"/>
      <c r="C601" s="5"/>
      <c r="D601" s="5"/>
      <c r="E601" s="5"/>
      <c r="F601" s="6"/>
      <c r="G601" s="7"/>
      <c r="H601" s="7"/>
      <c r="I601" s="7"/>
      <c r="J601" s="8"/>
      <c r="K601" s="9"/>
      <c r="L601" s="5"/>
      <c r="M601" s="9"/>
      <c r="N601" s="21"/>
      <c r="O601" s="20"/>
      <c r="P601" s="21"/>
      <c r="Q601" s="21"/>
      <c r="R601" s="21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2.75" customHeight="1" x14ac:dyDescent="0.25">
      <c r="A602" s="3"/>
      <c r="B602" s="19"/>
      <c r="C602" s="5"/>
      <c r="D602" s="5"/>
      <c r="E602" s="5"/>
      <c r="F602" s="6"/>
      <c r="G602" s="7"/>
      <c r="H602" s="7"/>
      <c r="I602" s="7"/>
      <c r="J602" s="8"/>
      <c r="K602" s="9"/>
      <c r="L602" s="5"/>
      <c r="M602" s="9"/>
      <c r="N602" s="21"/>
      <c r="O602" s="20"/>
      <c r="P602" s="21"/>
      <c r="Q602" s="21"/>
      <c r="R602" s="21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2.75" customHeight="1" x14ac:dyDescent="0.25">
      <c r="A603" s="3"/>
      <c r="B603" s="19"/>
      <c r="C603" s="5"/>
      <c r="D603" s="5"/>
      <c r="E603" s="5"/>
      <c r="F603" s="6"/>
      <c r="G603" s="7"/>
      <c r="H603" s="7"/>
      <c r="I603" s="7"/>
      <c r="J603" s="8"/>
      <c r="K603" s="9"/>
      <c r="L603" s="5"/>
      <c r="M603" s="9"/>
      <c r="N603" s="21"/>
      <c r="O603" s="20"/>
      <c r="P603" s="21"/>
      <c r="Q603" s="21"/>
      <c r="R603" s="21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2.75" customHeight="1" x14ac:dyDescent="0.25">
      <c r="A604" s="3"/>
      <c r="B604" s="19"/>
      <c r="C604" s="5"/>
      <c r="D604" s="5"/>
      <c r="E604" s="5"/>
      <c r="F604" s="6"/>
      <c r="G604" s="7"/>
      <c r="H604" s="7"/>
      <c r="I604" s="7"/>
      <c r="J604" s="8"/>
      <c r="K604" s="9"/>
      <c r="L604" s="5"/>
      <c r="M604" s="9"/>
      <c r="N604" s="21"/>
      <c r="O604" s="20"/>
      <c r="P604" s="21"/>
      <c r="Q604" s="21"/>
      <c r="R604" s="21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2.75" customHeight="1" x14ac:dyDescent="0.25">
      <c r="A605" s="3"/>
      <c r="B605" s="19"/>
      <c r="C605" s="5"/>
      <c r="D605" s="5"/>
      <c r="E605" s="5"/>
      <c r="F605" s="6"/>
      <c r="G605" s="7"/>
      <c r="H605" s="7"/>
      <c r="I605" s="7"/>
      <c r="J605" s="8"/>
      <c r="K605" s="9"/>
      <c r="L605" s="5"/>
      <c r="M605" s="9"/>
      <c r="N605" s="21"/>
      <c r="O605" s="20"/>
      <c r="P605" s="21"/>
      <c r="Q605" s="21"/>
      <c r="R605" s="21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2.75" customHeight="1" x14ac:dyDescent="0.25">
      <c r="A606" s="3"/>
      <c r="B606" s="19"/>
      <c r="C606" s="5"/>
      <c r="D606" s="5"/>
      <c r="E606" s="5"/>
      <c r="F606" s="6"/>
      <c r="G606" s="7"/>
      <c r="H606" s="7"/>
      <c r="I606" s="7"/>
      <c r="J606" s="8"/>
      <c r="K606" s="9"/>
      <c r="L606" s="5"/>
      <c r="M606" s="9"/>
      <c r="N606" s="21"/>
      <c r="O606" s="20"/>
      <c r="P606" s="21"/>
      <c r="Q606" s="21"/>
      <c r="R606" s="21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2.75" customHeight="1" x14ac:dyDescent="0.25">
      <c r="A607" s="3"/>
      <c r="B607" s="19"/>
      <c r="C607" s="5"/>
      <c r="D607" s="5"/>
      <c r="E607" s="5"/>
      <c r="F607" s="6"/>
      <c r="G607" s="7"/>
      <c r="H607" s="7"/>
      <c r="I607" s="7"/>
      <c r="J607" s="8"/>
      <c r="K607" s="9"/>
      <c r="L607" s="5"/>
      <c r="M607" s="9"/>
      <c r="N607" s="21"/>
      <c r="O607" s="20"/>
      <c r="P607" s="21"/>
      <c r="Q607" s="21"/>
      <c r="R607" s="21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2.75" customHeight="1" x14ac:dyDescent="0.25">
      <c r="A608" s="3"/>
      <c r="B608" s="19"/>
      <c r="C608" s="5"/>
      <c r="D608" s="5"/>
      <c r="E608" s="5"/>
      <c r="F608" s="6"/>
      <c r="G608" s="7"/>
      <c r="H608" s="7"/>
      <c r="I608" s="7"/>
      <c r="J608" s="8"/>
      <c r="K608" s="9"/>
      <c r="L608" s="5"/>
      <c r="M608" s="9"/>
      <c r="N608" s="21"/>
      <c r="O608" s="20"/>
      <c r="P608" s="21"/>
      <c r="Q608" s="21"/>
      <c r="R608" s="21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2.75" customHeight="1" x14ac:dyDescent="0.25">
      <c r="A609" s="3"/>
      <c r="B609" s="19"/>
      <c r="C609" s="5"/>
      <c r="D609" s="5"/>
      <c r="E609" s="5"/>
      <c r="F609" s="6"/>
      <c r="G609" s="7"/>
      <c r="H609" s="7"/>
      <c r="I609" s="7"/>
      <c r="J609" s="8"/>
      <c r="K609" s="9"/>
      <c r="L609" s="5"/>
      <c r="M609" s="9"/>
      <c r="N609" s="21"/>
      <c r="O609" s="20"/>
      <c r="P609" s="21"/>
      <c r="Q609" s="21"/>
      <c r="R609" s="21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2.75" customHeight="1" x14ac:dyDescent="0.25">
      <c r="A610" s="3"/>
      <c r="B610" s="19"/>
      <c r="C610" s="5"/>
      <c r="D610" s="5"/>
      <c r="E610" s="5"/>
      <c r="F610" s="6"/>
      <c r="G610" s="7"/>
      <c r="H610" s="7"/>
      <c r="I610" s="7"/>
      <c r="J610" s="8"/>
      <c r="K610" s="9"/>
      <c r="L610" s="5"/>
      <c r="M610" s="9"/>
      <c r="N610" s="21"/>
      <c r="O610" s="20"/>
      <c r="P610" s="21"/>
      <c r="Q610" s="21"/>
      <c r="R610" s="21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2.75" customHeight="1" x14ac:dyDescent="0.25">
      <c r="A611" s="3"/>
      <c r="B611" s="19"/>
      <c r="C611" s="5"/>
      <c r="D611" s="5"/>
      <c r="E611" s="5"/>
      <c r="F611" s="6"/>
      <c r="G611" s="7"/>
      <c r="H611" s="7"/>
      <c r="I611" s="7"/>
      <c r="J611" s="8"/>
      <c r="K611" s="9"/>
      <c r="L611" s="5"/>
      <c r="M611" s="9"/>
      <c r="N611" s="21"/>
      <c r="O611" s="20"/>
      <c r="P611" s="21"/>
      <c r="Q611" s="21"/>
      <c r="R611" s="21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2.75" customHeight="1" x14ac:dyDescent="0.25">
      <c r="A612" s="3"/>
      <c r="B612" s="19"/>
      <c r="C612" s="5"/>
      <c r="D612" s="5"/>
      <c r="E612" s="5"/>
      <c r="F612" s="6"/>
      <c r="G612" s="7"/>
      <c r="H612" s="7"/>
      <c r="I612" s="7"/>
      <c r="J612" s="8"/>
      <c r="K612" s="9"/>
      <c r="L612" s="5"/>
      <c r="M612" s="9"/>
      <c r="N612" s="21"/>
      <c r="O612" s="20"/>
      <c r="P612" s="21"/>
      <c r="Q612" s="21"/>
      <c r="R612" s="21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2.75" customHeight="1" x14ac:dyDescent="0.25">
      <c r="A613" s="3"/>
      <c r="B613" s="19"/>
      <c r="C613" s="5"/>
      <c r="D613" s="5"/>
      <c r="E613" s="5"/>
      <c r="F613" s="6"/>
      <c r="G613" s="7"/>
      <c r="H613" s="7"/>
      <c r="I613" s="7"/>
      <c r="J613" s="8"/>
      <c r="K613" s="9"/>
      <c r="L613" s="5"/>
      <c r="M613" s="9"/>
      <c r="N613" s="21"/>
      <c r="O613" s="20"/>
      <c r="P613" s="21"/>
      <c r="Q613" s="21"/>
      <c r="R613" s="21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2.75" customHeight="1" x14ac:dyDescent="0.25">
      <c r="A614" s="3"/>
      <c r="B614" s="19"/>
      <c r="C614" s="5"/>
      <c r="D614" s="5"/>
      <c r="E614" s="5"/>
      <c r="F614" s="6"/>
      <c r="G614" s="7"/>
      <c r="H614" s="7"/>
      <c r="I614" s="7"/>
      <c r="J614" s="8"/>
      <c r="K614" s="9"/>
      <c r="L614" s="5"/>
      <c r="M614" s="9"/>
      <c r="N614" s="21"/>
      <c r="O614" s="20"/>
      <c r="P614" s="21"/>
      <c r="Q614" s="21"/>
      <c r="R614" s="21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2.75" customHeight="1" x14ac:dyDescent="0.25">
      <c r="A615" s="3"/>
      <c r="B615" s="19"/>
      <c r="C615" s="5"/>
      <c r="D615" s="5"/>
      <c r="E615" s="5"/>
      <c r="F615" s="6"/>
      <c r="G615" s="7"/>
      <c r="H615" s="7"/>
      <c r="I615" s="7"/>
      <c r="J615" s="8"/>
      <c r="K615" s="9"/>
      <c r="L615" s="5"/>
      <c r="M615" s="9"/>
      <c r="N615" s="21"/>
      <c r="O615" s="20"/>
      <c r="P615" s="21"/>
      <c r="Q615" s="21"/>
      <c r="R615" s="21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2.75" customHeight="1" x14ac:dyDescent="0.25">
      <c r="A616" s="3"/>
      <c r="B616" s="19"/>
      <c r="C616" s="5"/>
      <c r="D616" s="5"/>
      <c r="E616" s="5"/>
      <c r="F616" s="6"/>
      <c r="G616" s="7"/>
      <c r="H616" s="7"/>
      <c r="I616" s="7"/>
      <c r="J616" s="8"/>
      <c r="K616" s="9"/>
      <c r="L616" s="5"/>
      <c r="M616" s="9"/>
      <c r="N616" s="21"/>
      <c r="O616" s="20"/>
      <c r="P616" s="21"/>
      <c r="Q616" s="21"/>
      <c r="R616" s="21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2.75" customHeight="1" x14ac:dyDescent="0.25">
      <c r="A617" s="3"/>
      <c r="B617" s="19"/>
      <c r="C617" s="5"/>
      <c r="D617" s="5"/>
      <c r="E617" s="5"/>
      <c r="F617" s="6"/>
      <c r="G617" s="7"/>
      <c r="H617" s="7"/>
      <c r="I617" s="7"/>
      <c r="J617" s="8"/>
      <c r="K617" s="9"/>
      <c r="L617" s="5"/>
      <c r="M617" s="9"/>
      <c r="N617" s="21"/>
      <c r="O617" s="20"/>
      <c r="P617" s="21"/>
      <c r="Q617" s="21"/>
      <c r="R617" s="21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2.75" customHeight="1" x14ac:dyDescent="0.25">
      <c r="A618" s="3"/>
      <c r="B618" s="19"/>
      <c r="C618" s="5"/>
      <c r="D618" s="5"/>
      <c r="E618" s="5"/>
      <c r="F618" s="6"/>
      <c r="G618" s="7"/>
      <c r="H618" s="7"/>
      <c r="I618" s="7"/>
      <c r="J618" s="8"/>
      <c r="K618" s="9"/>
      <c r="L618" s="5"/>
      <c r="M618" s="9"/>
      <c r="N618" s="21"/>
      <c r="O618" s="20"/>
      <c r="P618" s="21"/>
      <c r="Q618" s="21"/>
      <c r="R618" s="21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2.75" customHeight="1" x14ac:dyDescent="0.25">
      <c r="A619" s="3"/>
      <c r="B619" s="19"/>
      <c r="C619" s="5"/>
      <c r="D619" s="5"/>
      <c r="E619" s="5"/>
      <c r="F619" s="6"/>
      <c r="G619" s="7"/>
      <c r="H619" s="7"/>
      <c r="I619" s="7"/>
      <c r="J619" s="8"/>
      <c r="K619" s="9"/>
      <c r="L619" s="5"/>
      <c r="M619" s="9"/>
      <c r="N619" s="21"/>
      <c r="O619" s="20"/>
      <c r="P619" s="21"/>
      <c r="Q619" s="21"/>
      <c r="R619" s="21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2.75" customHeight="1" x14ac:dyDescent="0.25">
      <c r="A620" s="3"/>
      <c r="B620" s="19"/>
      <c r="C620" s="5"/>
      <c r="D620" s="5"/>
      <c r="E620" s="5"/>
      <c r="F620" s="6"/>
      <c r="G620" s="7"/>
      <c r="H620" s="7"/>
      <c r="I620" s="7"/>
      <c r="J620" s="8"/>
      <c r="K620" s="9"/>
      <c r="L620" s="5"/>
      <c r="M620" s="9"/>
      <c r="N620" s="21"/>
      <c r="O620" s="20"/>
      <c r="P620" s="21"/>
      <c r="Q620" s="21"/>
      <c r="R620" s="21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2.75" customHeight="1" x14ac:dyDescent="0.25">
      <c r="A621" s="3"/>
      <c r="B621" s="19"/>
      <c r="C621" s="5"/>
      <c r="D621" s="5"/>
      <c r="E621" s="5"/>
      <c r="F621" s="6"/>
      <c r="G621" s="7"/>
      <c r="H621" s="7"/>
      <c r="I621" s="7"/>
      <c r="J621" s="8"/>
      <c r="K621" s="9"/>
      <c r="L621" s="5"/>
      <c r="M621" s="9"/>
      <c r="N621" s="21"/>
      <c r="O621" s="20"/>
      <c r="P621" s="21"/>
      <c r="Q621" s="21"/>
      <c r="R621" s="21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2.75" customHeight="1" x14ac:dyDescent="0.25">
      <c r="A622" s="3"/>
      <c r="B622" s="19"/>
      <c r="C622" s="5"/>
      <c r="D622" s="5"/>
      <c r="E622" s="5"/>
      <c r="F622" s="6"/>
      <c r="G622" s="7"/>
      <c r="H622" s="7"/>
      <c r="I622" s="7"/>
      <c r="J622" s="8"/>
      <c r="K622" s="9"/>
      <c r="L622" s="5"/>
      <c r="M622" s="9"/>
      <c r="N622" s="21"/>
      <c r="O622" s="20"/>
      <c r="P622" s="21"/>
      <c r="Q622" s="21"/>
      <c r="R622" s="21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2.75" customHeight="1" x14ac:dyDescent="0.25">
      <c r="A623" s="3"/>
      <c r="B623" s="19"/>
      <c r="C623" s="5"/>
      <c r="D623" s="5"/>
      <c r="E623" s="5"/>
      <c r="F623" s="6"/>
      <c r="G623" s="7"/>
      <c r="H623" s="7"/>
      <c r="I623" s="7"/>
      <c r="J623" s="8"/>
      <c r="K623" s="9"/>
      <c r="L623" s="5"/>
      <c r="M623" s="9"/>
      <c r="N623" s="21"/>
      <c r="O623" s="20"/>
      <c r="P623" s="21"/>
      <c r="Q623" s="21"/>
      <c r="R623" s="21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2.75" customHeight="1" x14ac:dyDescent="0.25">
      <c r="A624" s="3"/>
      <c r="B624" s="19"/>
      <c r="C624" s="5"/>
      <c r="D624" s="5"/>
      <c r="E624" s="5"/>
      <c r="F624" s="6"/>
      <c r="G624" s="7"/>
      <c r="H624" s="7"/>
      <c r="I624" s="7"/>
      <c r="J624" s="8"/>
      <c r="K624" s="9"/>
      <c r="L624" s="5"/>
      <c r="M624" s="9"/>
      <c r="N624" s="21"/>
      <c r="O624" s="20"/>
      <c r="P624" s="21"/>
      <c r="Q624" s="21"/>
      <c r="R624" s="21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2.75" customHeight="1" x14ac:dyDescent="0.25">
      <c r="A625" s="3"/>
      <c r="B625" s="19"/>
      <c r="C625" s="5"/>
      <c r="D625" s="5"/>
      <c r="E625" s="5"/>
      <c r="F625" s="6"/>
      <c r="G625" s="7"/>
      <c r="H625" s="7"/>
      <c r="I625" s="7"/>
      <c r="J625" s="8"/>
      <c r="K625" s="9"/>
      <c r="L625" s="5"/>
      <c r="M625" s="9"/>
      <c r="N625" s="21"/>
      <c r="O625" s="20"/>
      <c r="P625" s="21"/>
      <c r="Q625" s="21"/>
      <c r="R625" s="21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2.75" customHeight="1" x14ac:dyDescent="0.25">
      <c r="A626" s="3"/>
      <c r="B626" s="19"/>
      <c r="C626" s="5"/>
      <c r="D626" s="5"/>
      <c r="E626" s="5"/>
      <c r="F626" s="6"/>
      <c r="G626" s="7"/>
      <c r="H626" s="7"/>
      <c r="I626" s="7"/>
      <c r="J626" s="8"/>
      <c r="K626" s="9"/>
      <c r="L626" s="5"/>
      <c r="M626" s="9"/>
      <c r="N626" s="21"/>
      <c r="O626" s="20"/>
      <c r="P626" s="21"/>
      <c r="Q626" s="21"/>
      <c r="R626" s="21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2.75" customHeight="1" x14ac:dyDescent="0.25">
      <c r="A627" s="3"/>
      <c r="B627" s="19"/>
      <c r="C627" s="5"/>
      <c r="D627" s="5"/>
      <c r="E627" s="5"/>
      <c r="F627" s="6"/>
      <c r="G627" s="7"/>
      <c r="H627" s="7"/>
      <c r="I627" s="7"/>
      <c r="J627" s="8"/>
      <c r="K627" s="9"/>
      <c r="L627" s="5"/>
      <c r="M627" s="9"/>
      <c r="N627" s="21"/>
      <c r="O627" s="20"/>
      <c r="P627" s="21"/>
      <c r="Q627" s="21"/>
      <c r="R627" s="21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2.75" customHeight="1" x14ac:dyDescent="0.25">
      <c r="A628" s="3"/>
      <c r="B628" s="19"/>
      <c r="C628" s="5"/>
      <c r="D628" s="5"/>
      <c r="E628" s="5"/>
      <c r="F628" s="6"/>
      <c r="G628" s="7"/>
      <c r="H628" s="7"/>
      <c r="I628" s="7"/>
      <c r="J628" s="8"/>
      <c r="K628" s="9"/>
      <c r="L628" s="5"/>
      <c r="M628" s="9"/>
      <c r="N628" s="21"/>
      <c r="O628" s="20"/>
      <c r="P628" s="21"/>
      <c r="Q628" s="21"/>
      <c r="R628" s="21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2.75" customHeight="1" x14ac:dyDescent="0.25">
      <c r="A629" s="3"/>
      <c r="B629" s="19"/>
      <c r="C629" s="5"/>
      <c r="D629" s="5"/>
      <c r="E629" s="5"/>
      <c r="F629" s="6"/>
      <c r="G629" s="7"/>
      <c r="H629" s="7"/>
      <c r="I629" s="7"/>
      <c r="J629" s="8"/>
      <c r="K629" s="9"/>
      <c r="L629" s="5"/>
      <c r="M629" s="9"/>
      <c r="N629" s="21"/>
      <c r="O629" s="20"/>
      <c r="P629" s="21"/>
      <c r="Q629" s="21"/>
      <c r="R629" s="21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2.75" customHeight="1" x14ac:dyDescent="0.25">
      <c r="A630" s="3"/>
      <c r="B630" s="19"/>
      <c r="C630" s="5"/>
      <c r="D630" s="5"/>
      <c r="E630" s="5"/>
      <c r="F630" s="6"/>
      <c r="G630" s="7"/>
      <c r="H630" s="7"/>
      <c r="I630" s="7"/>
      <c r="J630" s="8"/>
      <c r="K630" s="9"/>
      <c r="L630" s="5"/>
      <c r="M630" s="9"/>
      <c r="N630" s="21"/>
      <c r="O630" s="20"/>
      <c r="P630" s="21"/>
      <c r="Q630" s="21"/>
      <c r="R630" s="21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2.75" customHeight="1" x14ac:dyDescent="0.25">
      <c r="A631" s="3"/>
      <c r="B631" s="19"/>
      <c r="C631" s="5"/>
      <c r="D631" s="5"/>
      <c r="E631" s="5"/>
      <c r="F631" s="6"/>
      <c r="G631" s="7"/>
      <c r="H631" s="7"/>
      <c r="I631" s="7"/>
      <c r="J631" s="8"/>
      <c r="K631" s="9"/>
      <c r="L631" s="5"/>
      <c r="M631" s="9"/>
      <c r="N631" s="21"/>
      <c r="O631" s="20"/>
      <c r="P631" s="21"/>
      <c r="Q631" s="21"/>
      <c r="R631" s="21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2.75" customHeight="1" x14ac:dyDescent="0.25">
      <c r="A632" s="3"/>
      <c r="B632" s="19"/>
      <c r="C632" s="5"/>
      <c r="D632" s="5"/>
      <c r="E632" s="5"/>
      <c r="F632" s="6"/>
      <c r="G632" s="7"/>
      <c r="H632" s="7"/>
      <c r="I632" s="7"/>
      <c r="J632" s="8"/>
      <c r="K632" s="9"/>
      <c r="L632" s="5"/>
      <c r="M632" s="9"/>
      <c r="N632" s="21"/>
      <c r="O632" s="20"/>
      <c r="P632" s="21"/>
      <c r="Q632" s="21"/>
      <c r="R632" s="21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2.75" customHeight="1" x14ac:dyDescent="0.25">
      <c r="A633" s="3"/>
      <c r="B633" s="19"/>
      <c r="C633" s="5"/>
      <c r="D633" s="5"/>
      <c r="E633" s="5"/>
      <c r="F633" s="6"/>
      <c r="G633" s="7"/>
      <c r="H633" s="7"/>
      <c r="I633" s="7"/>
      <c r="J633" s="8"/>
      <c r="K633" s="9"/>
      <c r="L633" s="5"/>
      <c r="M633" s="9"/>
      <c r="N633" s="21"/>
      <c r="O633" s="20"/>
      <c r="P633" s="21"/>
      <c r="Q633" s="21"/>
      <c r="R633" s="21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2.75" customHeight="1" x14ac:dyDescent="0.25">
      <c r="A634" s="3"/>
      <c r="B634" s="19"/>
      <c r="C634" s="5"/>
      <c r="D634" s="5"/>
      <c r="E634" s="5"/>
      <c r="F634" s="6"/>
      <c r="G634" s="7"/>
      <c r="H634" s="7"/>
      <c r="I634" s="7"/>
      <c r="J634" s="8"/>
      <c r="K634" s="9"/>
      <c r="L634" s="5"/>
      <c r="M634" s="9"/>
      <c r="N634" s="21"/>
      <c r="O634" s="20"/>
      <c r="P634" s="21"/>
      <c r="Q634" s="21"/>
      <c r="R634" s="21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2.75" customHeight="1" x14ac:dyDescent="0.25">
      <c r="A635" s="3"/>
      <c r="B635" s="19"/>
      <c r="C635" s="5"/>
      <c r="D635" s="5"/>
      <c r="E635" s="5"/>
      <c r="F635" s="6"/>
      <c r="G635" s="7"/>
      <c r="H635" s="7"/>
      <c r="I635" s="7"/>
      <c r="J635" s="8"/>
      <c r="K635" s="9"/>
      <c r="L635" s="5"/>
      <c r="M635" s="9"/>
      <c r="N635" s="21"/>
      <c r="O635" s="20"/>
      <c r="P635" s="21"/>
      <c r="Q635" s="21"/>
      <c r="R635" s="21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2.75" customHeight="1" x14ac:dyDescent="0.25">
      <c r="A636" s="3"/>
      <c r="B636" s="19"/>
      <c r="C636" s="5"/>
      <c r="D636" s="5"/>
      <c r="E636" s="5"/>
      <c r="F636" s="6"/>
      <c r="G636" s="7"/>
      <c r="H636" s="7"/>
      <c r="I636" s="7"/>
      <c r="J636" s="8"/>
      <c r="K636" s="9"/>
      <c r="L636" s="5"/>
      <c r="M636" s="9"/>
      <c r="N636" s="21"/>
      <c r="O636" s="20"/>
      <c r="P636" s="21"/>
      <c r="Q636" s="21"/>
      <c r="R636" s="21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2.75" customHeight="1" x14ac:dyDescent="0.25">
      <c r="A637" s="3"/>
      <c r="B637" s="19"/>
      <c r="C637" s="5"/>
      <c r="D637" s="5"/>
      <c r="E637" s="5"/>
      <c r="F637" s="6"/>
      <c r="G637" s="7"/>
      <c r="H637" s="7"/>
      <c r="I637" s="7"/>
      <c r="J637" s="8"/>
      <c r="K637" s="9"/>
      <c r="L637" s="5"/>
      <c r="M637" s="9"/>
      <c r="N637" s="21"/>
      <c r="O637" s="20"/>
      <c r="P637" s="21"/>
      <c r="Q637" s="21"/>
      <c r="R637" s="21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2.75" customHeight="1" x14ac:dyDescent="0.25">
      <c r="A638" s="3"/>
      <c r="B638" s="19"/>
      <c r="C638" s="5"/>
      <c r="D638" s="5"/>
      <c r="E638" s="5"/>
      <c r="F638" s="6"/>
      <c r="G638" s="7"/>
      <c r="H638" s="7"/>
      <c r="I638" s="7"/>
      <c r="J638" s="8"/>
      <c r="K638" s="9"/>
      <c r="L638" s="5"/>
      <c r="M638" s="9"/>
      <c r="N638" s="21"/>
      <c r="O638" s="20"/>
      <c r="P638" s="21"/>
      <c r="Q638" s="21"/>
      <c r="R638" s="21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2.75" customHeight="1" x14ac:dyDescent="0.25">
      <c r="A639" s="3"/>
      <c r="B639" s="19"/>
      <c r="C639" s="5"/>
      <c r="D639" s="5"/>
      <c r="E639" s="5"/>
      <c r="F639" s="6"/>
      <c r="G639" s="7"/>
      <c r="H639" s="7"/>
      <c r="I639" s="7"/>
      <c r="J639" s="8"/>
      <c r="K639" s="9"/>
      <c r="L639" s="5"/>
      <c r="M639" s="9"/>
      <c r="N639" s="21"/>
      <c r="O639" s="20"/>
      <c r="P639" s="21"/>
      <c r="Q639" s="21"/>
      <c r="R639" s="21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2.75" customHeight="1" x14ac:dyDescent="0.25">
      <c r="A640" s="3"/>
      <c r="B640" s="19"/>
      <c r="C640" s="5"/>
      <c r="D640" s="5"/>
      <c r="E640" s="5"/>
      <c r="F640" s="6"/>
      <c r="G640" s="7"/>
      <c r="H640" s="7"/>
      <c r="I640" s="7"/>
      <c r="J640" s="8"/>
      <c r="K640" s="9"/>
      <c r="L640" s="5"/>
      <c r="M640" s="9"/>
      <c r="N640" s="21"/>
      <c r="O640" s="20"/>
      <c r="P640" s="21"/>
      <c r="Q640" s="21"/>
      <c r="R640" s="21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2.75" customHeight="1" x14ac:dyDescent="0.25">
      <c r="A641" s="3"/>
      <c r="B641" s="19"/>
      <c r="C641" s="5"/>
      <c r="D641" s="5"/>
      <c r="E641" s="5"/>
      <c r="F641" s="6"/>
      <c r="G641" s="7"/>
      <c r="H641" s="7"/>
      <c r="I641" s="7"/>
      <c r="J641" s="8"/>
      <c r="K641" s="9"/>
      <c r="L641" s="5"/>
      <c r="M641" s="9"/>
      <c r="N641" s="21"/>
      <c r="O641" s="20"/>
      <c r="P641" s="21"/>
      <c r="Q641" s="21"/>
      <c r="R641" s="21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2.75" customHeight="1" x14ac:dyDescent="0.25">
      <c r="A642" s="3"/>
      <c r="B642" s="19"/>
      <c r="C642" s="5"/>
      <c r="D642" s="5"/>
      <c r="E642" s="5"/>
      <c r="F642" s="6"/>
      <c r="G642" s="7"/>
      <c r="H642" s="7"/>
      <c r="I642" s="7"/>
      <c r="J642" s="8"/>
      <c r="K642" s="9"/>
      <c r="L642" s="5"/>
      <c r="M642" s="9"/>
      <c r="N642" s="21"/>
      <c r="O642" s="20"/>
      <c r="P642" s="21"/>
      <c r="Q642" s="21"/>
      <c r="R642" s="21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2.75" customHeight="1" x14ac:dyDescent="0.25">
      <c r="A643" s="3"/>
      <c r="B643" s="19"/>
      <c r="C643" s="5"/>
      <c r="D643" s="5"/>
      <c r="E643" s="5"/>
      <c r="F643" s="6"/>
      <c r="G643" s="7"/>
      <c r="H643" s="7"/>
      <c r="I643" s="7"/>
      <c r="J643" s="8"/>
      <c r="K643" s="9"/>
      <c r="L643" s="5"/>
      <c r="M643" s="9"/>
      <c r="N643" s="21"/>
      <c r="O643" s="20"/>
      <c r="P643" s="21"/>
      <c r="Q643" s="21"/>
      <c r="R643" s="21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2.75" customHeight="1" x14ac:dyDescent="0.25">
      <c r="A644" s="3"/>
      <c r="B644" s="19"/>
      <c r="C644" s="5"/>
      <c r="D644" s="5"/>
      <c r="E644" s="5"/>
      <c r="F644" s="6"/>
      <c r="G644" s="7"/>
      <c r="H644" s="7"/>
      <c r="I644" s="7"/>
      <c r="J644" s="8"/>
      <c r="K644" s="9"/>
      <c r="L644" s="5"/>
      <c r="M644" s="9"/>
      <c r="N644" s="21"/>
      <c r="O644" s="20"/>
      <c r="P644" s="21"/>
      <c r="Q644" s="21"/>
      <c r="R644" s="21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2.75" customHeight="1" x14ac:dyDescent="0.25">
      <c r="A645" s="3"/>
      <c r="B645" s="19"/>
      <c r="C645" s="5"/>
      <c r="D645" s="5"/>
      <c r="E645" s="5"/>
      <c r="F645" s="6"/>
      <c r="G645" s="7"/>
      <c r="H645" s="7"/>
      <c r="I645" s="7"/>
      <c r="J645" s="8"/>
      <c r="K645" s="9"/>
      <c r="L645" s="5"/>
      <c r="M645" s="9"/>
      <c r="N645" s="21"/>
      <c r="O645" s="20"/>
      <c r="P645" s="21"/>
      <c r="Q645" s="21"/>
      <c r="R645" s="21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2.75" customHeight="1" x14ac:dyDescent="0.25">
      <c r="A646" s="3"/>
      <c r="B646" s="19"/>
      <c r="C646" s="5"/>
      <c r="D646" s="5"/>
      <c r="E646" s="5"/>
      <c r="F646" s="6"/>
      <c r="G646" s="7"/>
      <c r="H646" s="7"/>
      <c r="I646" s="7"/>
      <c r="J646" s="8"/>
      <c r="K646" s="9"/>
      <c r="L646" s="5"/>
      <c r="M646" s="9"/>
      <c r="N646" s="21"/>
      <c r="O646" s="20"/>
      <c r="P646" s="21"/>
      <c r="Q646" s="21"/>
      <c r="R646" s="21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2.75" customHeight="1" x14ac:dyDescent="0.25">
      <c r="A647" s="3"/>
      <c r="B647" s="19"/>
      <c r="C647" s="5"/>
      <c r="D647" s="5"/>
      <c r="E647" s="5"/>
      <c r="F647" s="6"/>
      <c r="G647" s="7"/>
      <c r="H647" s="7"/>
      <c r="I647" s="7"/>
      <c r="J647" s="8"/>
      <c r="K647" s="9"/>
      <c r="L647" s="5"/>
      <c r="M647" s="9"/>
      <c r="N647" s="21"/>
      <c r="O647" s="20"/>
      <c r="P647" s="21"/>
      <c r="Q647" s="21"/>
      <c r="R647" s="21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2.75" customHeight="1" x14ac:dyDescent="0.25">
      <c r="A648" s="3"/>
      <c r="B648" s="19"/>
      <c r="C648" s="5"/>
      <c r="D648" s="5"/>
      <c r="E648" s="5"/>
      <c r="F648" s="6"/>
      <c r="G648" s="7"/>
      <c r="H648" s="7"/>
      <c r="I648" s="7"/>
      <c r="J648" s="8"/>
      <c r="K648" s="9"/>
      <c r="L648" s="5"/>
      <c r="M648" s="9"/>
      <c r="N648" s="21"/>
      <c r="O648" s="20"/>
      <c r="P648" s="21"/>
      <c r="Q648" s="21"/>
      <c r="R648" s="21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2.75" customHeight="1" x14ac:dyDescent="0.25">
      <c r="A649" s="3"/>
      <c r="B649" s="19"/>
      <c r="C649" s="5"/>
      <c r="D649" s="5"/>
      <c r="E649" s="5"/>
      <c r="F649" s="6"/>
      <c r="G649" s="7"/>
      <c r="H649" s="7"/>
      <c r="I649" s="7"/>
      <c r="J649" s="8"/>
      <c r="K649" s="9"/>
      <c r="L649" s="5"/>
      <c r="M649" s="9"/>
      <c r="N649" s="21"/>
      <c r="O649" s="20"/>
      <c r="P649" s="21"/>
      <c r="Q649" s="21"/>
      <c r="R649" s="21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2.75" customHeight="1" x14ac:dyDescent="0.25">
      <c r="A650" s="3"/>
      <c r="B650" s="19"/>
      <c r="C650" s="5"/>
      <c r="D650" s="5"/>
      <c r="E650" s="5"/>
      <c r="F650" s="6"/>
      <c r="G650" s="7"/>
      <c r="H650" s="7"/>
      <c r="I650" s="7"/>
      <c r="J650" s="8"/>
      <c r="K650" s="9"/>
      <c r="L650" s="5"/>
      <c r="M650" s="9"/>
      <c r="N650" s="21"/>
      <c r="O650" s="20"/>
      <c r="P650" s="21"/>
      <c r="Q650" s="21"/>
      <c r="R650" s="21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2.75" customHeight="1" x14ac:dyDescent="0.25">
      <c r="A651" s="3"/>
      <c r="B651" s="19"/>
      <c r="C651" s="5"/>
      <c r="D651" s="5"/>
      <c r="E651" s="5"/>
      <c r="F651" s="6"/>
      <c r="G651" s="7"/>
      <c r="H651" s="7"/>
      <c r="I651" s="7"/>
      <c r="J651" s="8"/>
      <c r="K651" s="9"/>
      <c r="L651" s="5"/>
      <c r="M651" s="9"/>
      <c r="N651" s="21"/>
      <c r="O651" s="20"/>
      <c r="P651" s="21"/>
      <c r="Q651" s="21"/>
      <c r="R651" s="21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2.75" customHeight="1" x14ac:dyDescent="0.25">
      <c r="A652" s="3"/>
      <c r="B652" s="19"/>
      <c r="C652" s="5"/>
      <c r="D652" s="5"/>
      <c r="E652" s="5"/>
      <c r="F652" s="6"/>
      <c r="G652" s="7"/>
      <c r="H652" s="7"/>
      <c r="I652" s="7"/>
      <c r="J652" s="8"/>
      <c r="K652" s="9"/>
      <c r="L652" s="5"/>
      <c r="M652" s="9"/>
      <c r="N652" s="21"/>
      <c r="O652" s="20"/>
      <c r="P652" s="21"/>
      <c r="Q652" s="21"/>
      <c r="R652" s="21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2.75" customHeight="1" x14ac:dyDescent="0.25">
      <c r="A653" s="3"/>
      <c r="B653" s="19"/>
      <c r="C653" s="5"/>
      <c r="D653" s="5"/>
      <c r="E653" s="5"/>
      <c r="F653" s="6"/>
      <c r="G653" s="7"/>
      <c r="H653" s="7"/>
      <c r="I653" s="7"/>
      <c r="J653" s="8"/>
      <c r="K653" s="9"/>
      <c r="L653" s="5"/>
      <c r="M653" s="9"/>
      <c r="N653" s="21"/>
      <c r="O653" s="20"/>
      <c r="P653" s="21"/>
      <c r="Q653" s="21"/>
      <c r="R653" s="21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2.75" customHeight="1" x14ac:dyDescent="0.25">
      <c r="A654" s="3"/>
      <c r="B654" s="19"/>
      <c r="C654" s="5"/>
      <c r="D654" s="5"/>
      <c r="E654" s="5"/>
      <c r="F654" s="6"/>
      <c r="G654" s="7"/>
      <c r="H654" s="7"/>
      <c r="I654" s="7"/>
      <c r="J654" s="8"/>
      <c r="K654" s="9"/>
      <c r="L654" s="5"/>
      <c r="M654" s="9"/>
      <c r="N654" s="21"/>
      <c r="O654" s="20"/>
      <c r="P654" s="21"/>
      <c r="Q654" s="21"/>
      <c r="R654" s="21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2.75" customHeight="1" x14ac:dyDescent="0.25">
      <c r="A655" s="3"/>
      <c r="B655" s="19"/>
      <c r="C655" s="5"/>
      <c r="D655" s="5"/>
      <c r="E655" s="5"/>
      <c r="F655" s="6"/>
      <c r="G655" s="7"/>
      <c r="H655" s="7"/>
      <c r="I655" s="7"/>
      <c r="J655" s="8"/>
      <c r="K655" s="9"/>
      <c r="L655" s="5"/>
      <c r="M655" s="9"/>
      <c r="N655" s="21"/>
      <c r="O655" s="20"/>
      <c r="P655" s="21"/>
      <c r="Q655" s="21"/>
      <c r="R655" s="21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2.75" customHeight="1" x14ac:dyDescent="0.25">
      <c r="A656" s="3"/>
      <c r="B656" s="19"/>
      <c r="C656" s="5"/>
      <c r="D656" s="5"/>
      <c r="E656" s="5"/>
      <c r="F656" s="6"/>
      <c r="G656" s="7"/>
      <c r="H656" s="7"/>
      <c r="I656" s="7"/>
      <c r="J656" s="8"/>
      <c r="K656" s="9"/>
      <c r="L656" s="5"/>
      <c r="M656" s="9"/>
      <c r="N656" s="21"/>
      <c r="O656" s="20"/>
      <c r="P656" s="21"/>
      <c r="Q656" s="21"/>
      <c r="R656" s="21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2.75" customHeight="1" x14ac:dyDescent="0.25">
      <c r="A657" s="3"/>
      <c r="B657" s="19"/>
      <c r="C657" s="5"/>
      <c r="D657" s="5"/>
      <c r="E657" s="5"/>
      <c r="F657" s="6"/>
      <c r="G657" s="7"/>
      <c r="H657" s="7"/>
      <c r="I657" s="7"/>
      <c r="J657" s="8"/>
      <c r="K657" s="9"/>
      <c r="L657" s="5"/>
      <c r="M657" s="9"/>
      <c r="N657" s="21"/>
      <c r="O657" s="20"/>
      <c r="P657" s="21"/>
      <c r="Q657" s="21"/>
      <c r="R657" s="21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2.75" customHeight="1" x14ac:dyDescent="0.25">
      <c r="A658" s="3"/>
      <c r="B658" s="19"/>
      <c r="C658" s="5"/>
      <c r="D658" s="5"/>
      <c r="E658" s="5"/>
      <c r="F658" s="6"/>
      <c r="G658" s="7"/>
      <c r="H658" s="7"/>
      <c r="I658" s="7"/>
      <c r="J658" s="8"/>
      <c r="K658" s="9"/>
      <c r="L658" s="5"/>
      <c r="M658" s="9"/>
      <c r="N658" s="21"/>
      <c r="O658" s="20"/>
      <c r="P658" s="21"/>
      <c r="Q658" s="21"/>
      <c r="R658" s="21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2.75" customHeight="1" x14ac:dyDescent="0.25">
      <c r="A659" s="3"/>
      <c r="B659" s="19"/>
      <c r="C659" s="5"/>
      <c r="D659" s="5"/>
      <c r="E659" s="5"/>
      <c r="F659" s="6"/>
      <c r="G659" s="7"/>
      <c r="H659" s="7"/>
      <c r="I659" s="7"/>
      <c r="J659" s="8"/>
      <c r="K659" s="9"/>
      <c r="L659" s="5"/>
      <c r="M659" s="9"/>
      <c r="N659" s="21"/>
      <c r="O659" s="20"/>
      <c r="P659" s="21"/>
      <c r="Q659" s="21"/>
      <c r="R659" s="21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2.75" customHeight="1" x14ac:dyDescent="0.25">
      <c r="A660" s="3"/>
      <c r="B660" s="19"/>
      <c r="C660" s="5"/>
      <c r="D660" s="5"/>
      <c r="E660" s="5"/>
      <c r="F660" s="6"/>
      <c r="G660" s="7"/>
      <c r="H660" s="7"/>
      <c r="I660" s="7"/>
      <c r="J660" s="8"/>
      <c r="K660" s="9"/>
      <c r="L660" s="5"/>
      <c r="M660" s="9"/>
      <c r="N660" s="21"/>
      <c r="O660" s="20"/>
      <c r="P660" s="21"/>
      <c r="Q660" s="21"/>
      <c r="R660" s="21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2.75" customHeight="1" x14ac:dyDescent="0.25">
      <c r="A661" s="3"/>
      <c r="B661" s="19"/>
      <c r="C661" s="5"/>
      <c r="D661" s="5"/>
      <c r="E661" s="5"/>
      <c r="F661" s="6"/>
      <c r="G661" s="7"/>
      <c r="H661" s="7"/>
      <c r="I661" s="7"/>
      <c r="J661" s="8"/>
      <c r="K661" s="9"/>
      <c r="L661" s="5"/>
      <c r="M661" s="9"/>
      <c r="N661" s="21"/>
      <c r="O661" s="20"/>
      <c r="P661" s="21"/>
      <c r="Q661" s="21"/>
      <c r="R661" s="21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2.75" customHeight="1" x14ac:dyDescent="0.25">
      <c r="A662" s="3"/>
      <c r="B662" s="19"/>
      <c r="C662" s="5"/>
      <c r="D662" s="5"/>
      <c r="E662" s="5"/>
      <c r="F662" s="6"/>
      <c r="G662" s="7"/>
      <c r="H662" s="7"/>
      <c r="I662" s="7"/>
      <c r="J662" s="8"/>
      <c r="K662" s="9"/>
      <c r="L662" s="5"/>
      <c r="M662" s="9"/>
      <c r="N662" s="21"/>
      <c r="O662" s="20"/>
      <c r="P662" s="21"/>
      <c r="Q662" s="21"/>
      <c r="R662" s="21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2.75" customHeight="1" x14ac:dyDescent="0.25">
      <c r="A663" s="3"/>
      <c r="B663" s="19"/>
      <c r="C663" s="5"/>
      <c r="D663" s="5"/>
      <c r="E663" s="5"/>
      <c r="F663" s="6"/>
      <c r="G663" s="7"/>
      <c r="H663" s="7"/>
      <c r="I663" s="7"/>
      <c r="J663" s="8"/>
      <c r="K663" s="9"/>
      <c r="L663" s="5"/>
      <c r="M663" s="9"/>
      <c r="N663" s="21"/>
      <c r="O663" s="20"/>
      <c r="P663" s="21"/>
      <c r="Q663" s="21"/>
      <c r="R663" s="21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2.75" customHeight="1" x14ac:dyDescent="0.25">
      <c r="A664" s="3"/>
      <c r="B664" s="19"/>
      <c r="C664" s="5"/>
      <c r="D664" s="5"/>
      <c r="E664" s="5"/>
      <c r="F664" s="6"/>
      <c r="G664" s="7"/>
      <c r="H664" s="7"/>
      <c r="I664" s="7"/>
      <c r="J664" s="8"/>
      <c r="K664" s="9"/>
      <c r="L664" s="5"/>
      <c r="M664" s="9"/>
      <c r="N664" s="21"/>
      <c r="O664" s="20"/>
      <c r="P664" s="21"/>
      <c r="Q664" s="21"/>
      <c r="R664" s="21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2.75" customHeight="1" x14ac:dyDescent="0.25">
      <c r="A665" s="3"/>
      <c r="B665" s="19"/>
      <c r="C665" s="5"/>
      <c r="D665" s="5"/>
      <c r="E665" s="5"/>
      <c r="F665" s="6"/>
      <c r="G665" s="7"/>
      <c r="H665" s="7"/>
      <c r="I665" s="7"/>
      <c r="J665" s="8"/>
      <c r="K665" s="9"/>
      <c r="L665" s="5"/>
      <c r="M665" s="9"/>
      <c r="N665" s="21"/>
      <c r="O665" s="20"/>
      <c r="P665" s="21"/>
      <c r="Q665" s="21"/>
      <c r="R665" s="21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2.75" customHeight="1" x14ac:dyDescent="0.25">
      <c r="A666" s="3"/>
      <c r="B666" s="19"/>
      <c r="C666" s="5"/>
      <c r="D666" s="5"/>
      <c r="E666" s="5"/>
      <c r="F666" s="6"/>
      <c r="G666" s="7"/>
      <c r="H666" s="7"/>
      <c r="I666" s="7"/>
      <c r="J666" s="8"/>
      <c r="K666" s="9"/>
      <c r="L666" s="5"/>
      <c r="M666" s="9"/>
      <c r="N666" s="21"/>
      <c r="O666" s="20"/>
      <c r="P666" s="21"/>
      <c r="Q666" s="21"/>
      <c r="R666" s="21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2.75" customHeight="1" x14ac:dyDescent="0.25">
      <c r="A667" s="3"/>
      <c r="B667" s="19"/>
      <c r="C667" s="5"/>
      <c r="D667" s="5"/>
      <c r="E667" s="5"/>
      <c r="F667" s="6"/>
      <c r="G667" s="7"/>
      <c r="H667" s="7"/>
      <c r="I667" s="7"/>
      <c r="J667" s="8"/>
      <c r="K667" s="9"/>
      <c r="L667" s="5"/>
      <c r="M667" s="9"/>
      <c r="N667" s="21"/>
      <c r="O667" s="20"/>
      <c r="P667" s="21"/>
      <c r="Q667" s="21"/>
      <c r="R667" s="21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2.75" customHeight="1" x14ac:dyDescent="0.25">
      <c r="A668" s="3"/>
      <c r="B668" s="19"/>
      <c r="C668" s="5"/>
      <c r="D668" s="5"/>
      <c r="E668" s="5"/>
      <c r="F668" s="6"/>
      <c r="G668" s="7"/>
      <c r="H668" s="7"/>
      <c r="I668" s="7"/>
      <c r="J668" s="8"/>
      <c r="K668" s="9"/>
      <c r="L668" s="5"/>
      <c r="M668" s="9"/>
      <c r="N668" s="21"/>
      <c r="O668" s="20"/>
      <c r="P668" s="21"/>
      <c r="Q668" s="21"/>
      <c r="R668" s="21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2.75" customHeight="1" x14ac:dyDescent="0.25">
      <c r="A669" s="3"/>
      <c r="B669" s="19"/>
      <c r="C669" s="5"/>
      <c r="D669" s="5"/>
      <c r="E669" s="5"/>
      <c r="F669" s="6"/>
      <c r="G669" s="7"/>
      <c r="H669" s="7"/>
      <c r="I669" s="7"/>
      <c r="J669" s="8"/>
      <c r="K669" s="9"/>
      <c r="L669" s="5"/>
      <c r="M669" s="9"/>
      <c r="N669" s="21"/>
      <c r="O669" s="20"/>
      <c r="P669" s="21"/>
      <c r="Q669" s="21"/>
      <c r="R669" s="21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2.75" customHeight="1" x14ac:dyDescent="0.25">
      <c r="A670" s="3"/>
      <c r="B670" s="19"/>
      <c r="C670" s="5"/>
      <c r="D670" s="5"/>
      <c r="E670" s="5"/>
      <c r="F670" s="6"/>
      <c r="G670" s="7"/>
      <c r="H670" s="7"/>
      <c r="I670" s="7"/>
      <c r="J670" s="8"/>
      <c r="K670" s="9"/>
      <c r="L670" s="5"/>
      <c r="M670" s="9"/>
      <c r="N670" s="21"/>
      <c r="O670" s="20"/>
      <c r="P670" s="21"/>
      <c r="Q670" s="21"/>
      <c r="R670" s="21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2.75" customHeight="1" x14ac:dyDescent="0.25">
      <c r="A671" s="3"/>
      <c r="B671" s="19"/>
      <c r="C671" s="5"/>
      <c r="D671" s="5"/>
      <c r="E671" s="5"/>
      <c r="F671" s="6"/>
      <c r="G671" s="7"/>
      <c r="H671" s="7"/>
      <c r="I671" s="7"/>
      <c r="J671" s="8"/>
      <c r="K671" s="9"/>
      <c r="L671" s="5"/>
      <c r="M671" s="9"/>
      <c r="N671" s="21"/>
      <c r="O671" s="20"/>
      <c r="P671" s="21"/>
      <c r="Q671" s="21"/>
      <c r="R671" s="21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2.75" customHeight="1" x14ac:dyDescent="0.25">
      <c r="A672" s="3"/>
      <c r="B672" s="19"/>
      <c r="C672" s="5"/>
      <c r="D672" s="5"/>
      <c r="E672" s="5"/>
      <c r="F672" s="6"/>
      <c r="G672" s="7"/>
      <c r="H672" s="7"/>
      <c r="I672" s="7"/>
      <c r="J672" s="8"/>
      <c r="K672" s="9"/>
      <c r="L672" s="5"/>
      <c r="M672" s="9"/>
      <c r="N672" s="21"/>
      <c r="O672" s="20"/>
      <c r="P672" s="21"/>
      <c r="Q672" s="21"/>
      <c r="R672" s="21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2.75" customHeight="1" x14ac:dyDescent="0.25">
      <c r="A673" s="3"/>
      <c r="B673" s="19"/>
      <c r="C673" s="5"/>
      <c r="D673" s="5"/>
      <c r="E673" s="5"/>
      <c r="F673" s="6"/>
      <c r="G673" s="7"/>
      <c r="H673" s="7"/>
      <c r="I673" s="7"/>
      <c r="J673" s="8"/>
      <c r="K673" s="9"/>
      <c r="L673" s="5"/>
      <c r="M673" s="9"/>
      <c r="N673" s="21"/>
      <c r="O673" s="20"/>
      <c r="P673" s="21"/>
      <c r="Q673" s="21"/>
      <c r="R673" s="21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2.75" customHeight="1" x14ac:dyDescent="0.25">
      <c r="A674" s="3"/>
      <c r="B674" s="19"/>
      <c r="C674" s="5"/>
      <c r="D674" s="5"/>
      <c r="E674" s="5"/>
      <c r="F674" s="6"/>
      <c r="G674" s="7"/>
      <c r="H674" s="7"/>
      <c r="I674" s="7"/>
      <c r="J674" s="8"/>
      <c r="K674" s="9"/>
      <c r="L674" s="5"/>
      <c r="M674" s="9"/>
      <c r="N674" s="21"/>
      <c r="O674" s="20"/>
      <c r="P674" s="21"/>
      <c r="Q674" s="21"/>
      <c r="R674" s="21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2.75" customHeight="1" x14ac:dyDescent="0.25">
      <c r="A675" s="3"/>
      <c r="B675" s="19"/>
      <c r="C675" s="5"/>
      <c r="D675" s="5"/>
      <c r="E675" s="5"/>
      <c r="F675" s="6"/>
      <c r="G675" s="7"/>
      <c r="H675" s="7"/>
      <c r="I675" s="7"/>
      <c r="J675" s="8"/>
      <c r="K675" s="9"/>
      <c r="L675" s="5"/>
      <c r="M675" s="9"/>
      <c r="N675" s="21"/>
      <c r="O675" s="20"/>
      <c r="P675" s="21"/>
      <c r="Q675" s="21"/>
      <c r="R675" s="21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2.75" customHeight="1" x14ac:dyDescent="0.25">
      <c r="A676" s="3"/>
      <c r="B676" s="19"/>
      <c r="C676" s="5"/>
      <c r="D676" s="5"/>
      <c r="E676" s="5"/>
      <c r="F676" s="6"/>
      <c r="G676" s="7"/>
      <c r="H676" s="7"/>
      <c r="I676" s="7"/>
      <c r="J676" s="8"/>
      <c r="K676" s="9"/>
      <c r="L676" s="5"/>
      <c r="M676" s="9"/>
      <c r="N676" s="21"/>
      <c r="O676" s="20"/>
      <c r="P676" s="21"/>
      <c r="Q676" s="21"/>
      <c r="R676" s="21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2.75" customHeight="1" x14ac:dyDescent="0.25">
      <c r="A677" s="3"/>
      <c r="B677" s="19"/>
      <c r="C677" s="5"/>
      <c r="D677" s="5"/>
      <c r="E677" s="5"/>
      <c r="F677" s="6"/>
      <c r="G677" s="7"/>
      <c r="H677" s="7"/>
      <c r="I677" s="7"/>
      <c r="J677" s="8"/>
      <c r="K677" s="9"/>
      <c r="L677" s="5"/>
      <c r="M677" s="9"/>
      <c r="N677" s="21"/>
      <c r="O677" s="20"/>
      <c r="P677" s="21"/>
      <c r="Q677" s="21"/>
      <c r="R677" s="21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2.75" customHeight="1" x14ac:dyDescent="0.25">
      <c r="A678" s="3"/>
      <c r="B678" s="19"/>
      <c r="C678" s="5"/>
      <c r="D678" s="5"/>
      <c r="E678" s="5"/>
      <c r="F678" s="6"/>
      <c r="G678" s="7"/>
      <c r="H678" s="7"/>
      <c r="I678" s="7"/>
      <c r="J678" s="8"/>
      <c r="K678" s="9"/>
      <c r="L678" s="5"/>
      <c r="M678" s="9"/>
      <c r="N678" s="21"/>
      <c r="O678" s="20"/>
      <c r="P678" s="21"/>
      <c r="Q678" s="21"/>
      <c r="R678" s="21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2.75" customHeight="1" x14ac:dyDescent="0.25">
      <c r="A679" s="3"/>
      <c r="B679" s="19"/>
      <c r="C679" s="5"/>
      <c r="D679" s="5"/>
      <c r="E679" s="5"/>
      <c r="F679" s="6"/>
      <c r="G679" s="7"/>
      <c r="H679" s="7"/>
      <c r="I679" s="7"/>
      <c r="J679" s="8"/>
      <c r="K679" s="9"/>
      <c r="L679" s="5"/>
      <c r="M679" s="9"/>
      <c r="N679" s="21"/>
      <c r="O679" s="20"/>
      <c r="P679" s="21"/>
      <c r="Q679" s="21"/>
      <c r="R679" s="21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2.75" customHeight="1" x14ac:dyDescent="0.25">
      <c r="A680" s="3"/>
      <c r="B680" s="19"/>
      <c r="C680" s="5"/>
      <c r="D680" s="5"/>
      <c r="E680" s="5"/>
      <c r="F680" s="6"/>
      <c r="G680" s="7"/>
      <c r="H680" s="7"/>
      <c r="I680" s="7"/>
      <c r="J680" s="8"/>
      <c r="K680" s="9"/>
      <c r="L680" s="5"/>
      <c r="M680" s="9"/>
      <c r="N680" s="21"/>
      <c r="O680" s="20"/>
      <c r="P680" s="21"/>
      <c r="Q680" s="21"/>
      <c r="R680" s="21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2.75" customHeight="1" x14ac:dyDescent="0.25">
      <c r="A681" s="3"/>
      <c r="B681" s="19"/>
      <c r="C681" s="5"/>
      <c r="D681" s="5"/>
      <c r="E681" s="5"/>
      <c r="F681" s="6"/>
      <c r="G681" s="7"/>
      <c r="H681" s="7"/>
      <c r="I681" s="7"/>
      <c r="J681" s="8"/>
      <c r="K681" s="9"/>
      <c r="L681" s="5"/>
      <c r="M681" s="9"/>
      <c r="N681" s="21"/>
      <c r="O681" s="20"/>
      <c r="P681" s="21"/>
      <c r="Q681" s="21"/>
      <c r="R681" s="21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2.75" customHeight="1" x14ac:dyDescent="0.25">
      <c r="A682" s="3"/>
      <c r="B682" s="19"/>
      <c r="C682" s="5"/>
      <c r="D682" s="5"/>
      <c r="E682" s="5"/>
      <c r="F682" s="6"/>
      <c r="G682" s="7"/>
      <c r="H682" s="7"/>
      <c r="I682" s="7"/>
      <c r="J682" s="8"/>
      <c r="K682" s="9"/>
      <c r="L682" s="5"/>
      <c r="M682" s="9"/>
      <c r="N682" s="21"/>
      <c r="O682" s="20"/>
      <c r="P682" s="21"/>
      <c r="Q682" s="21"/>
      <c r="R682" s="21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2.75" customHeight="1" x14ac:dyDescent="0.25">
      <c r="A683" s="3"/>
      <c r="B683" s="19"/>
      <c r="C683" s="5"/>
      <c r="D683" s="5"/>
      <c r="E683" s="5"/>
      <c r="F683" s="6"/>
      <c r="G683" s="7"/>
      <c r="H683" s="7"/>
      <c r="I683" s="7"/>
      <c r="J683" s="8"/>
      <c r="K683" s="9"/>
      <c r="L683" s="5"/>
      <c r="M683" s="9"/>
      <c r="N683" s="21"/>
      <c r="O683" s="20"/>
      <c r="P683" s="21"/>
      <c r="Q683" s="21"/>
      <c r="R683" s="21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2.75" customHeight="1" x14ac:dyDescent="0.25">
      <c r="A684" s="3"/>
      <c r="B684" s="19"/>
      <c r="C684" s="5"/>
      <c r="D684" s="5"/>
      <c r="E684" s="5"/>
      <c r="F684" s="6"/>
      <c r="G684" s="7"/>
      <c r="H684" s="7"/>
      <c r="I684" s="7"/>
      <c r="J684" s="8"/>
      <c r="K684" s="9"/>
      <c r="L684" s="5"/>
      <c r="M684" s="9"/>
      <c r="N684" s="21"/>
      <c r="O684" s="20"/>
      <c r="P684" s="21"/>
      <c r="Q684" s="21"/>
      <c r="R684" s="21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2.75" customHeight="1" x14ac:dyDescent="0.25">
      <c r="A685" s="3"/>
      <c r="B685" s="19"/>
      <c r="C685" s="5"/>
      <c r="D685" s="5"/>
      <c r="E685" s="5"/>
      <c r="F685" s="6"/>
      <c r="G685" s="7"/>
      <c r="H685" s="7"/>
      <c r="I685" s="7"/>
      <c r="J685" s="8"/>
      <c r="K685" s="9"/>
      <c r="L685" s="5"/>
      <c r="M685" s="9"/>
      <c r="N685" s="21"/>
      <c r="O685" s="20"/>
      <c r="P685" s="21"/>
      <c r="Q685" s="21"/>
      <c r="R685" s="21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2.75" customHeight="1" x14ac:dyDescent="0.25">
      <c r="A686" s="3"/>
      <c r="B686" s="19"/>
      <c r="C686" s="5"/>
      <c r="D686" s="5"/>
      <c r="E686" s="5"/>
      <c r="F686" s="6"/>
      <c r="G686" s="7"/>
      <c r="H686" s="7"/>
      <c r="I686" s="7"/>
      <c r="J686" s="8"/>
      <c r="K686" s="9"/>
      <c r="L686" s="5"/>
      <c r="M686" s="9"/>
      <c r="N686" s="21"/>
      <c r="O686" s="20"/>
      <c r="P686" s="21"/>
      <c r="Q686" s="21"/>
      <c r="R686" s="21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2.75" customHeight="1" x14ac:dyDescent="0.25">
      <c r="A687" s="3"/>
      <c r="B687" s="19"/>
      <c r="C687" s="5"/>
      <c r="D687" s="5"/>
      <c r="E687" s="5"/>
      <c r="F687" s="6"/>
      <c r="G687" s="7"/>
      <c r="H687" s="7"/>
      <c r="I687" s="7"/>
      <c r="J687" s="8"/>
      <c r="K687" s="9"/>
      <c r="L687" s="5"/>
      <c r="M687" s="9"/>
      <c r="N687" s="21"/>
      <c r="O687" s="20"/>
      <c r="P687" s="21"/>
      <c r="Q687" s="21"/>
      <c r="R687" s="21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2.75" customHeight="1" x14ac:dyDescent="0.25">
      <c r="A688" s="3"/>
      <c r="B688" s="19"/>
      <c r="C688" s="5"/>
      <c r="D688" s="5"/>
      <c r="E688" s="5"/>
      <c r="F688" s="6"/>
      <c r="G688" s="7"/>
      <c r="H688" s="7"/>
      <c r="I688" s="7"/>
      <c r="J688" s="8"/>
      <c r="K688" s="9"/>
      <c r="L688" s="5"/>
      <c r="M688" s="9"/>
      <c r="N688" s="21"/>
      <c r="O688" s="20"/>
      <c r="P688" s="21"/>
      <c r="Q688" s="21"/>
      <c r="R688" s="21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2.75" customHeight="1" x14ac:dyDescent="0.25">
      <c r="A689" s="3"/>
      <c r="B689" s="19"/>
      <c r="C689" s="5"/>
      <c r="D689" s="5"/>
      <c r="E689" s="5"/>
      <c r="F689" s="6"/>
      <c r="G689" s="7"/>
      <c r="H689" s="7"/>
      <c r="I689" s="7"/>
      <c r="J689" s="8"/>
      <c r="K689" s="9"/>
      <c r="L689" s="5"/>
      <c r="M689" s="9"/>
      <c r="N689" s="21"/>
      <c r="O689" s="20"/>
      <c r="P689" s="21"/>
      <c r="Q689" s="21"/>
      <c r="R689" s="21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2.75" customHeight="1" x14ac:dyDescent="0.25">
      <c r="A690" s="3"/>
      <c r="B690" s="19"/>
      <c r="C690" s="5"/>
      <c r="D690" s="5"/>
      <c r="E690" s="5"/>
      <c r="F690" s="6"/>
      <c r="G690" s="7"/>
      <c r="H690" s="7"/>
      <c r="I690" s="7"/>
      <c r="J690" s="8"/>
      <c r="K690" s="9"/>
      <c r="L690" s="5"/>
      <c r="M690" s="9"/>
      <c r="N690" s="21"/>
      <c r="O690" s="20"/>
      <c r="P690" s="21"/>
      <c r="Q690" s="21"/>
      <c r="R690" s="21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2.75" customHeight="1" x14ac:dyDescent="0.25">
      <c r="A691" s="3"/>
      <c r="B691" s="19"/>
      <c r="C691" s="5"/>
      <c r="D691" s="5"/>
      <c r="E691" s="5"/>
      <c r="F691" s="6"/>
      <c r="G691" s="7"/>
      <c r="H691" s="7"/>
      <c r="I691" s="7"/>
      <c r="J691" s="8"/>
      <c r="K691" s="9"/>
      <c r="L691" s="5"/>
      <c r="M691" s="9"/>
      <c r="N691" s="21"/>
      <c r="O691" s="20"/>
      <c r="P691" s="21"/>
      <c r="Q691" s="21"/>
      <c r="R691" s="21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2.75" customHeight="1" x14ac:dyDescent="0.25">
      <c r="A692" s="3"/>
      <c r="B692" s="19"/>
      <c r="C692" s="5"/>
      <c r="D692" s="5"/>
      <c r="E692" s="5"/>
      <c r="F692" s="6"/>
      <c r="G692" s="7"/>
      <c r="H692" s="7"/>
      <c r="I692" s="7"/>
      <c r="J692" s="8"/>
      <c r="K692" s="9"/>
      <c r="L692" s="5"/>
      <c r="M692" s="9"/>
      <c r="N692" s="21"/>
      <c r="O692" s="20"/>
      <c r="P692" s="21"/>
      <c r="Q692" s="21"/>
      <c r="R692" s="21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2.75" customHeight="1" x14ac:dyDescent="0.25">
      <c r="A693" s="3"/>
      <c r="B693" s="19"/>
      <c r="C693" s="5"/>
      <c r="D693" s="5"/>
      <c r="E693" s="5"/>
      <c r="F693" s="6"/>
      <c r="G693" s="7"/>
      <c r="H693" s="7"/>
      <c r="I693" s="7"/>
      <c r="J693" s="8"/>
      <c r="K693" s="9"/>
      <c r="L693" s="5"/>
      <c r="M693" s="9"/>
      <c r="N693" s="21"/>
      <c r="O693" s="20"/>
      <c r="P693" s="21"/>
      <c r="Q693" s="21"/>
      <c r="R693" s="21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2.75" customHeight="1" x14ac:dyDescent="0.25">
      <c r="A694" s="3"/>
      <c r="B694" s="19"/>
      <c r="C694" s="5"/>
      <c r="D694" s="5"/>
      <c r="E694" s="5"/>
      <c r="F694" s="6"/>
      <c r="G694" s="7"/>
      <c r="H694" s="7"/>
      <c r="I694" s="7"/>
      <c r="J694" s="8"/>
      <c r="K694" s="9"/>
      <c r="L694" s="5"/>
      <c r="M694" s="9"/>
      <c r="N694" s="21"/>
      <c r="O694" s="20"/>
      <c r="P694" s="21"/>
      <c r="Q694" s="21"/>
      <c r="R694" s="21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12.75" customHeight="1" x14ac:dyDescent="0.25">
      <c r="A695" s="3"/>
      <c r="B695" s="19"/>
      <c r="C695" s="5"/>
      <c r="D695" s="5"/>
      <c r="E695" s="5"/>
      <c r="F695" s="6"/>
      <c r="G695" s="7"/>
      <c r="H695" s="7"/>
      <c r="I695" s="7"/>
      <c r="J695" s="8"/>
      <c r="K695" s="9"/>
      <c r="L695" s="5"/>
      <c r="M695" s="9"/>
      <c r="N695" s="21"/>
      <c r="O695" s="20"/>
      <c r="P695" s="21"/>
      <c r="Q695" s="21"/>
      <c r="R695" s="21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12.75" customHeight="1" x14ac:dyDescent="0.25">
      <c r="A696" s="3"/>
      <c r="B696" s="19"/>
      <c r="C696" s="5"/>
      <c r="D696" s="5"/>
      <c r="E696" s="5"/>
      <c r="F696" s="6"/>
      <c r="G696" s="7"/>
      <c r="H696" s="7"/>
      <c r="I696" s="7"/>
      <c r="J696" s="8"/>
      <c r="K696" s="9"/>
      <c r="L696" s="5"/>
      <c r="M696" s="9"/>
      <c r="N696" s="21"/>
      <c r="O696" s="20"/>
      <c r="P696" s="21"/>
      <c r="Q696" s="21"/>
      <c r="R696" s="21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12.75" customHeight="1" x14ac:dyDescent="0.25">
      <c r="A697" s="3"/>
      <c r="B697" s="19"/>
      <c r="C697" s="5"/>
      <c r="D697" s="5"/>
      <c r="E697" s="5"/>
      <c r="F697" s="6"/>
      <c r="G697" s="7"/>
      <c r="H697" s="7"/>
      <c r="I697" s="7"/>
      <c r="J697" s="8"/>
      <c r="K697" s="9"/>
      <c r="L697" s="5"/>
      <c r="M697" s="9"/>
      <c r="N697" s="21"/>
      <c r="O697" s="20"/>
      <c r="P697" s="21"/>
      <c r="Q697" s="21"/>
      <c r="R697" s="21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2.75" customHeight="1" x14ac:dyDescent="0.25">
      <c r="A698" s="3"/>
      <c r="B698" s="19"/>
      <c r="C698" s="5"/>
      <c r="D698" s="5"/>
      <c r="E698" s="5"/>
      <c r="F698" s="6"/>
      <c r="G698" s="7"/>
      <c r="H698" s="7"/>
      <c r="I698" s="7"/>
      <c r="J698" s="8"/>
      <c r="K698" s="9"/>
      <c r="L698" s="5"/>
      <c r="M698" s="9"/>
      <c r="N698" s="21"/>
      <c r="O698" s="20"/>
      <c r="P698" s="21"/>
      <c r="Q698" s="21"/>
      <c r="R698" s="21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2.75" customHeight="1" x14ac:dyDescent="0.25">
      <c r="A699" s="3"/>
      <c r="B699" s="19"/>
      <c r="C699" s="5"/>
      <c r="D699" s="5"/>
      <c r="E699" s="5"/>
      <c r="F699" s="6"/>
      <c r="G699" s="7"/>
      <c r="H699" s="7"/>
      <c r="I699" s="7"/>
      <c r="J699" s="8"/>
      <c r="K699" s="9"/>
      <c r="L699" s="5"/>
      <c r="M699" s="9"/>
      <c r="N699" s="21"/>
      <c r="O699" s="20"/>
      <c r="P699" s="21"/>
      <c r="Q699" s="21"/>
      <c r="R699" s="21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2.75" customHeight="1" x14ac:dyDescent="0.25">
      <c r="A700" s="3"/>
      <c r="B700" s="19"/>
      <c r="C700" s="5"/>
      <c r="D700" s="5"/>
      <c r="E700" s="5"/>
      <c r="F700" s="6"/>
      <c r="G700" s="7"/>
      <c r="H700" s="7"/>
      <c r="I700" s="7"/>
      <c r="J700" s="8"/>
      <c r="K700" s="9"/>
      <c r="L700" s="5"/>
      <c r="M700" s="9"/>
      <c r="N700" s="21"/>
      <c r="O700" s="20"/>
      <c r="P700" s="21"/>
      <c r="Q700" s="21"/>
      <c r="R700" s="21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2.75" customHeight="1" x14ac:dyDescent="0.25">
      <c r="A701" s="3"/>
      <c r="B701" s="19"/>
      <c r="C701" s="5"/>
      <c r="D701" s="5"/>
      <c r="E701" s="5"/>
      <c r="F701" s="6"/>
      <c r="G701" s="7"/>
      <c r="H701" s="7"/>
      <c r="I701" s="7"/>
      <c r="J701" s="8"/>
      <c r="K701" s="9"/>
      <c r="L701" s="5"/>
      <c r="M701" s="9"/>
      <c r="N701" s="21"/>
      <c r="O701" s="20"/>
      <c r="P701" s="21"/>
      <c r="Q701" s="21"/>
      <c r="R701" s="21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2.75" customHeight="1" x14ac:dyDescent="0.25">
      <c r="A702" s="3"/>
      <c r="B702" s="19"/>
      <c r="C702" s="5"/>
      <c r="D702" s="5"/>
      <c r="E702" s="5"/>
      <c r="F702" s="6"/>
      <c r="G702" s="7"/>
      <c r="H702" s="7"/>
      <c r="I702" s="7"/>
      <c r="J702" s="8"/>
      <c r="K702" s="9"/>
      <c r="L702" s="5"/>
      <c r="M702" s="9"/>
      <c r="N702" s="21"/>
      <c r="O702" s="20"/>
      <c r="P702" s="21"/>
      <c r="Q702" s="21"/>
      <c r="R702" s="21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2.75" customHeight="1" x14ac:dyDescent="0.25">
      <c r="A703" s="3"/>
      <c r="B703" s="19"/>
      <c r="C703" s="5"/>
      <c r="D703" s="5"/>
      <c r="E703" s="5"/>
      <c r="F703" s="6"/>
      <c r="G703" s="7"/>
      <c r="H703" s="7"/>
      <c r="I703" s="7"/>
      <c r="J703" s="8"/>
      <c r="K703" s="9"/>
      <c r="L703" s="5"/>
      <c r="M703" s="9"/>
      <c r="N703" s="21"/>
      <c r="O703" s="20"/>
      <c r="P703" s="21"/>
      <c r="Q703" s="21"/>
      <c r="R703" s="21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2.75" customHeight="1" x14ac:dyDescent="0.25">
      <c r="A704" s="3"/>
      <c r="B704" s="19"/>
      <c r="C704" s="5"/>
      <c r="D704" s="5"/>
      <c r="E704" s="5"/>
      <c r="F704" s="6"/>
      <c r="G704" s="7"/>
      <c r="H704" s="7"/>
      <c r="I704" s="7"/>
      <c r="J704" s="8"/>
      <c r="K704" s="9"/>
      <c r="L704" s="5"/>
      <c r="M704" s="9"/>
      <c r="N704" s="21"/>
      <c r="O704" s="20"/>
      <c r="P704" s="21"/>
      <c r="Q704" s="21"/>
      <c r="R704" s="21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2.75" customHeight="1" x14ac:dyDescent="0.25">
      <c r="A705" s="3"/>
      <c r="B705" s="19"/>
      <c r="C705" s="5"/>
      <c r="D705" s="5"/>
      <c r="E705" s="5"/>
      <c r="F705" s="6"/>
      <c r="G705" s="7"/>
      <c r="H705" s="7"/>
      <c r="I705" s="7"/>
      <c r="J705" s="8"/>
      <c r="K705" s="9"/>
      <c r="L705" s="5"/>
      <c r="M705" s="9"/>
      <c r="N705" s="21"/>
      <c r="O705" s="20"/>
      <c r="P705" s="21"/>
      <c r="Q705" s="21"/>
      <c r="R705" s="21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2.75" customHeight="1" x14ac:dyDescent="0.25">
      <c r="A706" s="3"/>
      <c r="B706" s="19"/>
      <c r="C706" s="5"/>
      <c r="D706" s="5"/>
      <c r="E706" s="5"/>
      <c r="F706" s="6"/>
      <c r="G706" s="7"/>
      <c r="H706" s="7"/>
      <c r="I706" s="7"/>
      <c r="J706" s="8"/>
      <c r="K706" s="9"/>
      <c r="L706" s="5"/>
      <c r="M706" s="9"/>
      <c r="N706" s="21"/>
      <c r="O706" s="20"/>
      <c r="P706" s="21"/>
      <c r="Q706" s="21"/>
      <c r="R706" s="21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2.75" customHeight="1" x14ac:dyDescent="0.25">
      <c r="A707" s="3"/>
      <c r="B707" s="19"/>
      <c r="C707" s="5"/>
      <c r="D707" s="5"/>
      <c r="E707" s="5"/>
      <c r="F707" s="6"/>
      <c r="G707" s="7"/>
      <c r="H707" s="7"/>
      <c r="I707" s="7"/>
      <c r="J707" s="8"/>
      <c r="K707" s="9"/>
      <c r="L707" s="5"/>
      <c r="M707" s="9"/>
      <c r="N707" s="21"/>
      <c r="O707" s="20"/>
      <c r="P707" s="21"/>
      <c r="Q707" s="21"/>
      <c r="R707" s="21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2.75" customHeight="1" x14ac:dyDescent="0.25">
      <c r="A708" s="3"/>
      <c r="B708" s="19"/>
      <c r="C708" s="5"/>
      <c r="D708" s="5"/>
      <c r="E708" s="5"/>
      <c r="F708" s="6"/>
      <c r="G708" s="7"/>
      <c r="H708" s="7"/>
      <c r="I708" s="7"/>
      <c r="J708" s="8"/>
      <c r="K708" s="9"/>
      <c r="L708" s="5"/>
      <c r="M708" s="9"/>
      <c r="N708" s="21"/>
      <c r="O708" s="20"/>
      <c r="P708" s="21"/>
      <c r="Q708" s="21"/>
      <c r="R708" s="21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2.75" customHeight="1" x14ac:dyDescent="0.25">
      <c r="A709" s="3"/>
      <c r="B709" s="19"/>
      <c r="C709" s="5"/>
      <c r="D709" s="5"/>
      <c r="E709" s="5"/>
      <c r="F709" s="6"/>
      <c r="G709" s="7"/>
      <c r="H709" s="7"/>
      <c r="I709" s="7"/>
      <c r="J709" s="8"/>
      <c r="K709" s="9"/>
      <c r="L709" s="5"/>
      <c r="M709" s="9"/>
      <c r="N709" s="21"/>
      <c r="O709" s="20"/>
      <c r="P709" s="21"/>
      <c r="Q709" s="21"/>
      <c r="R709" s="21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2.75" customHeight="1" x14ac:dyDescent="0.25">
      <c r="A710" s="3"/>
      <c r="B710" s="19"/>
      <c r="C710" s="5"/>
      <c r="D710" s="5"/>
      <c r="E710" s="5"/>
      <c r="F710" s="6"/>
      <c r="G710" s="7"/>
      <c r="H710" s="7"/>
      <c r="I710" s="7"/>
      <c r="J710" s="8"/>
      <c r="K710" s="9"/>
      <c r="L710" s="5"/>
      <c r="M710" s="9"/>
      <c r="N710" s="21"/>
      <c r="O710" s="20"/>
      <c r="P710" s="21"/>
      <c r="Q710" s="21"/>
      <c r="R710" s="21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2.75" customHeight="1" x14ac:dyDescent="0.25">
      <c r="A711" s="3"/>
      <c r="B711" s="19"/>
      <c r="C711" s="5"/>
      <c r="D711" s="5"/>
      <c r="E711" s="5"/>
      <c r="F711" s="6"/>
      <c r="G711" s="7"/>
      <c r="H711" s="7"/>
      <c r="I711" s="7"/>
      <c r="J711" s="8"/>
      <c r="K711" s="9"/>
      <c r="L711" s="5"/>
      <c r="M711" s="9"/>
      <c r="N711" s="21"/>
      <c r="O711" s="20"/>
      <c r="P711" s="21"/>
      <c r="Q711" s="21"/>
      <c r="R711" s="21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2.75" customHeight="1" x14ac:dyDescent="0.25">
      <c r="A712" s="3"/>
      <c r="B712" s="19"/>
      <c r="C712" s="5"/>
      <c r="D712" s="5"/>
      <c r="E712" s="5"/>
      <c r="F712" s="6"/>
      <c r="G712" s="7"/>
      <c r="H712" s="7"/>
      <c r="I712" s="7"/>
      <c r="J712" s="8"/>
      <c r="K712" s="9"/>
      <c r="L712" s="5"/>
      <c r="M712" s="9"/>
      <c r="N712" s="21"/>
      <c r="O712" s="20"/>
      <c r="P712" s="21"/>
      <c r="Q712" s="21"/>
      <c r="R712" s="21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2.75" customHeight="1" x14ac:dyDescent="0.25">
      <c r="A713" s="3"/>
      <c r="B713" s="19"/>
      <c r="C713" s="5"/>
      <c r="D713" s="5"/>
      <c r="E713" s="5"/>
      <c r="F713" s="6"/>
      <c r="G713" s="7"/>
      <c r="H713" s="7"/>
      <c r="I713" s="7"/>
      <c r="J713" s="8"/>
      <c r="K713" s="9"/>
      <c r="L713" s="5"/>
      <c r="M713" s="9"/>
      <c r="N713" s="21"/>
      <c r="O713" s="20"/>
      <c r="P713" s="21"/>
      <c r="Q713" s="21"/>
      <c r="R713" s="21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2.75" customHeight="1" x14ac:dyDescent="0.25">
      <c r="A714" s="3"/>
      <c r="B714" s="19"/>
      <c r="C714" s="5"/>
      <c r="D714" s="5"/>
      <c r="E714" s="5"/>
      <c r="F714" s="6"/>
      <c r="G714" s="7"/>
      <c r="H714" s="7"/>
      <c r="I714" s="7"/>
      <c r="J714" s="8"/>
      <c r="K714" s="9"/>
      <c r="L714" s="5"/>
      <c r="M714" s="9"/>
      <c r="N714" s="21"/>
      <c r="O714" s="20"/>
      <c r="P714" s="21"/>
      <c r="Q714" s="21"/>
      <c r="R714" s="21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2.75" customHeight="1" x14ac:dyDescent="0.25">
      <c r="A715" s="3"/>
      <c r="B715" s="19"/>
      <c r="C715" s="5"/>
      <c r="D715" s="5"/>
      <c r="E715" s="5"/>
      <c r="F715" s="6"/>
      <c r="G715" s="7"/>
      <c r="H715" s="7"/>
      <c r="I715" s="7"/>
      <c r="J715" s="8"/>
      <c r="K715" s="9"/>
      <c r="L715" s="5"/>
      <c r="M715" s="9"/>
      <c r="N715" s="21"/>
      <c r="O715" s="20"/>
      <c r="P715" s="21"/>
      <c r="Q715" s="21"/>
      <c r="R715" s="21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2.75" customHeight="1" x14ac:dyDescent="0.25">
      <c r="A716" s="3"/>
      <c r="B716" s="19"/>
      <c r="C716" s="5"/>
      <c r="D716" s="5"/>
      <c r="E716" s="5"/>
      <c r="F716" s="6"/>
      <c r="G716" s="7"/>
      <c r="H716" s="7"/>
      <c r="I716" s="7"/>
      <c r="J716" s="8"/>
      <c r="K716" s="9"/>
      <c r="L716" s="5"/>
      <c r="M716" s="9"/>
      <c r="N716" s="21"/>
      <c r="O716" s="20"/>
      <c r="P716" s="21"/>
      <c r="Q716" s="21"/>
      <c r="R716" s="21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2.75" customHeight="1" x14ac:dyDescent="0.25">
      <c r="A717" s="3"/>
      <c r="B717" s="19"/>
      <c r="C717" s="5"/>
      <c r="D717" s="5"/>
      <c r="E717" s="5"/>
      <c r="F717" s="6"/>
      <c r="G717" s="7"/>
      <c r="H717" s="7"/>
      <c r="I717" s="7"/>
      <c r="J717" s="8"/>
      <c r="K717" s="9"/>
      <c r="L717" s="5"/>
      <c r="M717" s="9"/>
      <c r="N717" s="21"/>
      <c r="O717" s="20"/>
      <c r="P717" s="21"/>
      <c r="Q717" s="21"/>
      <c r="R717" s="21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2.75" customHeight="1" x14ac:dyDescent="0.25">
      <c r="A718" s="3"/>
      <c r="B718" s="19"/>
      <c r="C718" s="5"/>
      <c r="D718" s="5"/>
      <c r="E718" s="5"/>
      <c r="F718" s="6"/>
      <c r="G718" s="7"/>
      <c r="H718" s="7"/>
      <c r="I718" s="7"/>
      <c r="J718" s="8"/>
      <c r="K718" s="9"/>
      <c r="L718" s="5"/>
      <c r="M718" s="9"/>
      <c r="N718" s="21"/>
      <c r="O718" s="20"/>
      <c r="P718" s="21"/>
      <c r="Q718" s="21"/>
      <c r="R718" s="21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2.75" customHeight="1" x14ac:dyDescent="0.25">
      <c r="A719" s="3"/>
      <c r="B719" s="19"/>
      <c r="C719" s="5"/>
      <c r="D719" s="5"/>
      <c r="E719" s="5"/>
      <c r="F719" s="6"/>
      <c r="G719" s="7"/>
      <c r="H719" s="7"/>
      <c r="I719" s="7"/>
      <c r="J719" s="8"/>
      <c r="K719" s="9"/>
      <c r="L719" s="5"/>
      <c r="M719" s="9"/>
      <c r="N719" s="21"/>
      <c r="O719" s="20"/>
      <c r="P719" s="21"/>
      <c r="Q719" s="21"/>
      <c r="R719" s="21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2.75" customHeight="1" x14ac:dyDescent="0.25">
      <c r="A720" s="3"/>
      <c r="B720" s="19"/>
      <c r="C720" s="5"/>
      <c r="D720" s="5"/>
      <c r="E720" s="5"/>
      <c r="F720" s="6"/>
      <c r="G720" s="7"/>
      <c r="H720" s="7"/>
      <c r="I720" s="7"/>
      <c r="J720" s="8"/>
      <c r="K720" s="9"/>
      <c r="L720" s="5"/>
      <c r="M720" s="9"/>
      <c r="N720" s="21"/>
      <c r="O720" s="20"/>
      <c r="P720" s="21"/>
      <c r="Q720" s="21"/>
      <c r="R720" s="21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2.75" customHeight="1" x14ac:dyDescent="0.25">
      <c r="A721" s="3"/>
      <c r="B721" s="19"/>
      <c r="C721" s="5"/>
      <c r="D721" s="5"/>
      <c r="E721" s="5"/>
      <c r="F721" s="6"/>
      <c r="G721" s="7"/>
      <c r="H721" s="7"/>
      <c r="I721" s="7"/>
      <c r="J721" s="8"/>
      <c r="K721" s="9"/>
      <c r="L721" s="5"/>
      <c r="M721" s="9"/>
      <c r="N721" s="21"/>
      <c r="O721" s="20"/>
      <c r="P721" s="21"/>
      <c r="Q721" s="21"/>
      <c r="R721" s="21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2.75" customHeight="1" x14ac:dyDescent="0.25">
      <c r="A722" s="3"/>
      <c r="B722" s="19"/>
      <c r="C722" s="5"/>
      <c r="D722" s="5"/>
      <c r="E722" s="5"/>
      <c r="F722" s="6"/>
      <c r="G722" s="7"/>
      <c r="H722" s="7"/>
      <c r="I722" s="7"/>
      <c r="J722" s="8"/>
      <c r="K722" s="9"/>
      <c r="L722" s="5"/>
      <c r="M722" s="9"/>
      <c r="N722" s="21"/>
      <c r="O722" s="20"/>
      <c r="P722" s="21"/>
      <c r="Q722" s="21"/>
      <c r="R722" s="21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2.75" customHeight="1" x14ac:dyDescent="0.25">
      <c r="A723" s="3"/>
      <c r="B723" s="19"/>
      <c r="C723" s="5"/>
      <c r="D723" s="5"/>
      <c r="E723" s="5"/>
      <c r="F723" s="6"/>
      <c r="G723" s="7"/>
      <c r="H723" s="7"/>
      <c r="I723" s="7"/>
      <c r="J723" s="8"/>
      <c r="K723" s="9"/>
      <c r="L723" s="5"/>
      <c r="M723" s="9"/>
      <c r="N723" s="21"/>
      <c r="O723" s="20"/>
      <c r="P723" s="21"/>
      <c r="Q723" s="21"/>
      <c r="R723" s="21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2.75" customHeight="1" x14ac:dyDescent="0.25">
      <c r="A724" s="3"/>
      <c r="B724" s="19"/>
      <c r="C724" s="5"/>
      <c r="D724" s="5"/>
      <c r="E724" s="5"/>
      <c r="F724" s="6"/>
      <c r="G724" s="7"/>
      <c r="H724" s="7"/>
      <c r="I724" s="7"/>
      <c r="J724" s="8"/>
      <c r="K724" s="9"/>
      <c r="L724" s="5"/>
      <c r="M724" s="9"/>
      <c r="N724" s="21"/>
      <c r="O724" s="20"/>
      <c r="P724" s="21"/>
      <c r="Q724" s="21"/>
      <c r="R724" s="21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2.75" customHeight="1" x14ac:dyDescent="0.25">
      <c r="A725" s="3"/>
      <c r="B725" s="19"/>
      <c r="C725" s="5"/>
      <c r="D725" s="5"/>
      <c r="E725" s="5"/>
      <c r="F725" s="6"/>
      <c r="G725" s="7"/>
      <c r="H725" s="7"/>
      <c r="I725" s="7"/>
      <c r="J725" s="8"/>
      <c r="K725" s="9"/>
      <c r="L725" s="5"/>
      <c r="M725" s="9"/>
      <c r="N725" s="21"/>
      <c r="O725" s="20"/>
      <c r="P725" s="21"/>
      <c r="Q725" s="21"/>
      <c r="R725" s="21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12.75" customHeight="1" x14ac:dyDescent="0.25">
      <c r="A726" s="3"/>
      <c r="B726" s="19"/>
      <c r="C726" s="5"/>
      <c r="D726" s="5"/>
      <c r="E726" s="5"/>
      <c r="F726" s="6"/>
      <c r="G726" s="7"/>
      <c r="H726" s="7"/>
      <c r="I726" s="7"/>
      <c r="J726" s="8"/>
      <c r="K726" s="9"/>
      <c r="L726" s="5"/>
      <c r="M726" s="9"/>
      <c r="N726" s="21"/>
      <c r="O726" s="20"/>
      <c r="P726" s="21"/>
      <c r="Q726" s="21"/>
      <c r="R726" s="21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12.75" customHeight="1" x14ac:dyDescent="0.25">
      <c r="A727" s="3"/>
      <c r="B727" s="19"/>
      <c r="C727" s="5"/>
      <c r="D727" s="5"/>
      <c r="E727" s="5"/>
      <c r="F727" s="6"/>
      <c r="G727" s="7"/>
      <c r="H727" s="7"/>
      <c r="I727" s="7"/>
      <c r="J727" s="8"/>
      <c r="K727" s="9"/>
      <c r="L727" s="5"/>
      <c r="M727" s="9"/>
      <c r="N727" s="21"/>
      <c r="O727" s="20"/>
      <c r="P727" s="21"/>
      <c r="Q727" s="21"/>
      <c r="R727" s="21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12.75" customHeight="1" x14ac:dyDescent="0.25">
      <c r="A728" s="3"/>
      <c r="B728" s="19"/>
      <c r="C728" s="5"/>
      <c r="D728" s="5"/>
      <c r="E728" s="5"/>
      <c r="F728" s="6"/>
      <c r="G728" s="7"/>
      <c r="H728" s="7"/>
      <c r="I728" s="7"/>
      <c r="J728" s="8"/>
      <c r="K728" s="9"/>
      <c r="L728" s="5"/>
      <c r="M728" s="9"/>
      <c r="N728" s="21"/>
      <c r="O728" s="20"/>
      <c r="P728" s="21"/>
      <c r="Q728" s="21"/>
      <c r="R728" s="21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2.75" customHeight="1" x14ac:dyDescent="0.25">
      <c r="A729" s="3"/>
      <c r="B729" s="19"/>
      <c r="C729" s="5"/>
      <c r="D729" s="5"/>
      <c r="E729" s="5"/>
      <c r="F729" s="6"/>
      <c r="G729" s="7"/>
      <c r="H729" s="7"/>
      <c r="I729" s="7"/>
      <c r="J729" s="8"/>
      <c r="K729" s="9"/>
      <c r="L729" s="5"/>
      <c r="M729" s="9"/>
      <c r="N729" s="21"/>
      <c r="O729" s="20"/>
      <c r="P729" s="21"/>
      <c r="Q729" s="21"/>
      <c r="R729" s="21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2.75" customHeight="1" x14ac:dyDescent="0.25">
      <c r="A730" s="3"/>
      <c r="B730" s="19"/>
      <c r="C730" s="5"/>
      <c r="D730" s="5"/>
      <c r="E730" s="5"/>
      <c r="F730" s="6"/>
      <c r="G730" s="7"/>
      <c r="H730" s="7"/>
      <c r="I730" s="7"/>
      <c r="J730" s="8"/>
      <c r="K730" s="9"/>
      <c r="L730" s="5"/>
      <c r="M730" s="9"/>
      <c r="N730" s="21"/>
      <c r="O730" s="20"/>
      <c r="P730" s="21"/>
      <c r="Q730" s="21"/>
      <c r="R730" s="21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2.75" customHeight="1" x14ac:dyDescent="0.25">
      <c r="A731" s="3"/>
      <c r="B731" s="19"/>
      <c r="C731" s="5"/>
      <c r="D731" s="5"/>
      <c r="E731" s="5"/>
      <c r="F731" s="6"/>
      <c r="G731" s="7"/>
      <c r="H731" s="7"/>
      <c r="I731" s="7"/>
      <c r="J731" s="8"/>
      <c r="K731" s="9"/>
      <c r="L731" s="5"/>
      <c r="M731" s="9"/>
      <c r="N731" s="21"/>
      <c r="O731" s="20"/>
      <c r="P731" s="21"/>
      <c r="Q731" s="21"/>
      <c r="R731" s="21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2.75" customHeight="1" x14ac:dyDescent="0.25">
      <c r="A732" s="3"/>
      <c r="B732" s="19"/>
      <c r="C732" s="5"/>
      <c r="D732" s="5"/>
      <c r="E732" s="5"/>
      <c r="F732" s="6"/>
      <c r="G732" s="7"/>
      <c r="H732" s="7"/>
      <c r="I732" s="7"/>
      <c r="J732" s="8"/>
      <c r="K732" s="9"/>
      <c r="L732" s="5"/>
      <c r="M732" s="9"/>
      <c r="N732" s="21"/>
      <c r="O732" s="20"/>
      <c r="P732" s="21"/>
      <c r="Q732" s="21"/>
      <c r="R732" s="21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2.75" customHeight="1" x14ac:dyDescent="0.25">
      <c r="A733" s="3"/>
      <c r="B733" s="19"/>
      <c r="C733" s="5"/>
      <c r="D733" s="5"/>
      <c r="E733" s="5"/>
      <c r="F733" s="6"/>
      <c r="G733" s="7"/>
      <c r="H733" s="7"/>
      <c r="I733" s="7"/>
      <c r="J733" s="8"/>
      <c r="K733" s="9"/>
      <c r="L733" s="5"/>
      <c r="M733" s="9"/>
      <c r="N733" s="21"/>
      <c r="O733" s="20"/>
      <c r="P733" s="21"/>
      <c r="Q733" s="21"/>
      <c r="R733" s="21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2.75" customHeight="1" x14ac:dyDescent="0.25">
      <c r="A734" s="3"/>
      <c r="B734" s="19"/>
      <c r="C734" s="5"/>
      <c r="D734" s="5"/>
      <c r="E734" s="5"/>
      <c r="F734" s="6"/>
      <c r="G734" s="7"/>
      <c r="H734" s="7"/>
      <c r="I734" s="7"/>
      <c r="J734" s="8"/>
      <c r="K734" s="9"/>
      <c r="L734" s="5"/>
      <c r="M734" s="9"/>
      <c r="N734" s="21"/>
      <c r="O734" s="20"/>
      <c r="P734" s="21"/>
      <c r="Q734" s="21"/>
      <c r="R734" s="21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2.75" customHeight="1" x14ac:dyDescent="0.25">
      <c r="A735" s="3"/>
      <c r="B735" s="19"/>
      <c r="C735" s="5"/>
      <c r="D735" s="5"/>
      <c r="E735" s="5"/>
      <c r="F735" s="6"/>
      <c r="G735" s="7"/>
      <c r="H735" s="7"/>
      <c r="I735" s="7"/>
      <c r="J735" s="8"/>
      <c r="K735" s="9"/>
      <c r="L735" s="5"/>
      <c r="M735" s="9"/>
      <c r="N735" s="21"/>
      <c r="O735" s="20"/>
      <c r="P735" s="21"/>
      <c r="Q735" s="21"/>
      <c r="R735" s="21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2.75" customHeight="1" x14ac:dyDescent="0.25">
      <c r="A736" s="3"/>
      <c r="B736" s="19"/>
      <c r="C736" s="5"/>
      <c r="D736" s="5"/>
      <c r="E736" s="5"/>
      <c r="F736" s="6"/>
      <c r="G736" s="7"/>
      <c r="H736" s="7"/>
      <c r="I736" s="7"/>
      <c r="J736" s="8"/>
      <c r="K736" s="9"/>
      <c r="L736" s="5"/>
      <c r="M736" s="9"/>
      <c r="N736" s="21"/>
      <c r="O736" s="20"/>
      <c r="P736" s="21"/>
      <c r="Q736" s="21"/>
      <c r="R736" s="21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2.75" customHeight="1" x14ac:dyDescent="0.25">
      <c r="A737" s="3"/>
      <c r="B737" s="19"/>
      <c r="C737" s="5"/>
      <c r="D737" s="5"/>
      <c r="E737" s="5"/>
      <c r="F737" s="6"/>
      <c r="G737" s="7"/>
      <c r="H737" s="7"/>
      <c r="I737" s="7"/>
      <c r="J737" s="8"/>
      <c r="K737" s="9"/>
      <c r="L737" s="5"/>
      <c r="M737" s="9"/>
      <c r="N737" s="21"/>
      <c r="O737" s="20"/>
      <c r="P737" s="21"/>
      <c r="Q737" s="21"/>
      <c r="R737" s="21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2.75" customHeight="1" x14ac:dyDescent="0.25">
      <c r="A738" s="3"/>
      <c r="B738" s="19"/>
      <c r="C738" s="5"/>
      <c r="D738" s="5"/>
      <c r="E738" s="5"/>
      <c r="F738" s="6"/>
      <c r="G738" s="7"/>
      <c r="H738" s="7"/>
      <c r="I738" s="7"/>
      <c r="J738" s="8"/>
      <c r="K738" s="9"/>
      <c r="L738" s="5"/>
      <c r="M738" s="9"/>
      <c r="N738" s="21"/>
      <c r="O738" s="20"/>
      <c r="P738" s="21"/>
      <c r="Q738" s="21"/>
      <c r="R738" s="21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2.75" customHeight="1" x14ac:dyDescent="0.25">
      <c r="A739" s="3"/>
      <c r="B739" s="19"/>
      <c r="C739" s="5"/>
      <c r="D739" s="5"/>
      <c r="E739" s="5"/>
      <c r="F739" s="6"/>
      <c r="G739" s="7"/>
      <c r="H739" s="7"/>
      <c r="I739" s="7"/>
      <c r="J739" s="8"/>
      <c r="K739" s="9"/>
      <c r="L739" s="5"/>
      <c r="M739" s="9"/>
      <c r="N739" s="21"/>
      <c r="O739" s="20"/>
      <c r="P739" s="21"/>
      <c r="Q739" s="21"/>
      <c r="R739" s="21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2.75" customHeight="1" x14ac:dyDescent="0.25">
      <c r="A740" s="3"/>
      <c r="B740" s="19"/>
      <c r="C740" s="5"/>
      <c r="D740" s="5"/>
      <c r="E740" s="5"/>
      <c r="F740" s="6"/>
      <c r="G740" s="7"/>
      <c r="H740" s="7"/>
      <c r="I740" s="7"/>
      <c r="J740" s="8"/>
      <c r="K740" s="9"/>
      <c r="L740" s="5"/>
      <c r="M740" s="9"/>
      <c r="N740" s="21"/>
      <c r="O740" s="20"/>
      <c r="P740" s="21"/>
      <c r="Q740" s="21"/>
      <c r="R740" s="21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2.75" customHeight="1" x14ac:dyDescent="0.25">
      <c r="A741" s="3"/>
      <c r="B741" s="19"/>
      <c r="C741" s="5"/>
      <c r="D741" s="5"/>
      <c r="E741" s="5"/>
      <c r="F741" s="6"/>
      <c r="G741" s="7"/>
      <c r="H741" s="7"/>
      <c r="I741" s="7"/>
      <c r="J741" s="8"/>
      <c r="K741" s="9"/>
      <c r="L741" s="5"/>
      <c r="M741" s="9"/>
      <c r="N741" s="21"/>
      <c r="O741" s="20"/>
      <c r="P741" s="21"/>
      <c r="Q741" s="21"/>
      <c r="R741" s="21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2.75" customHeight="1" x14ac:dyDescent="0.25">
      <c r="A742" s="3"/>
      <c r="B742" s="19"/>
      <c r="C742" s="5"/>
      <c r="D742" s="5"/>
      <c r="E742" s="5"/>
      <c r="F742" s="6"/>
      <c r="G742" s="7"/>
      <c r="H742" s="7"/>
      <c r="I742" s="7"/>
      <c r="J742" s="8"/>
      <c r="K742" s="9"/>
      <c r="L742" s="5"/>
      <c r="M742" s="9"/>
      <c r="N742" s="21"/>
      <c r="O742" s="20"/>
      <c r="P742" s="21"/>
      <c r="Q742" s="21"/>
      <c r="R742" s="21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2.75" customHeight="1" x14ac:dyDescent="0.25">
      <c r="A743" s="3"/>
      <c r="B743" s="19"/>
      <c r="C743" s="5"/>
      <c r="D743" s="5"/>
      <c r="E743" s="5"/>
      <c r="F743" s="6"/>
      <c r="G743" s="7"/>
      <c r="H743" s="7"/>
      <c r="I743" s="7"/>
      <c r="J743" s="8"/>
      <c r="K743" s="9"/>
      <c r="L743" s="5"/>
      <c r="M743" s="9"/>
      <c r="N743" s="21"/>
      <c r="O743" s="20"/>
      <c r="P743" s="21"/>
      <c r="Q743" s="21"/>
      <c r="R743" s="21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2.75" customHeight="1" x14ac:dyDescent="0.25">
      <c r="A744" s="3"/>
      <c r="B744" s="19"/>
      <c r="C744" s="5"/>
      <c r="D744" s="5"/>
      <c r="E744" s="5"/>
      <c r="F744" s="6"/>
      <c r="G744" s="7"/>
      <c r="H744" s="7"/>
      <c r="I744" s="7"/>
      <c r="J744" s="8"/>
      <c r="K744" s="9"/>
      <c r="L744" s="5"/>
      <c r="M744" s="9"/>
      <c r="N744" s="21"/>
      <c r="O744" s="20"/>
      <c r="P744" s="21"/>
      <c r="Q744" s="21"/>
      <c r="R744" s="21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2.75" customHeight="1" x14ac:dyDescent="0.25">
      <c r="A745" s="3"/>
      <c r="B745" s="19"/>
      <c r="C745" s="5"/>
      <c r="D745" s="5"/>
      <c r="E745" s="5"/>
      <c r="F745" s="6"/>
      <c r="G745" s="7"/>
      <c r="H745" s="7"/>
      <c r="I745" s="7"/>
      <c r="J745" s="8"/>
      <c r="K745" s="9"/>
      <c r="L745" s="5"/>
      <c r="M745" s="9"/>
      <c r="N745" s="21"/>
      <c r="O745" s="20"/>
      <c r="P745" s="21"/>
      <c r="Q745" s="21"/>
      <c r="R745" s="21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2.75" customHeight="1" x14ac:dyDescent="0.25">
      <c r="A746" s="3"/>
      <c r="B746" s="19"/>
      <c r="C746" s="5"/>
      <c r="D746" s="5"/>
      <c r="E746" s="5"/>
      <c r="F746" s="6"/>
      <c r="G746" s="7"/>
      <c r="H746" s="7"/>
      <c r="I746" s="7"/>
      <c r="J746" s="8"/>
      <c r="K746" s="9"/>
      <c r="L746" s="5"/>
      <c r="M746" s="9"/>
      <c r="N746" s="21"/>
      <c r="O746" s="20"/>
      <c r="P746" s="21"/>
      <c r="Q746" s="21"/>
      <c r="R746" s="21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2.75" customHeight="1" x14ac:dyDescent="0.25">
      <c r="A747" s="3"/>
      <c r="B747" s="19"/>
      <c r="C747" s="5"/>
      <c r="D747" s="5"/>
      <c r="E747" s="5"/>
      <c r="F747" s="6"/>
      <c r="G747" s="7"/>
      <c r="H747" s="7"/>
      <c r="I747" s="7"/>
      <c r="J747" s="8"/>
      <c r="K747" s="9"/>
      <c r="L747" s="5"/>
      <c r="M747" s="9"/>
      <c r="N747" s="21"/>
      <c r="O747" s="20"/>
      <c r="P747" s="21"/>
      <c r="Q747" s="21"/>
      <c r="R747" s="21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2.75" customHeight="1" x14ac:dyDescent="0.25">
      <c r="A748" s="3"/>
      <c r="B748" s="19"/>
      <c r="C748" s="5"/>
      <c r="D748" s="5"/>
      <c r="E748" s="5"/>
      <c r="F748" s="6"/>
      <c r="G748" s="7"/>
      <c r="H748" s="7"/>
      <c r="I748" s="7"/>
      <c r="J748" s="8"/>
      <c r="K748" s="9"/>
      <c r="L748" s="5"/>
      <c r="M748" s="9"/>
      <c r="N748" s="21"/>
      <c r="O748" s="20"/>
      <c r="P748" s="21"/>
      <c r="Q748" s="21"/>
      <c r="R748" s="21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2.75" customHeight="1" x14ac:dyDescent="0.25">
      <c r="A749" s="3"/>
      <c r="B749" s="19"/>
      <c r="C749" s="5"/>
      <c r="D749" s="5"/>
      <c r="E749" s="5"/>
      <c r="F749" s="6"/>
      <c r="G749" s="7"/>
      <c r="H749" s="7"/>
      <c r="I749" s="7"/>
      <c r="J749" s="8"/>
      <c r="K749" s="9"/>
      <c r="L749" s="5"/>
      <c r="M749" s="9"/>
      <c r="N749" s="21"/>
      <c r="O749" s="20"/>
      <c r="P749" s="21"/>
      <c r="Q749" s="21"/>
      <c r="R749" s="21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2.75" customHeight="1" x14ac:dyDescent="0.25">
      <c r="A750" s="3"/>
      <c r="B750" s="19"/>
      <c r="C750" s="5"/>
      <c r="D750" s="5"/>
      <c r="E750" s="5"/>
      <c r="F750" s="6"/>
      <c r="G750" s="7"/>
      <c r="H750" s="7"/>
      <c r="I750" s="7"/>
      <c r="J750" s="8"/>
      <c r="K750" s="9"/>
      <c r="L750" s="5"/>
      <c r="M750" s="9"/>
      <c r="N750" s="21"/>
      <c r="O750" s="20"/>
      <c r="P750" s="21"/>
      <c r="Q750" s="21"/>
      <c r="R750" s="21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2.75" customHeight="1" x14ac:dyDescent="0.25">
      <c r="A751" s="3"/>
      <c r="B751" s="19"/>
      <c r="C751" s="5"/>
      <c r="D751" s="5"/>
      <c r="E751" s="5"/>
      <c r="F751" s="6"/>
      <c r="G751" s="7"/>
      <c r="H751" s="7"/>
      <c r="I751" s="7"/>
      <c r="J751" s="8"/>
      <c r="K751" s="9"/>
      <c r="L751" s="5"/>
      <c r="M751" s="9"/>
      <c r="N751" s="21"/>
      <c r="O751" s="20"/>
      <c r="P751" s="21"/>
      <c r="Q751" s="21"/>
      <c r="R751" s="21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2.75" customHeight="1" x14ac:dyDescent="0.25">
      <c r="A752" s="3"/>
      <c r="B752" s="19"/>
      <c r="C752" s="5"/>
      <c r="D752" s="5"/>
      <c r="E752" s="5"/>
      <c r="F752" s="6"/>
      <c r="G752" s="7"/>
      <c r="H752" s="7"/>
      <c r="I752" s="7"/>
      <c r="J752" s="8"/>
      <c r="K752" s="9"/>
      <c r="L752" s="5"/>
      <c r="M752" s="9"/>
      <c r="N752" s="21"/>
      <c r="O752" s="20"/>
      <c r="P752" s="21"/>
      <c r="Q752" s="21"/>
      <c r="R752" s="21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2.75" customHeight="1" x14ac:dyDescent="0.25">
      <c r="A753" s="3"/>
      <c r="B753" s="19"/>
      <c r="C753" s="5"/>
      <c r="D753" s="5"/>
      <c r="E753" s="5"/>
      <c r="F753" s="6"/>
      <c r="G753" s="7"/>
      <c r="H753" s="7"/>
      <c r="I753" s="7"/>
      <c r="J753" s="8"/>
      <c r="K753" s="9"/>
      <c r="L753" s="5"/>
      <c r="M753" s="9"/>
      <c r="N753" s="21"/>
      <c r="O753" s="20"/>
      <c r="P753" s="21"/>
      <c r="Q753" s="21"/>
      <c r="R753" s="21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2.75" customHeight="1" x14ac:dyDescent="0.25">
      <c r="A754" s="3"/>
      <c r="B754" s="19"/>
      <c r="C754" s="5"/>
      <c r="D754" s="5"/>
      <c r="E754" s="5"/>
      <c r="F754" s="6"/>
      <c r="G754" s="7"/>
      <c r="H754" s="7"/>
      <c r="I754" s="7"/>
      <c r="J754" s="8"/>
      <c r="K754" s="9"/>
      <c r="L754" s="5"/>
      <c r="M754" s="9"/>
      <c r="N754" s="21"/>
      <c r="O754" s="20"/>
      <c r="P754" s="21"/>
      <c r="Q754" s="21"/>
      <c r="R754" s="21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2.75" customHeight="1" x14ac:dyDescent="0.25">
      <c r="A755" s="3"/>
      <c r="B755" s="19"/>
      <c r="C755" s="5"/>
      <c r="D755" s="5"/>
      <c r="E755" s="5"/>
      <c r="F755" s="6"/>
      <c r="G755" s="7"/>
      <c r="H755" s="7"/>
      <c r="I755" s="7"/>
      <c r="J755" s="8"/>
      <c r="K755" s="9"/>
      <c r="L755" s="5"/>
      <c r="M755" s="9"/>
      <c r="N755" s="21"/>
      <c r="O755" s="20"/>
      <c r="P755" s="21"/>
      <c r="Q755" s="21"/>
      <c r="R755" s="21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2.75" customHeight="1" x14ac:dyDescent="0.25">
      <c r="A756" s="3"/>
      <c r="B756" s="19"/>
      <c r="C756" s="5"/>
      <c r="D756" s="5"/>
      <c r="E756" s="5"/>
      <c r="F756" s="6"/>
      <c r="G756" s="7"/>
      <c r="H756" s="7"/>
      <c r="I756" s="7"/>
      <c r="J756" s="8"/>
      <c r="K756" s="9"/>
      <c r="L756" s="5"/>
      <c r="M756" s="9"/>
      <c r="N756" s="21"/>
      <c r="O756" s="20"/>
      <c r="P756" s="21"/>
      <c r="Q756" s="21"/>
      <c r="R756" s="21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12.75" customHeight="1" x14ac:dyDescent="0.25">
      <c r="A757" s="3"/>
      <c r="B757" s="19"/>
      <c r="C757" s="5"/>
      <c r="D757" s="5"/>
      <c r="E757" s="5"/>
      <c r="F757" s="6"/>
      <c r="G757" s="7"/>
      <c r="H757" s="7"/>
      <c r="I757" s="7"/>
      <c r="J757" s="8"/>
      <c r="K757" s="9"/>
      <c r="L757" s="5"/>
      <c r="M757" s="9"/>
      <c r="N757" s="21"/>
      <c r="O757" s="20"/>
      <c r="P757" s="21"/>
      <c r="Q757" s="21"/>
      <c r="R757" s="21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12.75" customHeight="1" x14ac:dyDescent="0.25">
      <c r="A758" s="3"/>
      <c r="B758" s="19"/>
      <c r="C758" s="5"/>
      <c r="D758" s="5"/>
      <c r="E758" s="5"/>
      <c r="F758" s="6"/>
      <c r="G758" s="7"/>
      <c r="H758" s="7"/>
      <c r="I758" s="7"/>
      <c r="J758" s="8"/>
      <c r="K758" s="9"/>
      <c r="L758" s="5"/>
      <c r="M758" s="9"/>
      <c r="N758" s="21"/>
      <c r="O758" s="20"/>
      <c r="P758" s="21"/>
      <c r="Q758" s="21"/>
      <c r="R758" s="21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12.75" customHeight="1" x14ac:dyDescent="0.25">
      <c r="A759" s="3"/>
      <c r="B759" s="19"/>
      <c r="C759" s="5"/>
      <c r="D759" s="5"/>
      <c r="E759" s="5"/>
      <c r="F759" s="6"/>
      <c r="G759" s="7"/>
      <c r="H759" s="7"/>
      <c r="I759" s="7"/>
      <c r="J759" s="8"/>
      <c r="K759" s="9"/>
      <c r="L759" s="5"/>
      <c r="M759" s="9"/>
      <c r="N759" s="21"/>
      <c r="O759" s="20"/>
      <c r="P759" s="21"/>
      <c r="Q759" s="21"/>
      <c r="R759" s="21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2.75" customHeight="1" x14ac:dyDescent="0.25">
      <c r="A760" s="3"/>
      <c r="B760" s="19"/>
      <c r="C760" s="5"/>
      <c r="D760" s="5"/>
      <c r="E760" s="5"/>
      <c r="F760" s="6"/>
      <c r="G760" s="7"/>
      <c r="H760" s="7"/>
      <c r="I760" s="7"/>
      <c r="J760" s="8"/>
      <c r="K760" s="9"/>
      <c r="L760" s="5"/>
      <c r="M760" s="9"/>
      <c r="N760" s="21"/>
      <c r="O760" s="20"/>
      <c r="P760" s="21"/>
      <c r="Q760" s="21"/>
      <c r="R760" s="21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2.75" customHeight="1" x14ac:dyDescent="0.25">
      <c r="A761" s="3"/>
      <c r="B761" s="19"/>
      <c r="C761" s="5"/>
      <c r="D761" s="5"/>
      <c r="E761" s="5"/>
      <c r="F761" s="6"/>
      <c r="G761" s="7"/>
      <c r="H761" s="7"/>
      <c r="I761" s="7"/>
      <c r="J761" s="8"/>
      <c r="K761" s="9"/>
      <c r="L761" s="5"/>
      <c r="M761" s="9"/>
      <c r="N761" s="21"/>
      <c r="O761" s="20"/>
      <c r="P761" s="21"/>
      <c r="Q761" s="21"/>
      <c r="R761" s="21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2.75" customHeight="1" x14ac:dyDescent="0.25">
      <c r="A762" s="3"/>
      <c r="B762" s="19"/>
      <c r="C762" s="5"/>
      <c r="D762" s="5"/>
      <c r="E762" s="5"/>
      <c r="F762" s="6"/>
      <c r="G762" s="7"/>
      <c r="H762" s="7"/>
      <c r="I762" s="7"/>
      <c r="J762" s="8"/>
      <c r="K762" s="9"/>
      <c r="L762" s="5"/>
      <c r="M762" s="9"/>
      <c r="N762" s="21"/>
      <c r="O762" s="20"/>
      <c r="P762" s="21"/>
      <c r="Q762" s="21"/>
      <c r="R762" s="21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2.75" customHeight="1" x14ac:dyDescent="0.25">
      <c r="A763" s="3"/>
      <c r="B763" s="19"/>
      <c r="C763" s="5"/>
      <c r="D763" s="5"/>
      <c r="E763" s="5"/>
      <c r="F763" s="6"/>
      <c r="G763" s="7"/>
      <c r="H763" s="7"/>
      <c r="I763" s="7"/>
      <c r="J763" s="8"/>
      <c r="K763" s="9"/>
      <c r="L763" s="5"/>
      <c r="M763" s="9"/>
      <c r="N763" s="21"/>
      <c r="O763" s="20"/>
      <c r="P763" s="21"/>
      <c r="Q763" s="21"/>
      <c r="R763" s="21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2.75" customHeight="1" x14ac:dyDescent="0.25">
      <c r="A764" s="3"/>
      <c r="B764" s="19"/>
      <c r="C764" s="5"/>
      <c r="D764" s="5"/>
      <c r="E764" s="5"/>
      <c r="F764" s="6"/>
      <c r="G764" s="7"/>
      <c r="H764" s="7"/>
      <c r="I764" s="7"/>
      <c r="J764" s="8"/>
      <c r="K764" s="9"/>
      <c r="L764" s="5"/>
      <c r="M764" s="9"/>
      <c r="N764" s="21"/>
      <c r="O764" s="20"/>
      <c r="P764" s="21"/>
      <c r="Q764" s="21"/>
      <c r="R764" s="21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2.75" customHeight="1" x14ac:dyDescent="0.25">
      <c r="A765" s="3"/>
      <c r="B765" s="19"/>
      <c r="C765" s="5"/>
      <c r="D765" s="5"/>
      <c r="E765" s="5"/>
      <c r="F765" s="6"/>
      <c r="G765" s="7"/>
      <c r="H765" s="7"/>
      <c r="I765" s="7"/>
      <c r="J765" s="8"/>
      <c r="K765" s="9"/>
      <c r="L765" s="5"/>
      <c r="M765" s="9"/>
      <c r="N765" s="21"/>
      <c r="O765" s="20"/>
      <c r="P765" s="21"/>
      <c r="Q765" s="21"/>
      <c r="R765" s="21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2.75" customHeight="1" x14ac:dyDescent="0.25">
      <c r="A766" s="3"/>
      <c r="B766" s="19"/>
      <c r="C766" s="5"/>
      <c r="D766" s="5"/>
      <c r="E766" s="5"/>
      <c r="F766" s="6"/>
      <c r="G766" s="7"/>
      <c r="H766" s="7"/>
      <c r="I766" s="7"/>
      <c r="J766" s="8"/>
      <c r="K766" s="9"/>
      <c r="L766" s="5"/>
      <c r="M766" s="9"/>
      <c r="N766" s="21"/>
      <c r="O766" s="20"/>
      <c r="P766" s="21"/>
      <c r="Q766" s="21"/>
      <c r="R766" s="21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2.75" customHeight="1" x14ac:dyDescent="0.25">
      <c r="A767" s="3"/>
      <c r="B767" s="19"/>
      <c r="C767" s="5"/>
      <c r="D767" s="5"/>
      <c r="E767" s="5"/>
      <c r="F767" s="6"/>
      <c r="G767" s="7"/>
      <c r="H767" s="7"/>
      <c r="I767" s="7"/>
      <c r="J767" s="8"/>
      <c r="K767" s="9"/>
      <c r="L767" s="5"/>
      <c r="M767" s="9"/>
      <c r="N767" s="21"/>
      <c r="O767" s="20"/>
      <c r="P767" s="21"/>
      <c r="Q767" s="21"/>
      <c r="R767" s="21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2.75" customHeight="1" x14ac:dyDescent="0.25">
      <c r="A768" s="3"/>
      <c r="B768" s="19"/>
      <c r="C768" s="5"/>
      <c r="D768" s="5"/>
      <c r="E768" s="5"/>
      <c r="F768" s="6"/>
      <c r="G768" s="7"/>
      <c r="H768" s="7"/>
      <c r="I768" s="7"/>
      <c r="J768" s="8"/>
      <c r="K768" s="9"/>
      <c r="L768" s="5"/>
      <c r="M768" s="9"/>
      <c r="N768" s="21"/>
      <c r="O768" s="20"/>
      <c r="P768" s="21"/>
      <c r="Q768" s="21"/>
      <c r="R768" s="21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2.75" customHeight="1" x14ac:dyDescent="0.25">
      <c r="A769" s="3"/>
      <c r="B769" s="19"/>
      <c r="C769" s="5"/>
      <c r="D769" s="5"/>
      <c r="E769" s="5"/>
      <c r="F769" s="6"/>
      <c r="G769" s="7"/>
      <c r="H769" s="7"/>
      <c r="I769" s="7"/>
      <c r="J769" s="8"/>
      <c r="K769" s="9"/>
      <c r="L769" s="5"/>
      <c r="M769" s="9"/>
      <c r="N769" s="21"/>
      <c r="O769" s="20"/>
      <c r="P769" s="21"/>
      <c r="Q769" s="21"/>
      <c r="R769" s="21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2.75" customHeight="1" x14ac:dyDescent="0.25">
      <c r="A770" s="3"/>
      <c r="B770" s="19"/>
      <c r="C770" s="5"/>
      <c r="D770" s="5"/>
      <c r="E770" s="5"/>
      <c r="F770" s="6"/>
      <c r="G770" s="7"/>
      <c r="H770" s="7"/>
      <c r="I770" s="7"/>
      <c r="J770" s="8"/>
      <c r="K770" s="9"/>
      <c r="L770" s="5"/>
      <c r="M770" s="9"/>
      <c r="N770" s="21"/>
      <c r="O770" s="20"/>
      <c r="P770" s="21"/>
      <c r="Q770" s="21"/>
      <c r="R770" s="21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2.75" customHeight="1" x14ac:dyDescent="0.25">
      <c r="A771" s="3"/>
      <c r="B771" s="19"/>
      <c r="C771" s="5"/>
      <c r="D771" s="5"/>
      <c r="E771" s="5"/>
      <c r="F771" s="6"/>
      <c r="G771" s="7"/>
      <c r="H771" s="7"/>
      <c r="I771" s="7"/>
      <c r="J771" s="8"/>
      <c r="K771" s="9"/>
      <c r="L771" s="5"/>
      <c r="M771" s="9"/>
      <c r="N771" s="21"/>
      <c r="O771" s="20"/>
      <c r="P771" s="21"/>
      <c r="Q771" s="21"/>
      <c r="R771" s="21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2.75" customHeight="1" x14ac:dyDescent="0.25">
      <c r="A772" s="3"/>
      <c r="B772" s="19"/>
      <c r="C772" s="5"/>
      <c r="D772" s="5"/>
      <c r="E772" s="5"/>
      <c r="F772" s="6"/>
      <c r="G772" s="7"/>
      <c r="H772" s="7"/>
      <c r="I772" s="7"/>
      <c r="J772" s="8"/>
      <c r="K772" s="9"/>
      <c r="L772" s="5"/>
      <c r="M772" s="9"/>
      <c r="N772" s="21"/>
      <c r="O772" s="20"/>
      <c r="P772" s="21"/>
      <c r="Q772" s="21"/>
      <c r="R772" s="21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2.75" customHeight="1" x14ac:dyDescent="0.25">
      <c r="A773" s="3"/>
      <c r="B773" s="19"/>
      <c r="C773" s="5"/>
      <c r="D773" s="5"/>
      <c r="E773" s="5"/>
      <c r="F773" s="6"/>
      <c r="G773" s="7"/>
      <c r="H773" s="7"/>
      <c r="I773" s="7"/>
      <c r="J773" s="8"/>
      <c r="K773" s="9"/>
      <c r="L773" s="5"/>
      <c r="M773" s="9"/>
      <c r="N773" s="21"/>
      <c r="O773" s="20"/>
      <c r="P773" s="21"/>
      <c r="Q773" s="21"/>
      <c r="R773" s="21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2.75" customHeight="1" x14ac:dyDescent="0.25">
      <c r="A774" s="3"/>
      <c r="B774" s="19"/>
      <c r="C774" s="5"/>
      <c r="D774" s="5"/>
      <c r="E774" s="5"/>
      <c r="F774" s="6"/>
      <c r="G774" s="7"/>
      <c r="H774" s="7"/>
      <c r="I774" s="7"/>
      <c r="J774" s="8"/>
      <c r="K774" s="9"/>
      <c r="L774" s="5"/>
      <c r="M774" s="9"/>
      <c r="N774" s="21"/>
      <c r="O774" s="20"/>
      <c r="P774" s="21"/>
      <c r="Q774" s="21"/>
      <c r="R774" s="21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2.75" customHeight="1" x14ac:dyDescent="0.25">
      <c r="A775" s="3"/>
      <c r="B775" s="19"/>
      <c r="C775" s="5"/>
      <c r="D775" s="5"/>
      <c r="E775" s="5"/>
      <c r="F775" s="6"/>
      <c r="G775" s="7"/>
      <c r="H775" s="7"/>
      <c r="I775" s="7"/>
      <c r="J775" s="8"/>
      <c r="K775" s="9"/>
      <c r="L775" s="5"/>
      <c r="M775" s="9"/>
      <c r="N775" s="21"/>
      <c r="O775" s="20"/>
      <c r="P775" s="21"/>
      <c r="Q775" s="21"/>
      <c r="R775" s="21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2.75" customHeight="1" x14ac:dyDescent="0.25">
      <c r="A776" s="3"/>
      <c r="B776" s="19"/>
      <c r="C776" s="5"/>
      <c r="D776" s="5"/>
      <c r="E776" s="5"/>
      <c r="F776" s="6"/>
      <c r="G776" s="7"/>
      <c r="H776" s="7"/>
      <c r="I776" s="7"/>
      <c r="J776" s="8"/>
      <c r="K776" s="9"/>
      <c r="L776" s="5"/>
      <c r="M776" s="9"/>
      <c r="N776" s="21"/>
      <c r="O776" s="20"/>
      <c r="P776" s="21"/>
      <c r="Q776" s="21"/>
      <c r="R776" s="21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2.75" customHeight="1" x14ac:dyDescent="0.25">
      <c r="A777" s="3"/>
      <c r="B777" s="19"/>
      <c r="C777" s="5"/>
      <c r="D777" s="5"/>
      <c r="E777" s="5"/>
      <c r="F777" s="6"/>
      <c r="G777" s="7"/>
      <c r="H777" s="7"/>
      <c r="I777" s="7"/>
      <c r="J777" s="8"/>
      <c r="K777" s="9"/>
      <c r="L777" s="5"/>
      <c r="M777" s="9"/>
      <c r="N777" s="21"/>
      <c r="O777" s="20"/>
      <c r="P777" s="21"/>
      <c r="Q777" s="21"/>
      <c r="R777" s="21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2.75" customHeight="1" x14ac:dyDescent="0.25">
      <c r="A778" s="3"/>
      <c r="B778" s="19"/>
      <c r="C778" s="5"/>
      <c r="D778" s="5"/>
      <c r="E778" s="5"/>
      <c r="F778" s="6"/>
      <c r="G778" s="7"/>
      <c r="H778" s="7"/>
      <c r="I778" s="7"/>
      <c r="J778" s="8"/>
      <c r="K778" s="9"/>
      <c r="L778" s="5"/>
      <c r="M778" s="9"/>
      <c r="N778" s="21"/>
      <c r="O778" s="20"/>
      <c r="P778" s="21"/>
      <c r="Q778" s="21"/>
      <c r="R778" s="21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2.75" customHeight="1" x14ac:dyDescent="0.25">
      <c r="A779" s="3"/>
      <c r="B779" s="19"/>
      <c r="C779" s="5"/>
      <c r="D779" s="5"/>
      <c r="E779" s="5"/>
      <c r="F779" s="6"/>
      <c r="G779" s="7"/>
      <c r="H779" s="7"/>
      <c r="I779" s="7"/>
      <c r="J779" s="8"/>
      <c r="K779" s="9"/>
      <c r="L779" s="5"/>
      <c r="M779" s="9"/>
      <c r="N779" s="21"/>
      <c r="O779" s="20"/>
      <c r="P779" s="21"/>
      <c r="Q779" s="21"/>
      <c r="R779" s="21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2.75" customHeight="1" x14ac:dyDescent="0.25">
      <c r="A780" s="3"/>
      <c r="B780" s="19"/>
      <c r="C780" s="5"/>
      <c r="D780" s="5"/>
      <c r="E780" s="5"/>
      <c r="F780" s="6"/>
      <c r="G780" s="7"/>
      <c r="H780" s="7"/>
      <c r="I780" s="7"/>
      <c r="J780" s="8"/>
      <c r="K780" s="9"/>
      <c r="L780" s="5"/>
      <c r="M780" s="9"/>
      <c r="N780" s="21"/>
      <c r="O780" s="20"/>
      <c r="P780" s="21"/>
      <c r="Q780" s="21"/>
      <c r="R780" s="21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2.75" customHeight="1" x14ac:dyDescent="0.25">
      <c r="A781" s="3"/>
      <c r="B781" s="19"/>
      <c r="C781" s="5"/>
      <c r="D781" s="5"/>
      <c r="E781" s="5"/>
      <c r="F781" s="6"/>
      <c r="G781" s="7"/>
      <c r="H781" s="7"/>
      <c r="I781" s="7"/>
      <c r="J781" s="8"/>
      <c r="K781" s="9"/>
      <c r="L781" s="5"/>
      <c r="M781" s="9"/>
      <c r="N781" s="21"/>
      <c r="O781" s="20"/>
      <c r="P781" s="21"/>
      <c r="Q781" s="21"/>
      <c r="R781" s="21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2.75" customHeight="1" x14ac:dyDescent="0.25">
      <c r="A782" s="3"/>
      <c r="B782" s="19"/>
      <c r="C782" s="5"/>
      <c r="D782" s="5"/>
      <c r="E782" s="5"/>
      <c r="F782" s="6"/>
      <c r="G782" s="7"/>
      <c r="H782" s="7"/>
      <c r="I782" s="7"/>
      <c r="J782" s="8"/>
      <c r="K782" s="9"/>
      <c r="L782" s="5"/>
      <c r="M782" s="9"/>
      <c r="N782" s="21"/>
      <c r="O782" s="20"/>
      <c r="P782" s="21"/>
      <c r="Q782" s="21"/>
      <c r="R782" s="21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2.75" customHeight="1" x14ac:dyDescent="0.25">
      <c r="A783" s="3"/>
      <c r="B783" s="19"/>
      <c r="C783" s="5"/>
      <c r="D783" s="5"/>
      <c r="E783" s="5"/>
      <c r="F783" s="6"/>
      <c r="G783" s="7"/>
      <c r="H783" s="7"/>
      <c r="I783" s="7"/>
      <c r="J783" s="8"/>
      <c r="K783" s="9"/>
      <c r="L783" s="5"/>
      <c r="M783" s="9"/>
      <c r="N783" s="21"/>
      <c r="O783" s="20"/>
      <c r="P783" s="21"/>
      <c r="Q783" s="21"/>
      <c r="R783" s="21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2.75" customHeight="1" x14ac:dyDescent="0.25">
      <c r="A784" s="3"/>
      <c r="B784" s="19"/>
      <c r="C784" s="5"/>
      <c r="D784" s="5"/>
      <c r="E784" s="5"/>
      <c r="F784" s="6"/>
      <c r="G784" s="7"/>
      <c r="H784" s="7"/>
      <c r="I784" s="7"/>
      <c r="J784" s="8"/>
      <c r="K784" s="9"/>
      <c r="L784" s="5"/>
      <c r="M784" s="9"/>
      <c r="N784" s="21"/>
      <c r="O784" s="20"/>
      <c r="P784" s="21"/>
      <c r="Q784" s="21"/>
      <c r="R784" s="21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2.75" customHeight="1" x14ac:dyDescent="0.25">
      <c r="A785" s="3"/>
      <c r="B785" s="19"/>
      <c r="C785" s="5"/>
      <c r="D785" s="5"/>
      <c r="E785" s="5"/>
      <c r="F785" s="6"/>
      <c r="G785" s="7"/>
      <c r="H785" s="7"/>
      <c r="I785" s="7"/>
      <c r="J785" s="8"/>
      <c r="K785" s="9"/>
      <c r="L785" s="5"/>
      <c r="M785" s="9"/>
      <c r="N785" s="21"/>
      <c r="O785" s="20"/>
      <c r="P785" s="21"/>
      <c r="Q785" s="21"/>
      <c r="R785" s="21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2.75" customHeight="1" x14ac:dyDescent="0.25">
      <c r="A786" s="3"/>
      <c r="B786" s="19"/>
      <c r="C786" s="5"/>
      <c r="D786" s="5"/>
      <c r="E786" s="5"/>
      <c r="F786" s="6"/>
      <c r="G786" s="7"/>
      <c r="H786" s="7"/>
      <c r="I786" s="7"/>
      <c r="J786" s="8"/>
      <c r="K786" s="9"/>
      <c r="L786" s="5"/>
      <c r="M786" s="9"/>
      <c r="N786" s="21"/>
      <c r="O786" s="20"/>
      <c r="P786" s="21"/>
      <c r="Q786" s="21"/>
      <c r="R786" s="21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2.75" customHeight="1" x14ac:dyDescent="0.25">
      <c r="A787" s="3"/>
      <c r="B787" s="19"/>
      <c r="C787" s="5"/>
      <c r="D787" s="5"/>
      <c r="E787" s="5"/>
      <c r="F787" s="6"/>
      <c r="G787" s="7"/>
      <c r="H787" s="7"/>
      <c r="I787" s="7"/>
      <c r="J787" s="8"/>
      <c r="K787" s="9"/>
      <c r="L787" s="5"/>
      <c r="M787" s="9"/>
      <c r="N787" s="21"/>
      <c r="O787" s="20"/>
      <c r="P787" s="21"/>
      <c r="Q787" s="21"/>
      <c r="R787" s="21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12.75" customHeight="1" x14ac:dyDescent="0.25">
      <c r="A788" s="3"/>
      <c r="B788" s="19"/>
      <c r="C788" s="5"/>
      <c r="D788" s="5"/>
      <c r="E788" s="5"/>
      <c r="F788" s="6"/>
      <c r="G788" s="7"/>
      <c r="H788" s="7"/>
      <c r="I788" s="7"/>
      <c r="J788" s="8"/>
      <c r="K788" s="9"/>
      <c r="L788" s="5"/>
      <c r="M788" s="9"/>
      <c r="N788" s="21"/>
      <c r="O788" s="20"/>
      <c r="P788" s="21"/>
      <c r="Q788" s="21"/>
      <c r="R788" s="21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12.75" customHeight="1" x14ac:dyDescent="0.25">
      <c r="A789" s="3"/>
      <c r="B789" s="19"/>
      <c r="C789" s="5"/>
      <c r="D789" s="5"/>
      <c r="E789" s="5"/>
      <c r="F789" s="6"/>
      <c r="G789" s="7"/>
      <c r="H789" s="7"/>
      <c r="I789" s="7"/>
      <c r="J789" s="8"/>
      <c r="K789" s="9"/>
      <c r="L789" s="5"/>
      <c r="M789" s="9"/>
      <c r="N789" s="21"/>
      <c r="O789" s="20"/>
      <c r="P789" s="21"/>
      <c r="Q789" s="21"/>
      <c r="R789" s="21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12.75" customHeight="1" x14ac:dyDescent="0.25">
      <c r="A790" s="3"/>
      <c r="B790" s="19"/>
      <c r="C790" s="5"/>
      <c r="D790" s="5"/>
      <c r="E790" s="5"/>
      <c r="F790" s="6"/>
      <c r="G790" s="7"/>
      <c r="H790" s="7"/>
      <c r="I790" s="7"/>
      <c r="J790" s="8"/>
      <c r="K790" s="9"/>
      <c r="L790" s="5"/>
      <c r="M790" s="9"/>
      <c r="N790" s="21"/>
      <c r="O790" s="20"/>
      <c r="P790" s="21"/>
      <c r="Q790" s="21"/>
      <c r="R790" s="21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2.75" customHeight="1" x14ac:dyDescent="0.25">
      <c r="A791" s="3"/>
      <c r="B791" s="19"/>
      <c r="C791" s="5"/>
      <c r="D791" s="5"/>
      <c r="E791" s="5"/>
      <c r="F791" s="6"/>
      <c r="G791" s="7"/>
      <c r="H791" s="7"/>
      <c r="I791" s="7"/>
      <c r="J791" s="8"/>
      <c r="K791" s="9"/>
      <c r="L791" s="5"/>
      <c r="M791" s="9"/>
      <c r="N791" s="21"/>
      <c r="O791" s="20"/>
      <c r="P791" s="21"/>
      <c r="Q791" s="21"/>
      <c r="R791" s="21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2.75" customHeight="1" x14ac:dyDescent="0.25">
      <c r="A792" s="3"/>
      <c r="B792" s="19"/>
      <c r="C792" s="5"/>
      <c r="D792" s="5"/>
      <c r="E792" s="5"/>
      <c r="F792" s="6"/>
      <c r="G792" s="7"/>
      <c r="H792" s="7"/>
      <c r="I792" s="7"/>
      <c r="J792" s="8"/>
      <c r="K792" s="9"/>
      <c r="L792" s="5"/>
      <c r="M792" s="9"/>
      <c r="N792" s="21"/>
      <c r="O792" s="20"/>
      <c r="P792" s="21"/>
      <c r="Q792" s="21"/>
      <c r="R792" s="21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2.75" customHeight="1" x14ac:dyDescent="0.25">
      <c r="A793" s="3"/>
      <c r="B793" s="19"/>
      <c r="C793" s="5"/>
      <c r="D793" s="5"/>
      <c r="E793" s="5"/>
      <c r="F793" s="6"/>
      <c r="G793" s="7"/>
      <c r="H793" s="7"/>
      <c r="I793" s="7"/>
      <c r="J793" s="8"/>
      <c r="K793" s="9"/>
      <c r="L793" s="5"/>
      <c r="M793" s="9"/>
      <c r="N793" s="21"/>
      <c r="O793" s="20"/>
      <c r="P793" s="21"/>
      <c r="Q793" s="21"/>
      <c r="R793" s="21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2.75" customHeight="1" x14ac:dyDescent="0.25">
      <c r="A794" s="3"/>
      <c r="B794" s="19"/>
      <c r="C794" s="5"/>
      <c r="D794" s="5"/>
      <c r="E794" s="5"/>
      <c r="F794" s="6"/>
      <c r="G794" s="7"/>
      <c r="H794" s="7"/>
      <c r="I794" s="7"/>
      <c r="J794" s="8"/>
      <c r="K794" s="9"/>
      <c r="L794" s="5"/>
      <c r="M794" s="9"/>
      <c r="N794" s="21"/>
      <c r="O794" s="20"/>
      <c r="P794" s="21"/>
      <c r="Q794" s="21"/>
      <c r="R794" s="21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2.75" customHeight="1" x14ac:dyDescent="0.25">
      <c r="A795" s="3"/>
      <c r="B795" s="19"/>
      <c r="C795" s="5"/>
      <c r="D795" s="5"/>
      <c r="E795" s="5"/>
      <c r="F795" s="6"/>
      <c r="G795" s="7"/>
      <c r="H795" s="7"/>
      <c r="I795" s="7"/>
      <c r="J795" s="8"/>
      <c r="K795" s="9"/>
      <c r="L795" s="5"/>
      <c r="M795" s="9"/>
      <c r="N795" s="21"/>
      <c r="O795" s="20"/>
      <c r="P795" s="21"/>
      <c r="Q795" s="21"/>
      <c r="R795" s="21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2.75" customHeight="1" x14ac:dyDescent="0.25">
      <c r="A796" s="3"/>
      <c r="B796" s="19"/>
      <c r="C796" s="5"/>
      <c r="D796" s="5"/>
      <c r="E796" s="5"/>
      <c r="F796" s="6"/>
      <c r="G796" s="7"/>
      <c r="H796" s="7"/>
      <c r="I796" s="7"/>
      <c r="J796" s="8"/>
      <c r="K796" s="9"/>
      <c r="L796" s="5"/>
      <c r="M796" s="9"/>
      <c r="N796" s="21"/>
      <c r="O796" s="20"/>
      <c r="P796" s="21"/>
      <c r="Q796" s="21"/>
      <c r="R796" s="21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2.75" customHeight="1" x14ac:dyDescent="0.25">
      <c r="A797" s="3"/>
      <c r="B797" s="19"/>
      <c r="C797" s="5"/>
      <c r="D797" s="5"/>
      <c r="E797" s="5"/>
      <c r="F797" s="6"/>
      <c r="G797" s="7"/>
      <c r="H797" s="7"/>
      <c r="I797" s="7"/>
      <c r="J797" s="8"/>
      <c r="K797" s="9"/>
      <c r="L797" s="5"/>
      <c r="M797" s="9"/>
      <c r="N797" s="21"/>
      <c r="O797" s="20"/>
      <c r="P797" s="21"/>
      <c r="Q797" s="21"/>
      <c r="R797" s="21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2.75" customHeight="1" x14ac:dyDescent="0.25">
      <c r="A798" s="3"/>
      <c r="B798" s="19"/>
      <c r="C798" s="5"/>
      <c r="D798" s="5"/>
      <c r="E798" s="5"/>
      <c r="F798" s="6"/>
      <c r="G798" s="7"/>
      <c r="H798" s="7"/>
      <c r="I798" s="7"/>
      <c r="J798" s="8"/>
      <c r="K798" s="9"/>
      <c r="L798" s="5"/>
      <c r="M798" s="9"/>
      <c r="N798" s="21"/>
      <c r="O798" s="20"/>
      <c r="P798" s="21"/>
      <c r="Q798" s="21"/>
      <c r="R798" s="21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2.75" customHeight="1" x14ac:dyDescent="0.25">
      <c r="A799" s="3"/>
      <c r="B799" s="19"/>
      <c r="C799" s="5"/>
      <c r="D799" s="5"/>
      <c r="E799" s="5"/>
      <c r="F799" s="6"/>
      <c r="G799" s="7"/>
      <c r="H799" s="7"/>
      <c r="I799" s="7"/>
      <c r="J799" s="8"/>
      <c r="K799" s="9"/>
      <c r="L799" s="5"/>
      <c r="M799" s="9"/>
      <c r="N799" s="21"/>
      <c r="O799" s="20"/>
      <c r="P799" s="21"/>
      <c r="Q799" s="21"/>
      <c r="R799" s="21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2.75" customHeight="1" x14ac:dyDescent="0.25">
      <c r="A800" s="3"/>
      <c r="B800" s="19"/>
      <c r="C800" s="5"/>
      <c r="D800" s="5"/>
      <c r="E800" s="5"/>
      <c r="F800" s="6"/>
      <c r="G800" s="7"/>
      <c r="H800" s="7"/>
      <c r="I800" s="7"/>
      <c r="J800" s="8"/>
      <c r="K800" s="9"/>
      <c r="L800" s="5"/>
      <c r="M800" s="9"/>
      <c r="N800" s="21"/>
      <c r="O800" s="20"/>
      <c r="P800" s="21"/>
      <c r="Q800" s="21"/>
      <c r="R800" s="21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2.75" customHeight="1" x14ac:dyDescent="0.25">
      <c r="A801" s="3"/>
      <c r="B801" s="19"/>
      <c r="C801" s="5"/>
      <c r="D801" s="5"/>
      <c r="E801" s="5"/>
      <c r="F801" s="6"/>
      <c r="G801" s="7"/>
      <c r="H801" s="7"/>
      <c r="I801" s="7"/>
      <c r="J801" s="8"/>
      <c r="K801" s="9"/>
      <c r="L801" s="5"/>
      <c r="M801" s="9"/>
      <c r="N801" s="21"/>
      <c r="O801" s="20"/>
      <c r="P801" s="21"/>
      <c r="Q801" s="21"/>
      <c r="R801" s="21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2.75" customHeight="1" x14ac:dyDescent="0.25">
      <c r="A802" s="3"/>
      <c r="B802" s="19"/>
      <c r="C802" s="5"/>
      <c r="D802" s="5"/>
      <c r="E802" s="5"/>
      <c r="F802" s="6"/>
      <c r="G802" s="7"/>
      <c r="H802" s="7"/>
      <c r="I802" s="7"/>
      <c r="J802" s="8"/>
      <c r="K802" s="9"/>
      <c r="L802" s="5"/>
      <c r="M802" s="9"/>
      <c r="N802" s="21"/>
      <c r="O802" s="20"/>
      <c r="P802" s="21"/>
      <c r="Q802" s="21"/>
      <c r="R802" s="21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2.75" customHeight="1" x14ac:dyDescent="0.25">
      <c r="A803" s="3"/>
      <c r="B803" s="19"/>
      <c r="C803" s="5"/>
      <c r="D803" s="5"/>
      <c r="E803" s="5"/>
      <c r="F803" s="6"/>
      <c r="G803" s="7"/>
      <c r="H803" s="7"/>
      <c r="I803" s="7"/>
      <c r="J803" s="8"/>
      <c r="K803" s="9"/>
      <c r="L803" s="5"/>
      <c r="M803" s="9"/>
      <c r="N803" s="21"/>
      <c r="O803" s="20"/>
      <c r="P803" s="21"/>
      <c r="Q803" s="21"/>
      <c r="R803" s="21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2.75" customHeight="1" x14ac:dyDescent="0.25">
      <c r="A804" s="3"/>
      <c r="B804" s="19"/>
      <c r="C804" s="5"/>
      <c r="D804" s="5"/>
      <c r="E804" s="5"/>
      <c r="F804" s="6"/>
      <c r="G804" s="7"/>
      <c r="H804" s="7"/>
      <c r="I804" s="7"/>
      <c r="J804" s="8"/>
      <c r="K804" s="9"/>
      <c r="L804" s="5"/>
      <c r="M804" s="9"/>
      <c r="N804" s="21"/>
      <c r="O804" s="20"/>
      <c r="P804" s="21"/>
      <c r="Q804" s="21"/>
      <c r="R804" s="21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2.75" customHeight="1" x14ac:dyDescent="0.25">
      <c r="A805" s="3"/>
      <c r="B805" s="19"/>
      <c r="C805" s="5"/>
      <c r="D805" s="5"/>
      <c r="E805" s="5"/>
      <c r="F805" s="6"/>
      <c r="G805" s="7"/>
      <c r="H805" s="7"/>
      <c r="I805" s="7"/>
      <c r="J805" s="8"/>
      <c r="K805" s="9"/>
      <c r="L805" s="5"/>
      <c r="M805" s="9"/>
      <c r="N805" s="21"/>
      <c r="O805" s="20"/>
      <c r="P805" s="21"/>
      <c r="Q805" s="21"/>
      <c r="R805" s="21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2.75" customHeight="1" x14ac:dyDescent="0.25">
      <c r="A806" s="3"/>
      <c r="B806" s="19"/>
      <c r="C806" s="5"/>
      <c r="D806" s="5"/>
      <c r="E806" s="5"/>
      <c r="F806" s="6"/>
      <c r="G806" s="7"/>
      <c r="H806" s="7"/>
      <c r="I806" s="7"/>
      <c r="J806" s="8"/>
      <c r="K806" s="9"/>
      <c r="L806" s="5"/>
      <c r="M806" s="9"/>
      <c r="N806" s="21"/>
      <c r="O806" s="20"/>
      <c r="P806" s="21"/>
      <c r="Q806" s="21"/>
      <c r="R806" s="21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2.75" customHeight="1" x14ac:dyDescent="0.25">
      <c r="A807" s="3"/>
      <c r="B807" s="19"/>
      <c r="C807" s="5"/>
      <c r="D807" s="5"/>
      <c r="E807" s="5"/>
      <c r="F807" s="6"/>
      <c r="G807" s="7"/>
      <c r="H807" s="7"/>
      <c r="I807" s="7"/>
      <c r="J807" s="8"/>
      <c r="K807" s="9"/>
      <c r="L807" s="5"/>
      <c r="M807" s="9"/>
      <c r="N807" s="21"/>
      <c r="O807" s="20"/>
      <c r="P807" s="21"/>
      <c r="Q807" s="21"/>
      <c r="R807" s="21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2.75" customHeight="1" x14ac:dyDescent="0.25">
      <c r="A808" s="3"/>
      <c r="B808" s="19"/>
      <c r="C808" s="5"/>
      <c r="D808" s="5"/>
      <c r="E808" s="5"/>
      <c r="F808" s="6"/>
      <c r="G808" s="7"/>
      <c r="H808" s="7"/>
      <c r="I808" s="7"/>
      <c r="J808" s="8"/>
      <c r="K808" s="9"/>
      <c r="L808" s="5"/>
      <c r="M808" s="9"/>
      <c r="N808" s="21"/>
      <c r="O808" s="20"/>
      <c r="P808" s="21"/>
      <c r="Q808" s="21"/>
      <c r="R808" s="21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2.75" customHeight="1" x14ac:dyDescent="0.25">
      <c r="A809" s="3"/>
      <c r="B809" s="19"/>
      <c r="C809" s="5"/>
      <c r="D809" s="5"/>
      <c r="E809" s="5"/>
      <c r="F809" s="6"/>
      <c r="G809" s="7"/>
      <c r="H809" s="7"/>
      <c r="I809" s="7"/>
      <c r="J809" s="8"/>
      <c r="K809" s="9"/>
      <c r="L809" s="5"/>
      <c r="M809" s="9"/>
      <c r="N809" s="21"/>
      <c r="O809" s="20"/>
      <c r="P809" s="21"/>
      <c r="Q809" s="21"/>
      <c r="R809" s="21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2.75" customHeight="1" x14ac:dyDescent="0.25">
      <c r="A810" s="3"/>
      <c r="B810" s="19"/>
      <c r="C810" s="5"/>
      <c r="D810" s="5"/>
      <c r="E810" s="5"/>
      <c r="F810" s="6"/>
      <c r="G810" s="7"/>
      <c r="H810" s="7"/>
      <c r="I810" s="7"/>
      <c r="J810" s="8"/>
      <c r="K810" s="9"/>
      <c r="L810" s="5"/>
      <c r="M810" s="9"/>
      <c r="N810" s="21"/>
      <c r="O810" s="20"/>
      <c r="P810" s="21"/>
      <c r="Q810" s="21"/>
      <c r="R810" s="21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2.75" customHeight="1" x14ac:dyDescent="0.25">
      <c r="A811" s="3"/>
      <c r="B811" s="19"/>
      <c r="C811" s="5"/>
      <c r="D811" s="5"/>
      <c r="E811" s="5"/>
      <c r="F811" s="6"/>
      <c r="G811" s="7"/>
      <c r="H811" s="7"/>
      <c r="I811" s="7"/>
      <c r="J811" s="8"/>
      <c r="K811" s="9"/>
      <c r="L811" s="5"/>
      <c r="M811" s="9"/>
      <c r="N811" s="21"/>
      <c r="O811" s="20"/>
      <c r="P811" s="21"/>
      <c r="Q811" s="21"/>
      <c r="R811" s="21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2.75" customHeight="1" x14ac:dyDescent="0.25">
      <c r="A812" s="3"/>
      <c r="B812" s="19"/>
      <c r="C812" s="5"/>
      <c r="D812" s="5"/>
      <c r="E812" s="5"/>
      <c r="F812" s="6"/>
      <c r="G812" s="7"/>
      <c r="H812" s="7"/>
      <c r="I812" s="7"/>
      <c r="J812" s="8"/>
      <c r="K812" s="9"/>
      <c r="L812" s="5"/>
      <c r="M812" s="9"/>
      <c r="N812" s="21"/>
      <c r="O812" s="20"/>
      <c r="P812" s="21"/>
      <c r="Q812" s="21"/>
      <c r="R812" s="21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2.75" customHeight="1" x14ac:dyDescent="0.25">
      <c r="A813" s="3"/>
      <c r="B813" s="19"/>
      <c r="C813" s="5"/>
      <c r="D813" s="5"/>
      <c r="E813" s="5"/>
      <c r="F813" s="6"/>
      <c r="G813" s="7"/>
      <c r="H813" s="7"/>
      <c r="I813" s="7"/>
      <c r="J813" s="8"/>
      <c r="K813" s="9"/>
      <c r="L813" s="5"/>
      <c r="M813" s="9"/>
      <c r="N813" s="21"/>
      <c r="O813" s="20"/>
      <c r="P813" s="21"/>
      <c r="Q813" s="21"/>
      <c r="R813" s="21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2.75" customHeight="1" x14ac:dyDescent="0.25">
      <c r="A814" s="3"/>
      <c r="B814" s="19"/>
      <c r="C814" s="5"/>
      <c r="D814" s="5"/>
      <c r="E814" s="5"/>
      <c r="F814" s="6"/>
      <c r="G814" s="7"/>
      <c r="H814" s="7"/>
      <c r="I814" s="7"/>
      <c r="J814" s="8"/>
      <c r="K814" s="9"/>
      <c r="L814" s="5"/>
      <c r="M814" s="9"/>
      <c r="N814" s="21"/>
      <c r="O814" s="20"/>
      <c r="P814" s="21"/>
      <c r="Q814" s="21"/>
      <c r="R814" s="21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2.75" customHeight="1" x14ac:dyDescent="0.25">
      <c r="A815" s="3"/>
      <c r="B815" s="19"/>
      <c r="C815" s="5"/>
      <c r="D815" s="5"/>
      <c r="E815" s="5"/>
      <c r="F815" s="6"/>
      <c r="G815" s="7"/>
      <c r="H815" s="7"/>
      <c r="I815" s="7"/>
      <c r="J815" s="8"/>
      <c r="K815" s="9"/>
      <c r="L815" s="5"/>
      <c r="M815" s="9"/>
      <c r="N815" s="21"/>
      <c r="O815" s="20"/>
      <c r="P815" s="21"/>
      <c r="Q815" s="21"/>
      <c r="R815" s="21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2.75" customHeight="1" x14ac:dyDescent="0.25">
      <c r="A816" s="3"/>
      <c r="B816" s="19"/>
      <c r="C816" s="5"/>
      <c r="D816" s="5"/>
      <c r="E816" s="5"/>
      <c r="F816" s="6"/>
      <c r="G816" s="7"/>
      <c r="H816" s="7"/>
      <c r="I816" s="7"/>
      <c r="J816" s="8"/>
      <c r="K816" s="9"/>
      <c r="L816" s="5"/>
      <c r="M816" s="9"/>
      <c r="N816" s="21"/>
      <c r="O816" s="20"/>
      <c r="P816" s="21"/>
      <c r="Q816" s="21"/>
      <c r="R816" s="21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2.75" customHeight="1" x14ac:dyDescent="0.25">
      <c r="A817" s="3"/>
      <c r="B817" s="19"/>
      <c r="C817" s="5"/>
      <c r="D817" s="5"/>
      <c r="E817" s="5"/>
      <c r="F817" s="6"/>
      <c r="G817" s="7"/>
      <c r="H817" s="7"/>
      <c r="I817" s="7"/>
      <c r="J817" s="8"/>
      <c r="K817" s="9"/>
      <c r="L817" s="5"/>
      <c r="M817" s="9"/>
      <c r="N817" s="21"/>
      <c r="O817" s="20"/>
      <c r="P817" s="21"/>
      <c r="Q817" s="21"/>
      <c r="R817" s="21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2.75" customHeight="1" x14ac:dyDescent="0.25">
      <c r="A818" s="3"/>
      <c r="B818" s="19"/>
      <c r="C818" s="5"/>
      <c r="D818" s="5"/>
      <c r="E818" s="5"/>
      <c r="F818" s="6"/>
      <c r="G818" s="7"/>
      <c r="H818" s="7"/>
      <c r="I818" s="7"/>
      <c r="J818" s="8"/>
      <c r="K818" s="9"/>
      <c r="L818" s="5"/>
      <c r="M818" s="9"/>
      <c r="N818" s="21"/>
      <c r="O818" s="20"/>
      <c r="P818" s="21"/>
      <c r="Q818" s="21"/>
      <c r="R818" s="21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12.75" customHeight="1" x14ac:dyDescent="0.25">
      <c r="A819" s="3"/>
      <c r="B819" s="19"/>
      <c r="C819" s="5"/>
      <c r="D819" s="5"/>
      <c r="E819" s="5"/>
      <c r="F819" s="6"/>
      <c r="G819" s="7"/>
      <c r="H819" s="7"/>
      <c r="I819" s="7"/>
      <c r="J819" s="8"/>
      <c r="K819" s="9"/>
      <c r="L819" s="5"/>
      <c r="M819" s="9"/>
      <c r="N819" s="21"/>
      <c r="O819" s="20"/>
      <c r="P819" s="21"/>
      <c r="Q819" s="21"/>
      <c r="R819" s="21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12.75" customHeight="1" x14ac:dyDescent="0.25">
      <c r="A820" s="3"/>
      <c r="B820" s="19"/>
      <c r="C820" s="5"/>
      <c r="D820" s="5"/>
      <c r="E820" s="5"/>
      <c r="F820" s="6"/>
      <c r="G820" s="7"/>
      <c r="H820" s="7"/>
      <c r="I820" s="7"/>
      <c r="J820" s="8"/>
      <c r="K820" s="9"/>
      <c r="L820" s="5"/>
      <c r="M820" s="9"/>
      <c r="N820" s="21"/>
      <c r="O820" s="20"/>
      <c r="P820" s="21"/>
      <c r="Q820" s="21"/>
      <c r="R820" s="21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12.75" customHeight="1" x14ac:dyDescent="0.25">
      <c r="A821" s="3"/>
      <c r="B821" s="19"/>
      <c r="C821" s="5"/>
      <c r="D821" s="5"/>
      <c r="E821" s="5"/>
      <c r="F821" s="6"/>
      <c r="G821" s="7"/>
      <c r="H821" s="7"/>
      <c r="I821" s="7"/>
      <c r="J821" s="8"/>
      <c r="K821" s="9"/>
      <c r="L821" s="5"/>
      <c r="M821" s="9"/>
      <c r="N821" s="21"/>
      <c r="O821" s="20"/>
      <c r="P821" s="21"/>
      <c r="Q821" s="21"/>
      <c r="R821" s="21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2.75" customHeight="1" x14ac:dyDescent="0.25">
      <c r="A822" s="3"/>
      <c r="B822" s="19"/>
      <c r="C822" s="5"/>
      <c r="D822" s="5"/>
      <c r="E822" s="5"/>
      <c r="F822" s="6"/>
      <c r="G822" s="7"/>
      <c r="H822" s="7"/>
      <c r="I822" s="7"/>
      <c r="J822" s="8"/>
      <c r="K822" s="9"/>
      <c r="L822" s="5"/>
      <c r="M822" s="9"/>
      <c r="N822" s="21"/>
      <c r="O822" s="20"/>
      <c r="P822" s="21"/>
      <c r="Q822" s="21"/>
      <c r="R822" s="21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2.75" customHeight="1" x14ac:dyDescent="0.25">
      <c r="A823" s="3"/>
      <c r="B823" s="19"/>
      <c r="C823" s="5"/>
      <c r="D823" s="5"/>
      <c r="E823" s="5"/>
      <c r="F823" s="6"/>
      <c r="G823" s="7"/>
      <c r="H823" s="7"/>
      <c r="I823" s="7"/>
      <c r="J823" s="8"/>
      <c r="K823" s="9"/>
      <c r="L823" s="5"/>
      <c r="M823" s="9"/>
      <c r="N823" s="21"/>
      <c r="O823" s="20"/>
      <c r="P823" s="21"/>
      <c r="Q823" s="21"/>
      <c r="R823" s="21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2.75" customHeight="1" x14ac:dyDescent="0.25">
      <c r="A824" s="3"/>
      <c r="B824" s="19"/>
      <c r="C824" s="5"/>
      <c r="D824" s="5"/>
      <c r="E824" s="5"/>
      <c r="F824" s="6"/>
      <c r="G824" s="7"/>
      <c r="H824" s="7"/>
      <c r="I824" s="7"/>
      <c r="J824" s="8"/>
      <c r="K824" s="9"/>
      <c r="L824" s="5"/>
      <c r="M824" s="9"/>
      <c r="N824" s="21"/>
      <c r="O824" s="20"/>
      <c r="P824" s="21"/>
      <c r="Q824" s="21"/>
      <c r="R824" s="21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2.75" customHeight="1" x14ac:dyDescent="0.25">
      <c r="A825" s="3"/>
      <c r="B825" s="19"/>
      <c r="C825" s="5"/>
      <c r="D825" s="5"/>
      <c r="E825" s="5"/>
      <c r="F825" s="6"/>
      <c r="G825" s="7"/>
      <c r="H825" s="7"/>
      <c r="I825" s="7"/>
      <c r="J825" s="8"/>
      <c r="K825" s="9"/>
      <c r="L825" s="5"/>
      <c r="M825" s="9"/>
      <c r="N825" s="21"/>
      <c r="O825" s="20"/>
      <c r="P825" s="21"/>
      <c r="Q825" s="21"/>
      <c r="R825" s="21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2.75" customHeight="1" x14ac:dyDescent="0.25">
      <c r="A826" s="3"/>
      <c r="B826" s="19"/>
      <c r="C826" s="5"/>
      <c r="D826" s="5"/>
      <c r="E826" s="5"/>
      <c r="F826" s="6"/>
      <c r="G826" s="7"/>
      <c r="H826" s="7"/>
      <c r="I826" s="7"/>
      <c r="J826" s="8"/>
      <c r="K826" s="9"/>
      <c r="L826" s="5"/>
      <c r="M826" s="9"/>
      <c r="N826" s="21"/>
      <c r="O826" s="20"/>
      <c r="P826" s="21"/>
      <c r="Q826" s="21"/>
      <c r="R826" s="21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2.75" customHeight="1" x14ac:dyDescent="0.25">
      <c r="A827" s="3"/>
      <c r="B827" s="19"/>
      <c r="C827" s="5"/>
      <c r="D827" s="5"/>
      <c r="E827" s="5"/>
      <c r="F827" s="6"/>
      <c r="G827" s="7"/>
      <c r="H827" s="7"/>
      <c r="I827" s="7"/>
      <c r="J827" s="8"/>
      <c r="K827" s="9"/>
      <c r="L827" s="5"/>
      <c r="M827" s="9"/>
      <c r="N827" s="21"/>
      <c r="O827" s="20"/>
      <c r="P827" s="21"/>
      <c r="Q827" s="21"/>
      <c r="R827" s="21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2.75" customHeight="1" x14ac:dyDescent="0.25">
      <c r="A828" s="3"/>
      <c r="B828" s="19"/>
      <c r="C828" s="5"/>
      <c r="D828" s="5"/>
      <c r="E828" s="5"/>
      <c r="F828" s="6"/>
      <c r="G828" s="7"/>
      <c r="H828" s="7"/>
      <c r="I828" s="7"/>
      <c r="J828" s="8"/>
      <c r="K828" s="9"/>
      <c r="L828" s="5"/>
      <c r="M828" s="9"/>
      <c r="N828" s="21"/>
      <c r="O828" s="20"/>
      <c r="P828" s="21"/>
      <c r="Q828" s="21"/>
      <c r="R828" s="21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2.75" customHeight="1" x14ac:dyDescent="0.25">
      <c r="A829" s="3"/>
      <c r="B829" s="19"/>
      <c r="C829" s="5"/>
      <c r="D829" s="5"/>
      <c r="E829" s="5"/>
      <c r="F829" s="6"/>
      <c r="G829" s="7"/>
      <c r="H829" s="7"/>
      <c r="I829" s="7"/>
      <c r="J829" s="8"/>
      <c r="K829" s="9"/>
      <c r="L829" s="5"/>
      <c r="M829" s="9"/>
      <c r="N829" s="21"/>
      <c r="O829" s="20"/>
      <c r="P829" s="21"/>
      <c r="Q829" s="21"/>
      <c r="R829" s="21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2.75" customHeight="1" x14ac:dyDescent="0.25">
      <c r="A830" s="3"/>
      <c r="B830" s="19"/>
      <c r="C830" s="5"/>
      <c r="D830" s="5"/>
      <c r="E830" s="5"/>
      <c r="F830" s="6"/>
      <c r="G830" s="7"/>
      <c r="H830" s="7"/>
      <c r="I830" s="7"/>
      <c r="J830" s="8"/>
      <c r="K830" s="9"/>
      <c r="L830" s="5"/>
      <c r="M830" s="9"/>
      <c r="N830" s="21"/>
      <c r="O830" s="20"/>
      <c r="P830" s="21"/>
      <c r="Q830" s="21"/>
      <c r="R830" s="21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2.75" customHeight="1" x14ac:dyDescent="0.25">
      <c r="A831" s="3"/>
      <c r="B831" s="19"/>
      <c r="C831" s="5"/>
      <c r="D831" s="5"/>
      <c r="E831" s="5"/>
      <c r="F831" s="6"/>
      <c r="G831" s="7"/>
      <c r="H831" s="7"/>
      <c r="I831" s="7"/>
      <c r="J831" s="8"/>
      <c r="K831" s="9"/>
      <c r="L831" s="5"/>
      <c r="M831" s="9"/>
      <c r="N831" s="21"/>
      <c r="O831" s="20"/>
      <c r="P831" s="21"/>
      <c r="Q831" s="21"/>
      <c r="R831" s="21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12.75" customHeight="1" x14ac:dyDescent="0.25">
      <c r="A832" s="3"/>
      <c r="B832" s="19"/>
      <c r="C832" s="5"/>
      <c r="D832" s="5"/>
      <c r="E832" s="5"/>
      <c r="F832" s="6"/>
      <c r="G832" s="7"/>
      <c r="H832" s="7"/>
      <c r="I832" s="7"/>
      <c r="J832" s="8"/>
      <c r="K832" s="9"/>
      <c r="L832" s="5"/>
      <c r="M832" s="9"/>
      <c r="N832" s="21"/>
      <c r="O832" s="20"/>
      <c r="P832" s="21"/>
      <c r="Q832" s="21"/>
      <c r="R832" s="21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12.75" customHeight="1" x14ac:dyDescent="0.25">
      <c r="A833" s="3"/>
      <c r="B833" s="19"/>
      <c r="C833" s="5"/>
      <c r="D833" s="5"/>
      <c r="E833" s="5"/>
      <c r="F833" s="6"/>
      <c r="G833" s="7"/>
      <c r="H833" s="7"/>
      <c r="I833" s="7"/>
      <c r="J833" s="8"/>
      <c r="K833" s="9"/>
      <c r="L833" s="5"/>
      <c r="M833" s="9"/>
      <c r="N833" s="21"/>
      <c r="O833" s="20"/>
      <c r="P833" s="21"/>
      <c r="Q833" s="21"/>
      <c r="R833" s="21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12.75" customHeight="1" x14ac:dyDescent="0.25">
      <c r="A834" s="3"/>
      <c r="B834" s="19"/>
      <c r="C834" s="5"/>
      <c r="D834" s="5"/>
      <c r="E834" s="5"/>
      <c r="F834" s="6"/>
      <c r="G834" s="7"/>
      <c r="H834" s="7"/>
      <c r="I834" s="7"/>
      <c r="J834" s="8"/>
      <c r="K834" s="9"/>
      <c r="L834" s="5"/>
      <c r="M834" s="9"/>
      <c r="N834" s="21"/>
      <c r="O834" s="20"/>
      <c r="P834" s="21"/>
      <c r="Q834" s="21"/>
      <c r="R834" s="21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12.75" customHeight="1" x14ac:dyDescent="0.25">
      <c r="A835" s="3"/>
      <c r="B835" s="19"/>
      <c r="C835" s="5"/>
      <c r="D835" s="5"/>
      <c r="E835" s="5"/>
      <c r="F835" s="6"/>
      <c r="G835" s="7"/>
      <c r="H835" s="7"/>
      <c r="I835" s="7"/>
      <c r="J835" s="8"/>
      <c r="K835" s="9"/>
      <c r="L835" s="5"/>
      <c r="M835" s="9"/>
      <c r="N835" s="21"/>
      <c r="O835" s="20"/>
      <c r="P835" s="21"/>
      <c r="Q835" s="21"/>
      <c r="R835" s="21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12.75" customHeight="1" x14ac:dyDescent="0.25">
      <c r="A836" s="3"/>
      <c r="B836" s="19"/>
      <c r="C836" s="5"/>
      <c r="D836" s="5"/>
      <c r="E836" s="5"/>
      <c r="F836" s="6"/>
      <c r="G836" s="7"/>
      <c r="H836" s="7"/>
      <c r="I836" s="7"/>
      <c r="J836" s="8"/>
      <c r="K836" s="9"/>
      <c r="L836" s="5"/>
      <c r="M836" s="9"/>
      <c r="N836" s="21"/>
      <c r="O836" s="20"/>
      <c r="P836" s="21"/>
      <c r="Q836" s="21"/>
      <c r="R836" s="21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12.75" customHeight="1" x14ac:dyDescent="0.25">
      <c r="A837" s="3"/>
      <c r="B837" s="19"/>
      <c r="C837" s="5"/>
      <c r="D837" s="5"/>
      <c r="E837" s="5"/>
      <c r="F837" s="6"/>
      <c r="G837" s="7"/>
      <c r="H837" s="7"/>
      <c r="I837" s="7"/>
      <c r="J837" s="8"/>
      <c r="K837" s="9"/>
      <c r="L837" s="5"/>
      <c r="M837" s="9"/>
      <c r="N837" s="21"/>
      <c r="O837" s="20"/>
      <c r="P837" s="21"/>
      <c r="Q837" s="21"/>
      <c r="R837" s="21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12.75" customHeight="1" x14ac:dyDescent="0.25">
      <c r="A838" s="3"/>
      <c r="B838" s="19"/>
      <c r="C838" s="5"/>
      <c r="D838" s="5"/>
      <c r="E838" s="5"/>
      <c r="F838" s="6"/>
      <c r="G838" s="7"/>
      <c r="H838" s="7"/>
      <c r="I838" s="7"/>
      <c r="J838" s="8"/>
      <c r="K838" s="9"/>
      <c r="L838" s="5"/>
      <c r="M838" s="9"/>
      <c r="N838" s="21"/>
      <c r="O838" s="20"/>
      <c r="P838" s="21"/>
      <c r="Q838" s="21"/>
      <c r="R838" s="21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12.75" customHeight="1" x14ac:dyDescent="0.25">
      <c r="A839" s="3"/>
      <c r="B839" s="19"/>
      <c r="C839" s="5"/>
      <c r="D839" s="5"/>
      <c r="E839" s="5"/>
      <c r="F839" s="6"/>
      <c r="G839" s="7"/>
      <c r="H839" s="7"/>
      <c r="I839" s="7"/>
      <c r="J839" s="8"/>
      <c r="K839" s="9"/>
      <c r="L839" s="5"/>
      <c r="M839" s="9"/>
      <c r="N839" s="21"/>
      <c r="O839" s="20"/>
      <c r="P839" s="21"/>
      <c r="Q839" s="21"/>
      <c r="R839" s="21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12.75" customHeight="1" x14ac:dyDescent="0.25">
      <c r="A840" s="3"/>
      <c r="B840" s="19"/>
      <c r="C840" s="5"/>
      <c r="D840" s="5"/>
      <c r="E840" s="5"/>
      <c r="F840" s="6"/>
      <c r="G840" s="7"/>
      <c r="H840" s="7"/>
      <c r="I840" s="7"/>
      <c r="J840" s="8"/>
      <c r="K840" s="9"/>
      <c r="L840" s="5"/>
      <c r="M840" s="9"/>
      <c r="N840" s="21"/>
      <c r="O840" s="20"/>
      <c r="P840" s="21"/>
      <c r="Q840" s="21"/>
      <c r="R840" s="21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12.75" customHeight="1" x14ac:dyDescent="0.25">
      <c r="A841" s="3"/>
      <c r="B841" s="19"/>
      <c r="C841" s="5"/>
      <c r="D841" s="5"/>
      <c r="E841" s="5"/>
      <c r="F841" s="6"/>
      <c r="G841" s="7"/>
      <c r="H841" s="7"/>
      <c r="I841" s="7"/>
      <c r="J841" s="8"/>
      <c r="K841" s="9"/>
      <c r="L841" s="5"/>
      <c r="M841" s="9"/>
      <c r="N841" s="21"/>
      <c r="O841" s="20"/>
      <c r="P841" s="21"/>
      <c r="Q841" s="21"/>
      <c r="R841" s="21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12.75" customHeight="1" x14ac:dyDescent="0.25">
      <c r="A842" s="3"/>
      <c r="B842" s="19"/>
      <c r="C842" s="5"/>
      <c r="D842" s="5"/>
      <c r="E842" s="5"/>
      <c r="F842" s="6"/>
      <c r="G842" s="7"/>
      <c r="H842" s="7"/>
      <c r="I842" s="7"/>
      <c r="J842" s="8"/>
      <c r="K842" s="9"/>
      <c r="L842" s="5"/>
      <c r="M842" s="9"/>
      <c r="N842" s="21"/>
      <c r="O842" s="20"/>
      <c r="P842" s="21"/>
      <c r="Q842" s="21"/>
      <c r="R842" s="21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2.75" customHeight="1" x14ac:dyDescent="0.25">
      <c r="A843" s="3"/>
      <c r="B843" s="19"/>
      <c r="C843" s="5"/>
      <c r="D843" s="5"/>
      <c r="E843" s="5"/>
      <c r="F843" s="6"/>
      <c r="G843" s="7"/>
      <c r="H843" s="7"/>
      <c r="I843" s="7"/>
      <c r="J843" s="8"/>
      <c r="K843" s="9"/>
      <c r="L843" s="5"/>
      <c r="M843" s="9"/>
      <c r="N843" s="21"/>
      <c r="O843" s="20"/>
      <c r="P843" s="21"/>
      <c r="Q843" s="21"/>
      <c r="R843" s="21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12.75" customHeight="1" x14ac:dyDescent="0.25">
      <c r="A844" s="3"/>
      <c r="B844" s="19"/>
      <c r="C844" s="5"/>
      <c r="D844" s="5"/>
      <c r="E844" s="5"/>
      <c r="F844" s="6"/>
      <c r="G844" s="7"/>
      <c r="H844" s="7"/>
      <c r="I844" s="7"/>
      <c r="J844" s="8"/>
      <c r="K844" s="9"/>
      <c r="L844" s="5"/>
      <c r="M844" s="9"/>
      <c r="N844" s="21"/>
      <c r="O844" s="20"/>
      <c r="P844" s="21"/>
      <c r="Q844" s="21"/>
      <c r="R844" s="21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12.75" customHeight="1" x14ac:dyDescent="0.25">
      <c r="A845" s="3"/>
      <c r="B845" s="19"/>
      <c r="C845" s="5"/>
      <c r="D845" s="5"/>
      <c r="E845" s="5"/>
      <c r="F845" s="6"/>
      <c r="G845" s="7"/>
      <c r="H845" s="7"/>
      <c r="I845" s="7"/>
      <c r="J845" s="8"/>
      <c r="K845" s="9"/>
      <c r="L845" s="5"/>
      <c r="M845" s="9"/>
      <c r="N845" s="21"/>
      <c r="O845" s="20"/>
      <c r="P845" s="21"/>
      <c r="Q845" s="21"/>
      <c r="R845" s="21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12.75" customHeight="1" x14ac:dyDescent="0.25">
      <c r="A846" s="3"/>
      <c r="B846" s="19"/>
      <c r="C846" s="5"/>
      <c r="D846" s="5"/>
      <c r="E846" s="5"/>
      <c r="F846" s="6"/>
      <c r="G846" s="7"/>
      <c r="H846" s="7"/>
      <c r="I846" s="7"/>
      <c r="J846" s="8"/>
      <c r="K846" s="9"/>
      <c r="L846" s="5"/>
      <c r="M846" s="9"/>
      <c r="N846" s="21"/>
      <c r="O846" s="20"/>
      <c r="P846" s="21"/>
      <c r="Q846" s="21"/>
      <c r="R846" s="21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12.75" customHeight="1" x14ac:dyDescent="0.25">
      <c r="A847" s="3"/>
      <c r="B847" s="19"/>
      <c r="C847" s="5"/>
      <c r="D847" s="5"/>
      <c r="E847" s="5"/>
      <c r="F847" s="6"/>
      <c r="G847" s="7"/>
      <c r="H847" s="7"/>
      <c r="I847" s="7"/>
      <c r="J847" s="8"/>
      <c r="K847" s="9"/>
      <c r="L847" s="5"/>
      <c r="M847" s="9"/>
      <c r="N847" s="21"/>
      <c r="O847" s="20"/>
      <c r="P847" s="21"/>
      <c r="Q847" s="21"/>
      <c r="R847" s="21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12.75" customHeight="1" x14ac:dyDescent="0.25">
      <c r="A848" s="3"/>
      <c r="B848" s="19"/>
      <c r="C848" s="5"/>
      <c r="D848" s="5"/>
      <c r="E848" s="5"/>
      <c r="F848" s="6"/>
      <c r="G848" s="7"/>
      <c r="H848" s="7"/>
      <c r="I848" s="7"/>
      <c r="J848" s="8"/>
      <c r="K848" s="9"/>
      <c r="L848" s="5"/>
      <c r="M848" s="9"/>
      <c r="N848" s="21"/>
      <c r="O848" s="20"/>
      <c r="P848" s="21"/>
      <c r="Q848" s="21"/>
      <c r="R848" s="21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12.75" customHeight="1" x14ac:dyDescent="0.25">
      <c r="A849" s="3"/>
      <c r="B849" s="19"/>
      <c r="C849" s="5"/>
      <c r="D849" s="5"/>
      <c r="E849" s="5"/>
      <c r="F849" s="6"/>
      <c r="G849" s="7"/>
      <c r="H849" s="7"/>
      <c r="I849" s="7"/>
      <c r="J849" s="8"/>
      <c r="K849" s="9"/>
      <c r="L849" s="5"/>
      <c r="M849" s="9"/>
      <c r="N849" s="21"/>
      <c r="O849" s="20"/>
      <c r="P849" s="21"/>
      <c r="Q849" s="21"/>
      <c r="R849" s="21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12.75" customHeight="1" x14ac:dyDescent="0.25">
      <c r="A850" s="3"/>
      <c r="B850" s="19"/>
      <c r="C850" s="5"/>
      <c r="D850" s="5"/>
      <c r="E850" s="5"/>
      <c r="F850" s="6"/>
      <c r="G850" s="7"/>
      <c r="H850" s="7"/>
      <c r="I850" s="7"/>
      <c r="J850" s="8"/>
      <c r="K850" s="9"/>
      <c r="L850" s="5"/>
      <c r="M850" s="9"/>
      <c r="N850" s="21"/>
      <c r="O850" s="20"/>
      <c r="P850" s="21"/>
      <c r="Q850" s="21"/>
      <c r="R850" s="21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12.75" customHeight="1" x14ac:dyDescent="0.25">
      <c r="A851" s="3"/>
      <c r="B851" s="19"/>
      <c r="C851" s="5"/>
      <c r="D851" s="5"/>
      <c r="E851" s="5"/>
      <c r="F851" s="6"/>
      <c r="G851" s="7"/>
      <c r="H851" s="7"/>
      <c r="I851" s="7"/>
      <c r="J851" s="8"/>
      <c r="K851" s="9"/>
      <c r="L851" s="5"/>
      <c r="M851" s="9"/>
      <c r="N851" s="21"/>
      <c r="O851" s="20"/>
      <c r="P851" s="21"/>
      <c r="Q851" s="21"/>
      <c r="R851" s="21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12.75" customHeight="1" x14ac:dyDescent="0.25">
      <c r="A852" s="3"/>
      <c r="B852" s="19"/>
      <c r="C852" s="5"/>
      <c r="D852" s="5"/>
      <c r="E852" s="5"/>
      <c r="F852" s="6"/>
      <c r="G852" s="7"/>
      <c r="H852" s="7"/>
      <c r="I852" s="7"/>
      <c r="J852" s="8"/>
      <c r="K852" s="9"/>
      <c r="L852" s="5"/>
      <c r="M852" s="9"/>
      <c r="N852" s="21"/>
      <c r="O852" s="20"/>
      <c r="P852" s="21"/>
      <c r="Q852" s="21"/>
      <c r="R852" s="21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12.75" customHeight="1" x14ac:dyDescent="0.25">
      <c r="A853" s="3"/>
      <c r="B853" s="19"/>
      <c r="C853" s="5"/>
      <c r="D853" s="5"/>
      <c r="E853" s="5"/>
      <c r="F853" s="6"/>
      <c r="G853" s="7"/>
      <c r="H853" s="7"/>
      <c r="I853" s="7"/>
      <c r="J853" s="8"/>
      <c r="K853" s="9"/>
      <c r="L853" s="5"/>
      <c r="M853" s="9"/>
      <c r="N853" s="21"/>
      <c r="O853" s="20"/>
      <c r="P853" s="21"/>
      <c r="Q853" s="21"/>
      <c r="R853" s="21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12.75" customHeight="1" x14ac:dyDescent="0.25">
      <c r="A854" s="3"/>
      <c r="B854" s="19"/>
      <c r="C854" s="5"/>
      <c r="D854" s="5"/>
      <c r="E854" s="5"/>
      <c r="F854" s="6"/>
      <c r="G854" s="7"/>
      <c r="H854" s="7"/>
      <c r="I854" s="7"/>
      <c r="J854" s="8"/>
      <c r="K854" s="9"/>
      <c r="L854" s="5"/>
      <c r="M854" s="9"/>
      <c r="N854" s="21"/>
      <c r="O854" s="20"/>
      <c r="P854" s="21"/>
      <c r="Q854" s="21"/>
      <c r="R854" s="21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12.75" customHeight="1" x14ac:dyDescent="0.25">
      <c r="A855" s="3"/>
      <c r="B855" s="19"/>
      <c r="C855" s="5"/>
      <c r="D855" s="5"/>
      <c r="E855" s="5"/>
      <c r="F855" s="6"/>
      <c r="G855" s="7"/>
      <c r="H855" s="7"/>
      <c r="I855" s="7"/>
      <c r="J855" s="8"/>
      <c r="K855" s="9"/>
      <c r="L855" s="5"/>
      <c r="M855" s="9"/>
      <c r="N855" s="21"/>
      <c r="O855" s="20"/>
      <c r="P855" s="21"/>
      <c r="Q855" s="21"/>
      <c r="R855" s="21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12.75" customHeight="1" x14ac:dyDescent="0.25">
      <c r="A856" s="3"/>
      <c r="B856" s="19"/>
      <c r="C856" s="5"/>
      <c r="D856" s="5"/>
      <c r="E856" s="5"/>
      <c r="F856" s="6"/>
      <c r="G856" s="7"/>
      <c r="H856" s="7"/>
      <c r="I856" s="7"/>
      <c r="J856" s="8"/>
      <c r="K856" s="9"/>
      <c r="L856" s="5"/>
      <c r="M856" s="9"/>
      <c r="N856" s="21"/>
      <c r="O856" s="20"/>
      <c r="P856" s="21"/>
      <c r="Q856" s="21"/>
      <c r="R856" s="21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12.75" customHeight="1" x14ac:dyDescent="0.25">
      <c r="A857" s="3"/>
      <c r="B857" s="19"/>
      <c r="C857" s="5"/>
      <c r="D857" s="5"/>
      <c r="E857" s="5"/>
      <c r="F857" s="6"/>
      <c r="G857" s="7"/>
      <c r="H857" s="7"/>
      <c r="I857" s="7"/>
      <c r="J857" s="8"/>
      <c r="K857" s="9"/>
      <c r="L857" s="5"/>
      <c r="M857" s="9"/>
      <c r="N857" s="21"/>
      <c r="O857" s="20"/>
      <c r="P857" s="21"/>
      <c r="Q857" s="21"/>
      <c r="R857" s="21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12.75" customHeight="1" x14ac:dyDescent="0.25">
      <c r="A858" s="3"/>
      <c r="B858" s="19"/>
      <c r="C858" s="5"/>
      <c r="D858" s="5"/>
      <c r="E858" s="5"/>
      <c r="F858" s="6"/>
      <c r="G858" s="7"/>
      <c r="H858" s="7"/>
      <c r="I858" s="7"/>
      <c r="J858" s="8"/>
      <c r="K858" s="9"/>
      <c r="L858" s="5"/>
      <c r="M858" s="9"/>
      <c r="N858" s="21"/>
      <c r="O858" s="20"/>
      <c r="P858" s="21"/>
      <c r="Q858" s="21"/>
      <c r="R858" s="21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12.75" customHeight="1" x14ac:dyDescent="0.25">
      <c r="A859" s="3"/>
      <c r="B859" s="19"/>
      <c r="C859" s="5"/>
      <c r="D859" s="5"/>
      <c r="E859" s="5"/>
      <c r="F859" s="6"/>
      <c r="G859" s="7"/>
      <c r="H859" s="7"/>
      <c r="I859" s="7"/>
      <c r="J859" s="8"/>
      <c r="K859" s="9"/>
      <c r="L859" s="5"/>
      <c r="M859" s="9"/>
      <c r="N859" s="21"/>
      <c r="O859" s="20"/>
      <c r="P859" s="21"/>
      <c r="Q859" s="21"/>
      <c r="R859" s="21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12.75" customHeight="1" x14ac:dyDescent="0.25">
      <c r="A860" s="3"/>
      <c r="B860" s="19"/>
      <c r="C860" s="5"/>
      <c r="D860" s="5"/>
      <c r="E860" s="5"/>
      <c r="F860" s="6"/>
      <c r="G860" s="7"/>
      <c r="H860" s="7"/>
      <c r="I860" s="7"/>
      <c r="J860" s="8"/>
      <c r="K860" s="9"/>
      <c r="L860" s="5"/>
      <c r="M860" s="9"/>
      <c r="N860" s="21"/>
      <c r="O860" s="20"/>
      <c r="P860" s="21"/>
      <c r="Q860" s="21"/>
      <c r="R860" s="21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12.75" customHeight="1" x14ac:dyDescent="0.25">
      <c r="A861" s="3"/>
      <c r="B861" s="19"/>
      <c r="C861" s="5"/>
      <c r="D861" s="5"/>
      <c r="E861" s="5"/>
      <c r="F861" s="6"/>
      <c r="G861" s="7"/>
      <c r="H861" s="7"/>
      <c r="I861" s="7"/>
      <c r="J861" s="8"/>
      <c r="K861" s="9"/>
      <c r="L861" s="5"/>
      <c r="M861" s="9"/>
      <c r="N861" s="21"/>
      <c r="O861" s="20"/>
      <c r="P861" s="21"/>
      <c r="Q861" s="21"/>
      <c r="R861" s="21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12.75" customHeight="1" x14ac:dyDescent="0.25">
      <c r="A862" s="3"/>
      <c r="B862" s="19"/>
      <c r="C862" s="5"/>
      <c r="D862" s="5"/>
      <c r="E862" s="5"/>
      <c r="F862" s="6"/>
      <c r="G862" s="7"/>
      <c r="H862" s="7"/>
      <c r="I862" s="7"/>
      <c r="J862" s="8"/>
      <c r="K862" s="9"/>
      <c r="L862" s="5"/>
      <c r="M862" s="9"/>
      <c r="N862" s="21"/>
      <c r="O862" s="20"/>
      <c r="P862" s="21"/>
      <c r="Q862" s="21"/>
      <c r="R862" s="21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12.75" customHeight="1" x14ac:dyDescent="0.25">
      <c r="A863" s="3"/>
      <c r="B863" s="19"/>
      <c r="C863" s="5"/>
      <c r="D863" s="5"/>
      <c r="E863" s="5"/>
      <c r="F863" s="6"/>
      <c r="G863" s="7"/>
      <c r="H863" s="7"/>
      <c r="I863" s="7"/>
      <c r="J863" s="8"/>
      <c r="K863" s="9"/>
      <c r="L863" s="5"/>
      <c r="M863" s="9"/>
      <c r="N863" s="21"/>
      <c r="O863" s="20"/>
      <c r="P863" s="21"/>
      <c r="Q863" s="21"/>
      <c r="R863" s="21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12.75" customHeight="1" x14ac:dyDescent="0.25">
      <c r="A864" s="3"/>
      <c r="B864" s="19"/>
      <c r="C864" s="5"/>
      <c r="D864" s="5"/>
      <c r="E864" s="5"/>
      <c r="F864" s="6"/>
      <c r="G864" s="7"/>
      <c r="H864" s="7"/>
      <c r="I864" s="7"/>
      <c r="J864" s="8"/>
      <c r="K864" s="9"/>
      <c r="L864" s="5"/>
      <c r="M864" s="9"/>
      <c r="N864" s="21"/>
      <c r="O864" s="20"/>
      <c r="P864" s="21"/>
      <c r="Q864" s="21"/>
      <c r="R864" s="21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12.75" customHeight="1" x14ac:dyDescent="0.25">
      <c r="A865" s="3"/>
      <c r="B865" s="19"/>
      <c r="C865" s="5"/>
      <c r="D865" s="5"/>
      <c r="E865" s="5"/>
      <c r="F865" s="6"/>
      <c r="G865" s="7"/>
      <c r="H865" s="7"/>
      <c r="I865" s="7"/>
      <c r="J865" s="8"/>
      <c r="K865" s="9"/>
      <c r="L865" s="5"/>
      <c r="M865" s="9"/>
      <c r="N865" s="21"/>
      <c r="O865" s="20"/>
      <c r="P865" s="21"/>
      <c r="Q865" s="21"/>
      <c r="R865" s="21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12.75" customHeight="1" x14ac:dyDescent="0.25">
      <c r="A866" s="3"/>
      <c r="B866" s="19"/>
      <c r="C866" s="5"/>
      <c r="D866" s="5"/>
      <c r="E866" s="5"/>
      <c r="F866" s="6"/>
      <c r="G866" s="7"/>
      <c r="H866" s="7"/>
      <c r="I866" s="7"/>
      <c r="J866" s="8"/>
      <c r="K866" s="9"/>
      <c r="L866" s="5"/>
      <c r="M866" s="9"/>
      <c r="N866" s="21"/>
      <c r="O866" s="20"/>
      <c r="P866" s="21"/>
      <c r="Q866" s="21"/>
      <c r="R866" s="21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12.75" customHeight="1" x14ac:dyDescent="0.25">
      <c r="A867" s="3"/>
      <c r="B867" s="19"/>
      <c r="C867" s="5"/>
      <c r="D867" s="5"/>
      <c r="E867" s="5"/>
      <c r="F867" s="6"/>
      <c r="G867" s="7"/>
      <c r="H867" s="7"/>
      <c r="I867" s="7"/>
      <c r="J867" s="8"/>
      <c r="K867" s="9"/>
      <c r="L867" s="5"/>
      <c r="M867" s="9"/>
      <c r="N867" s="21"/>
      <c r="O867" s="20"/>
      <c r="P867" s="21"/>
      <c r="Q867" s="21"/>
      <c r="R867" s="21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12.75" customHeight="1" x14ac:dyDescent="0.25">
      <c r="A868" s="3"/>
      <c r="B868" s="19"/>
      <c r="C868" s="5"/>
      <c r="D868" s="5"/>
      <c r="E868" s="5"/>
      <c r="F868" s="6"/>
      <c r="G868" s="7"/>
      <c r="H868" s="7"/>
      <c r="I868" s="7"/>
      <c r="J868" s="8"/>
      <c r="K868" s="9"/>
      <c r="L868" s="5"/>
      <c r="M868" s="9"/>
      <c r="N868" s="21"/>
      <c r="O868" s="20"/>
      <c r="P868" s="21"/>
      <c r="Q868" s="21"/>
      <c r="R868" s="21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12.75" customHeight="1" x14ac:dyDescent="0.25">
      <c r="A869" s="3"/>
      <c r="B869" s="19"/>
      <c r="C869" s="5"/>
      <c r="D869" s="5"/>
      <c r="E869" s="5"/>
      <c r="F869" s="6"/>
      <c r="G869" s="7"/>
      <c r="H869" s="7"/>
      <c r="I869" s="7"/>
      <c r="J869" s="8"/>
      <c r="K869" s="9"/>
      <c r="L869" s="5"/>
      <c r="M869" s="9"/>
      <c r="N869" s="21"/>
      <c r="O869" s="20"/>
      <c r="P869" s="21"/>
      <c r="Q869" s="21"/>
      <c r="R869" s="21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12.75" customHeight="1" x14ac:dyDescent="0.25">
      <c r="A870" s="3"/>
      <c r="B870" s="19"/>
      <c r="C870" s="5"/>
      <c r="D870" s="5"/>
      <c r="E870" s="5"/>
      <c r="F870" s="6"/>
      <c r="G870" s="7"/>
      <c r="H870" s="7"/>
      <c r="I870" s="7"/>
      <c r="J870" s="8"/>
      <c r="K870" s="9"/>
      <c r="L870" s="5"/>
      <c r="M870" s="9"/>
      <c r="N870" s="21"/>
      <c r="O870" s="20"/>
      <c r="P870" s="21"/>
      <c r="Q870" s="21"/>
      <c r="R870" s="21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12.75" customHeight="1" x14ac:dyDescent="0.25">
      <c r="A871" s="3"/>
      <c r="B871" s="19"/>
      <c r="C871" s="5"/>
      <c r="D871" s="5"/>
      <c r="E871" s="5"/>
      <c r="F871" s="6"/>
      <c r="G871" s="7"/>
      <c r="H871" s="7"/>
      <c r="I871" s="7"/>
      <c r="J871" s="8"/>
      <c r="K871" s="9"/>
      <c r="L871" s="5"/>
      <c r="M871" s="9"/>
      <c r="N871" s="21"/>
      <c r="O871" s="20"/>
      <c r="P871" s="21"/>
      <c r="Q871" s="21"/>
      <c r="R871" s="21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12.75" customHeight="1" x14ac:dyDescent="0.25">
      <c r="A872" s="3"/>
      <c r="B872" s="19"/>
      <c r="C872" s="5"/>
      <c r="D872" s="5"/>
      <c r="E872" s="5"/>
      <c r="F872" s="6"/>
      <c r="G872" s="7"/>
      <c r="H872" s="7"/>
      <c r="I872" s="7"/>
      <c r="J872" s="8"/>
      <c r="K872" s="9"/>
      <c r="L872" s="5"/>
      <c r="M872" s="9"/>
      <c r="N872" s="21"/>
      <c r="O872" s="20"/>
      <c r="P872" s="21"/>
      <c r="Q872" s="21"/>
      <c r="R872" s="21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12.75" customHeight="1" x14ac:dyDescent="0.25">
      <c r="A873" s="3"/>
      <c r="B873" s="19"/>
      <c r="C873" s="5"/>
      <c r="D873" s="5"/>
      <c r="E873" s="5"/>
      <c r="F873" s="6"/>
      <c r="G873" s="7"/>
      <c r="H873" s="7"/>
      <c r="I873" s="7"/>
      <c r="J873" s="8"/>
      <c r="K873" s="9"/>
      <c r="L873" s="5"/>
      <c r="M873" s="9"/>
      <c r="N873" s="21"/>
      <c r="O873" s="20"/>
      <c r="P873" s="21"/>
      <c r="Q873" s="21"/>
      <c r="R873" s="21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12.75" customHeight="1" x14ac:dyDescent="0.25">
      <c r="A874" s="3"/>
      <c r="B874" s="19"/>
      <c r="C874" s="5"/>
      <c r="D874" s="5"/>
      <c r="E874" s="5"/>
      <c r="F874" s="6"/>
      <c r="G874" s="7"/>
      <c r="H874" s="7"/>
      <c r="I874" s="7"/>
      <c r="J874" s="8"/>
      <c r="K874" s="9"/>
      <c r="L874" s="5"/>
      <c r="M874" s="9"/>
      <c r="N874" s="21"/>
      <c r="O874" s="20"/>
      <c r="P874" s="21"/>
      <c r="Q874" s="21"/>
      <c r="R874" s="21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12.75" customHeight="1" x14ac:dyDescent="0.25">
      <c r="A875" s="3"/>
      <c r="B875" s="19"/>
      <c r="C875" s="5"/>
      <c r="D875" s="5"/>
      <c r="E875" s="5"/>
      <c r="F875" s="6"/>
      <c r="G875" s="7"/>
      <c r="H875" s="7"/>
      <c r="I875" s="7"/>
      <c r="J875" s="8"/>
      <c r="K875" s="9"/>
      <c r="L875" s="5"/>
      <c r="M875" s="9"/>
      <c r="N875" s="21"/>
      <c r="O875" s="20"/>
      <c r="P875" s="21"/>
      <c r="Q875" s="21"/>
      <c r="R875" s="21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12.75" customHeight="1" x14ac:dyDescent="0.25">
      <c r="A876" s="3"/>
      <c r="B876" s="19"/>
      <c r="C876" s="5"/>
      <c r="D876" s="5"/>
      <c r="E876" s="5"/>
      <c r="F876" s="6"/>
      <c r="G876" s="7"/>
      <c r="H876" s="7"/>
      <c r="I876" s="7"/>
      <c r="J876" s="8"/>
      <c r="K876" s="9"/>
      <c r="L876" s="5"/>
      <c r="M876" s="9"/>
      <c r="N876" s="21"/>
      <c r="O876" s="20"/>
      <c r="P876" s="21"/>
      <c r="Q876" s="21"/>
      <c r="R876" s="21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12.75" customHeight="1" x14ac:dyDescent="0.25">
      <c r="A877" s="3"/>
      <c r="B877" s="19"/>
      <c r="C877" s="5"/>
      <c r="D877" s="5"/>
      <c r="E877" s="5"/>
      <c r="F877" s="6"/>
      <c r="G877" s="7"/>
      <c r="H877" s="7"/>
      <c r="I877" s="7"/>
      <c r="J877" s="8"/>
      <c r="K877" s="9"/>
      <c r="L877" s="5"/>
      <c r="M877" s="9"/>
      <c r="N877" s="21"/>
      <c r="O877" s="20"/>
      <c r="P877" s="21"/>
      <c r="Q877" s="21"/>
      <c r="R877" s="21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12.75" customHeight="1" x14ac:dyDescent="0.25">
      <c r="A878" s="3"/>
      <c r="B878" s="19"/>
      <c r="C878" s="5"/>
      <c r="D878" s="5"/>
      <c r="E878" s="5"/>
      <c r="F878" s="6"/>
      <c r="G878" s="7"/>
      <c r="H878" s="7"/>
      <c r="I878" s="7"/>
      <c r="J878" s="8"/>
      <c r="K878" s="9"/>
      <c r="L878" s="5"/>
      <c r="M878" s="9"/>
      <c r="N878" s="21"/>
      <c r="O878" s="20"/>
      <c r="P878" s="21"/>
      <c r="Q878" s="21"/>
      <c r="R878" s="21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12.75" customHeight="1" x14ac:dyDescent="0.25">
      <c r="A879" s="3"/>
      <c r="B879" s="19"/>
      <c r="C879" s="5"/>
      <c r="D879" s="5"/>
      <c r="E879" s="5"/>
      <c r="F879" s="6"/>
      <c r="G879" s="7"/>
      <c r="H879" s="7"/>
      <c r="I879" s="7"/>
      <c r="J879" s="8"/>
      <c r="K879" s="9"/>
      <c r="L879" s="5"/>
      <c r="M879" s="9"/>
      <c r="N879" s="21"/>
      <c r="O879" s="20"/>
      <c r="P879" s="21"/>
      <c r="Q879" s="21"/>
      <c r="R879" s="21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12.75" customHeight="1" x14ac:dyDescent="0.25">
      <c r="A880" s="3"/>
      <c r="B880" s="19"/>
      <c r="C880" s="5"/>
      <c r="D880" s="5"/>
      <c r="E880" s="5"/>
      <c r="F880" s="6"/>
      <c r="G880" s="7"/>
      <c r="H880" s="7"/>
      <c r="I880" s="7"/>
      <c r="J880" s="8"/>
      <c r="K880" s="9"/>
      <c r="L880" s="5"/>
      <c r="M880" s="9"/>
      <c r="N880" s="21"/>
      <c r="O880" s="20"/>
      <c r="P880" s="21"/>
      <c r="Q880" s="21"/>
      <c r="R880" s="21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12.75" customHeight="1" x14ac:dyDescent="0.25">
      <c r="A881" s="3"/>
      <c r="B881" s="19"/>
      <c r="C881" s="5"/>
      <c r="D881" s="5"/>
      <c r="E881" s="5"/>
      <c r="F881" s="6"/>
      <c r="G881" s="7"/>
      <c r="H881" s="7"/>
      <c r="I881" s="7"/>
      <c r="J881" s="8"/>
      <c r="K881" s="9"/>
      <c r="L881" s="5"/>
      <c r="M881" s="9"/>
      <c r="N881" s="21"/>
      <c r="O881" s="20"/>
      <c r="P881" s="21"/>
      <c r="Q881" s="21"/>
      <c r="R881" s="21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12.75" customHeight="1" x14ac:dyDescent="0.25">
      <c r="A882" s="3"/>
      <c r="B882" s="19"/>
      <c r="C882" s="5"/>
      <c r="D882" s="5"/>
      <c r="E882" s="5"/>
      <c r="F882" s="6"/>
      <c r="G882" s="7"/>
      <c r="H882" s="7"/>
      <c r="I882" s="7"/>
      <c r="J882" s="8"/>
      <c r="K882" s="9"/>
      <c r="L882" s="5"/>
      <c r="M882" s="9"/>
      <c r="N882" s="21"/>
      <c r="O882" s="20"/>
      <c r="P882" s="21"/>
      <c r="Q882" s="21"/>
      <c r="R882" s="21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12.75" customHeight="1" x14ac:dyDescent="0.25">
      <c r="A883" s="3"/>
      <c r="B883" s="19"/>
      <c r="C883" s="5"/>
      <c r="D883" s="5"/>
      <c r="E883" s="5"/>
      <c r="F883" s="6"/>
      <c r="G883" s="7"/>
      <c r="H883" s="7"/>
      <c r="I883" s="7"/>
      <c r="J883" s="8"/>
      <c r="K883" s="9"/>
      <c r="L883" s="5"/>
      <c r="M883" s="9"/>
      <c r="N883" s="21"/>
      <c r="O883" s="20"/>
      <c r="P883" s="21"/>
      <c r="Q883" s="21"/>
      <c r="R883" s="21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12.75" customHeight="1" x14ac:dyDescent="0.25">
      <c r="A884" s="3"/>
      <c r="B884" s="19"/>
      <c r="C884" s="5"/>
      <c r="D884" s="5"/>
      <c r="E884" s="5"/>
      <c r="F884" s="6"/>
      <c r="G884" s="7"/>
      <c r="H884" s="7"/>
      <c r="I884" s="7"/>
      <c r="J884" s="8"/>
      <c r="K884" s="9"/>
      <c r="L884" s="5"/>
      <c r="M884" s="9"/>
      <c r="N884" s="21"/>
      <c r="O884" s="20"/>
      <c r="P884" s="21"/>
      <c r="Q884" s="21"/>
      <c r="R884" s="21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12.75" customHeight="1" x14ac:dyDescent="0.25">
      <c r="A885" s="3"/>
      <c r="B885" s="19"/>
      <c r="C885" s="5"/>
      <c r="D885" s="5"/>
      <c r="E885" s="5"/>
      <c r="F885" s="6"/>
      <c r="G885" s="7"/>
      <c r="H885" s="7"/>
      <c r="I885" s="7"/>
      <c r="J885" s="8"/>
      <c r="K885" s="9"/>
      <c r="L885" s="5"/>
      <c r="M885" s="9"/>
      <c r="N885" s="21"/>
      <c r="O885" s="20"/>
      <c r="P885" s="21"/>
      <c r="Q885" s="21"/>
      <c r="R885" s="21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12.75" customHeight="1" x14ac:dyDescent="0.25">
      <c r="A886" s="3"/>
      <c r="B886" s="19"/>
      <c r="C886" s="5"/>
      <c r="D886" s="5"/>
      <c r="E886" s="5"/>
      <c r="F886" s="6"/>
      <c r="G886" s="7"/>
      <c r="H886" s="7"/>
      <c r="I886" s="7"/>
      <c r="J886" s="8"/>
      <c r="K886" s="9"/>
      <c r="L886" s="5"/>
      <c r="M886" s="9"/>
      <c r="N886" s="21"/>
      <c r="O886" s="20"/>
      <c r="P886" s="21"/>
      <c r="Q886" s="21"/>
      <c r="R886" s="21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12.75" customHeight="1" x14ac:dyDescent="0.25">
      <c r="A887" s="3"/>
      <c r="B887" s="19"/>
      <c r="C887" s="5"/>
      <c r="D887" s="5"/>
      <c r="E887" s="5"/>
      <c r="F887" s="6"/>
      <c r="G887" s="7"/>
      <c r="H887" s="7"/>
      <c r="I887" s="7"/>
      <c r="J887" s="8"/>
      <c r="K887" s="9"/>
      <c r="L887" s="5"/>
      <c r="M887" s="9"/>
      <c r="N887" s="21"/>
      <c r="O887" s="20"/>
      <c r="P887" s="21"/>
      <c r="Q887" s="21"/>
      <c r="R887" s="21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12.75" customHeight="1" x14ac:dyDescent="0.25">
      <c r="A888" s="3"/>
      <c r="B888" s="19"/>
      <c r="C888" s="5"/>
      <c r="D888" s="5"/>
      <c r="E888" s="5"/>
      <c r="F888" s="6"/>
      <c r="G888" s="7"/>
      <c r="H888" s="7"/>
      <c r="I888" s="7"/>
      <c r="J888" s="8"/>
      <c r="K888" s="9"/>
      <c r="L888" s="5"/>
      <c r="M888" s="9"/>
      <c r="N888" s="21"/>
      <c r="O888" s="20"/>
      <c r="P888" s="21"/>
      <c r="Q888" s="21"/>
      <c r="R888" s="21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12.75" customHeight="1" x14ac:dyDescent="0.25">
      <c r="A889" s="3"/>
      <c r="B889" s="19"/>
      <c r="C889" s="5"/>
      <c r="D889" s="5"/>
      <c r="E889" s="5"/>
      <c r="F889" s="6"/>
      <c r="G889" s="7"/>
      <c r="H889" s="7"/>
      <c r="I889" s="7"/>
      <c r="J889" s="8"/>
      <c r="K889" s="9"/>
      <c r="L889" s="5"/>
      <c r="M889" s="9"/>
      <c r="N889" s="21"/>
      <c r="O889" s="20"/>
      <c r="P889" s="21"/>
      <c r="Q889" s="21"/>
      <c r="R889" s="21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12.75" customHeight="1" x14ac:dyDescent="0.25">
      <c r="A890" s="3"/>
      <c r="B890" s="19"/>
      <c r="C890" s="5"/>
      <c r="D890" s="5"/>
      <c r="E890" s="5"/>
      <c r="F890" s="6"/>
      <c r="G890" s="7"/>
      <c r="H890" s="7"/>
      <c r="I890" s="7"/>
      <c r="J890" s="8"/>
      <c r="K890" s="9"/>
      <c r="L890" s="5"/>
      <c r="M890" s="9"/>
      <c r="N890" s="21"/>
      <c r="O890" s="20"/>
      <c r="P890" s="21"/>
      <c r="Q890" s="21"/>
      <c r="R890" s="21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12.75" customHeight="1" x14ac:dyDescent="0.25">
      <c r="A891" s="3"/>
      <c r="B891" s="19"/>
      <c r="C891" s="5"/>
      <c r="D891" s="5"/>
      <c r="E891" s="5"/>
      <c r="F891" s="6"/>
      <c r="G891" s="7"/>
      <c r="H891" s="7"/>
      <c r="I891" s="7"/>
      <c r="J891" s="8"/>
      <c r="K891" s="9"/>
      <c r="L891" s="5"/>
      <c r="M891" s="9"/>
      <c r="N891" s="21"/>
      <c r="O891" s="20"/>
      <c r="P891" s="21"/>
      <c r="Q891" s="21"/>
      <c r="R891" s="21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12.75" customHeight="1" x14ac:dyDescent="0.25">
      <c r="A892" s="3"/>
      <c r="B892" s="19"/>
      <c r="C892" s="5"/>
      <c r="D892" s="5"/>
      <c r="E892" s="5"/>
      <c r="F892" s="6"/>
      <c r="G892" s="7"/>
      <c r="H892" s="7"/>
      <c r="I892" s="7"/>
      <c r="J892" s="8"/>
      <c r="K892" s="9"/>
      <c r="L892" s="5"/>
      <c r="M892" s="9"/>
      <c r="N892" s="21"/>
      <c r="O892" s="20"/>
      <c r="P892" s="21"/>
      <c r="Q892" s="21"/>
      <c r="R892" s="21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12.75" customHeight="1" x14ac:dyDescent="0.25">
      <c r="A893" s="3"/>
      <c r="B893" s="19"/>
      <c r="C893" s="5"/>
      <c r="D893" s="5"/>
      <c r="E893" s="5"/>
      <c r="F893" s="6"/>
      <c r="G893" s="7"/>
      <c r="H893" s="7"/>
      <c r="I893" s="7"/>
      <c r="J893" s="8"/>
      <c r="K893" s="9"/>
      <c r="L893" s="5"/>
      <c r="M893" s="9"/>
      <c r="N893" s="21"/>
      <c r="O893" s="20"/>
      <c r="P893" s="21"/>
      <c r="Q893" s="21"/>
      <c r="R893" s="21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12.75" customHeight="1" x14ac:dyDescent="0.25">
      <c r="A894" s="3"/>
      <c r="B894" s="19"/>
      <c r="C894" s="5"/>
      <c r="D894" s="5"/>
      <c r="E894" s="5"/>
      <c r="F894" s="6"/>
      <c r="G894" s="7"/>
      <c r="H894" s="7"/>
      <c r="I894" s="7"/>
      <c r="J894" s="8"/>
      <c r="K894" s="9"/>
      <c r="L894" s="5"/>
      <c r="M894" s="9"/>
      <c r="N894" s="21"/>
      <c r="O894" s="20"/>
      <c r="P894" s="21"/>
      <c r="Q894" s="21"/>
      <c r="R894" s="21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12.75" customHeight="1" x14ac:dyDescent="0.25">
      <c r="A895" s="3"/>
      <c r="B895" s="19"/>
      <c r="C895" s="5"/>
      <c r="D895" s="5"/>
      <c r="E895" s="5"/>
      <c r="F895" s="6"/>
      <c r="G895" s="7"/>
      <c r="H895" s="7"/>
      <c r="I895" s="7"/>
      <c r="J895" s="8"/>
      <c r="K895" s="9"/>
      <c r="L895" s="5"/>
      <c r="M895" s="9"/>
      <c r="N895" s="21"/>
      <c r="O895" s="20"/>
      <c r="P895" s="21"/>
      <c r="Q895" s="21"/>
      <c r="R895" s="21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12.75" customHeight="1" x14ac:dyDescent="0.25">
      <c r="A896" s="3"/>
      <c r="B896" s="19"/>
      <c r="C896" s="5"/>
      <c r="D896" s="5"/>
      <c r="E896" s="5"/>
      <c r="F896" s="6"/>
      <c r="G896" s="7"/>
      <c r="H896" s="7"/>
      <c r="I896" s="7"/>
      <c r="J896" s="8"/>
      <c r="K896" s="9"/>
      <c r="L896" s="5"/>
      <c r="M896" s="9"/>
      <c r="N896" s="21"/>
      <c r="O896" s="20"/>
      <c r="P896" s="21"/>
      <c r="Q896" s="21"/>
      <c r="R896" s="21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12.75" customHeight="1" x14ac:dyDescent="0.25">
      <c r="A897" s="3"/>
      <c r="B897" s="19"/>
      <c r="C897" s="5"/>
      <c r="D897" s="5"/>
      <c r="E897" s="5"/>
      <c r="F897" s="6"/>
      <c r="G897" s="7"/>
      <c r="H897" s="7"/>
      <c r="I897" s="7"/>
      <c r="J897" s="8"/>
      <c r="K897" s="9"/>
      <c r="L897" s="5"/>
      <c r="M897" s="9"/>
      <c r="N897" s="21"/>
      <c r="O897" s="20"/>
      <c r="P897" s="21"/>
      <c r="Q897" s="21"/>
      <c r="R897" s="21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12.75" customHeight="1" x14ac:dyDescent="0.25">
      <c r="A898" s="3"/>
      <c r="B898" s="19"/>
      <c r="C898" s="5"/>
      <c r="D898" s="5"/>
      <c r="E898" s="5"/>
      <c r="F898" s="6"/>
      <c r="G898" s="7"/>
      <c r="H898" s="7"/>
      <c r="I898" s="7"/>
      <c r="J898" s="8"/>
      <c r="K898" s="9"/>
      <c r="L898" s="5"/>
      <c r="M898" s="9"/>
      <c r="N898" s="21"/>
      <c r="O898" s="20"/>
      <c r="P898" s="21"/>
      <c r="Q898" s="21"/>
      <c r="R898" s="21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12.75" customHeight="1" x14ac:dyDescent="0.25">
      <c r="A899" s="3"/>
      <c r="B899" s="19"/>
      <c r="C899" s="5"/>
      <c r="D899" s="5"/>
      <c r="E899" s="5"/>
      <c r="F899" s="6"/>
      <c r="G899" s="7"/>
      <c r="H899" s="7"/>
      <c r="I899" s="7"/>
      <c r="J899" s="8"/>
      <c r="K899" s="9"/>
      <c r="L899" s="5"/>
      <c r="M899" s="9"/>
      <c r="N899" s="21"/>
      <c r="O899" s="20"/>
      <c r="P899" s="21"/>
      <c r="Q899" s="21"/>
      <c r="R899" s="21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12.75" customHeight="1" x14ac:dyDescent="0.25">
      <c r="A900" s="3"/>
      <c r="B900" s="19"/>
      <c r="C900" s="5"/>
      <c r="D900" s="5"/>
      <c r="E900" s="5"/>
      <c r="F900" s="6"/>
      <c r="G900" s="7"/>
      <c r="H900" s="7"/>
      <c r="I900" s="7"/>
      <c r="J900" s="8"/>
      <c r="K900" s="9"/>
      <c r="L900" s="5"/>
      <c r="M900" s="9"/>
      <c r="N900" s="21"/>
      <c r="O900" s="20"/>
      <c r="P900" s="21"/>
      <c r="Q900" s="21"/>
      <c r="R900" s="21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12.75" customHeight="1" x14ac:dyDescent="0.25">
      <c r="A901" s="3"/>
      <c r="B901" s="19"/>
      <c r="C901" s="5"/>
      <c r="D901" s="5"/>
      <c r="E901" s="5"/>
      <c r="F901" s="6"/>
      <c r="G901" s="7"/>
      <c r="H901" s="7"/>
      <c r="I901" s="7"/>
      <c r="J901" s="8"/>
      <c r="K901" s="9"/>
      <c r="L901" s="5"/>
      <c r="M901" s="9"/>
      <c r="N901" s="21"/>
      <c r="O901" s="20"/>
      <c r="P901" s="21"/>
      <c r="Q901" s="21"/>
      <c r="R901" s="21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12.75" customHeight="1" x14ac:dyDescent="0.25">
      <c r="A902" s="3"/>
      <c r="B902" s="19"/>
      <c r="C902" s="5"/>
      <c r="D902" s="5"/>
      <c r="E902" s="5"/>
      <c r="F902" s="6"/>
      <c r="G902" s="7"/>
      <c r="H902" s="7"/>
      <c r="I902" s="7"/>
      <c r="J902" s="8"/>
      <c r="K902" s="9"/>
      <c r="L902" s="5"/>
      <c r="M902" s="9"/>
      <c r="N902" s="21"/>
      <c r="O902" s="20"/>
      <c r="P902" s="21"/>
      <c r="Q902" s="21"/>
      <c r="R902" s="21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12.75" customHeight="1" x14ac:dyDescent="0.25">
      <c r="A903" s="3"/>
      <c r="B903" s="19"/>
      <c r="C903" s="5"/>
      <c r="D903" s="5"/>
      <c r="E903" s="5"/>
      <c r="F903" s="6"/>
      <c r="G903" s="7"/>
      <c r="H903" s="7"/>
      <c r="I903" s="7"/>
      <c r="J903" s="8"/>
      <c r="K903" s="9"/>
      <c r="L903" s="5"/>
      <c r="M903" s="9"/>
      <c r="N903" s="21"/>
      <c r="O903" s="20"/>
      <c r="P903" s="21"/>
      <c r="Q903" s="21"/>
      <c r="R903" s="21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12.75" customHeight="1" x14ac:dyDescent="0.25">
      <c r="A904" s="3"/>
      <c r="B904" s="19"/>
      <c r="C904" s="5"/>
      <c r="D904" s="5"/>
      <c r="E904" s="5"/>
      <c r="F904" s="6"/>
      <c r="G904" s="7"/>
      <c r="H904" s="7"/>
      <c r="I904" s="7"/>
      <c r="J904" s="8"/>
      <c r="K904" s="9"/>
      <c r="L904" s="5"/>
      <c r="M904" s="9"/>
      <c r="N904" s="21"/>
      <c r="O904" s="20"/>
      <c r="P904" s="21"/>
      <c r="Q904" s="21"/>
      <c r="R904" s="21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12.75" customHeight="1" x14ac:dyDescent="0.25">
      <c r="A905" s="3"/>
      <c r="B905" s="19"/>
      <c r="C905" s="5"/>
      <c r="D905" s="5"/>
      <c r="E905" s="5"/>
      <c r="F905" s="6"/>
      <c r="G905" s="7"/>
      <c r="H905" s="7"/>
      <c r="I905" s="7"/>
      <c r="J905" s="8"/>
      <c r="K905" s="9"/>
      <c r="L905" s="5"/>
      <c r="M905" s="9"/>
      <c r="N905" s="21"/>
      <c r="O905" s="20"/>
      <c r="P905" s="21"/>
      <c r="Q905" s="21"/>
      <c r="R905" s="21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12.75" customHeight="1" x14ac:dyDescent="0.25">
      <c r="A906" s="3"/>
      <c r="B906" s="19"/>
      <c r="C906" s="5"/>
      <c r="D906" s="5"/>
      <c r="E906" s="5"/>
      <c r="F906" s="6"/>
      <c r="G906" s="7"/>
      <c r="H906" s="7"/>
      <c r="I906" s="7"/>
      <c r="J906" s="8"/>
      <c r="K906" s="9"/>
      <c r="L906" s="5"/>
      <c r="M906" s="9"/>
      <c r="N906" s="21"/>
      <c r="O906" s="20"/>
      <c r="P906" s="21"/>
      <c r="Q906" s="21"/>
      <c r="R906" s="21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12.75" customHeight="1" x14ac:dyDescent="0.25">
      <c r="A907" s="3"/>
      <c r="B907" s="19"/>
      <c r="C907" s="5"/>
      <c r="D907" s="5"/>
      <c r="E907" s="5"/>
      <c r="F907" s="6"/>
      <c r="G907" s="7"/>
      <c r="H907" s="7"/>
      <c r="I907" s="7"/>
      <c r="J907" s="8"/>
      <c r="K907" s="9"/>
      <c r="L907" s="5"/>
      <c r="M907" s="9"/>
      <c r="N907" s="21"/>
      <c r="O907" s="20"/>
      <c r="P907" s="21"/>
      <c r="Q907" s="21"/>
      <c r="R907" s="21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12.75" customHeight="1" x14ac:dyDescent="0.25">
      <c r="A908" s="3"/>
      <c r="B908" s="19"/>
      <c r="C908" s="5"/>
      <c r="D908" s="5"/>
      <c r="E908" s="5"/>
      <c r="F908" s="6"/>
      <c r="G908" s="7"/>
      <c r="H908" s="7"/>
      <c r="I908" s="7"/>
      <c r="J908" s="8"/>
      <c r="K908" s="9"/>
      <c r="L908" s="5"/>
      <c r="M908" s="9"/>
      <c r="N908" s="21"/>
      <c r="O908" s="20"/>
      <c r="P908" s="21"/>
      <c r="Q908" s="21"/>
      <c r="R908" s="21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12.75" customHeight="1" x14ac:dyDescent="0.25">
      <c r="A909" s="3"/>
      <c r="B909" s="19"/>
      <c r="C909" s="5"/>
      <c r="D909" s="5"/>
      <c r="E909" s="5"/>
      <c r="F909" s="6"/>
      <c r="G909" s="7"/>
      <c r="H909" s="7"/>
      <c r="I909" s="7"/>
      <c r="J909" s="8"/>
      <c r="K909" s="9"/>
      <c r="L909" s="5"/>
      <c r="M909" s="9"/>
      <c r="N909" s="21"/>
      <c r="O909" s="20"/>
      <c r="P909" s="21"/>
      <c r="Q909" s="21"/>
      <c r="R909" s="21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12.75" customHeight="1" x14ac:dyDescent="0.25">
      <c r="A910" s="3"/>
      <c r="B910" s="19"/>
      <c r="C910" s="5"/>
      <c r="D910" s="5"/>
      <c r="E910" s="5"/>
      <c r="F910" s="6"/>
      <c r="G910" s="7"/>
      <c r="H910" s="7"/>
      <c r="I910" s="7"/>
      <c r="J910" s="8"/>
      <c r="K910" s="9"/>
      <c r="L910" s="5"/>
      <c r="M910" s="9"/>
      <c r="N910" s="21"/>
      <c r="O910" s="20"/>
      <c r="P910" s="21"/>
      <c r="Q910" s="21"/>
      <c r="R910" s="21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12.75" customHeight="1" x14ac:dyDescent="0.25">
      <c r="A911" s="3"/>
      <c r="B911" s="19"/>
      <c r="C911" s="5"/>
      <c r="D911" s="5"/>
      <c r="E911" s="5"/>
      <c r="F911" s="6"/>
      <c r="G911" s="7"/>
      <c r="H911" s="7"/>
      <c r="I911" s="7"/>
      <c r="J911" s="8"/>
      <c r="K911" s="9"/>
      <c r="L911" s="5"/>
      <c r="M911" s="9"/>
      <c r="N911" s="21"/>
      <c r="O911" s="20"/>
      <c r="P911" s="21"/>
      <c r="Q911" s="21"/>
      <c r="R911" s="21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12.75" customHeight="1" x14ac:dyDescent="0.25">
      <c r="A912" s="3"/>
      <c r="B912" s="19"/>
      <c r="C912" s="5"/>
      <c r="D912" s="5"/>
      <c r="E912" s="5"/>
      <c r="F912" s="6"/>
      <c r="G912" s="7"/>
      <c r="H912" s="7"/>
      <c r="I912" s="7"/>
      <c r="J912" s="8"/>
      <c r="K912" s="9"/>
      <c r="L912" s="5"/>
      <c r="M912" s="9"/>
      <c r="N912" s="21"/>
      <c r="O912" s="20"/>
      <c r="P912" s="21"/>
      <c r="Q912" s="21"/>
      <c r="R912" s="21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12.75" customHeight="1" x14ac:dyDescent="0.25">
      <c r="A913" s="3"/>
      <c r="B913" s="19"/>
      <c r="C913" s="5"/>
      <c r="D913" s="5"/>
      <c r="E913" s="5"/>
      <c r="F913" s="6"/>
      <c r="G913" s="7"/>
      <c r="H913" s="7"/>
      <c r="I913" s="7"/>
      <c r="J913" s="8"/>
      <c r="K913" s="9"/>
      <c r="L913" s="5"/>
      <c r="M913" s="9"/>
      <c r="N913" s="21"/>
      <c r="O913" s="20"/>
      <c r="P913" s="21"/>
      <c r="Q913" s="21"/>
      <c r="R913" s="21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12.75" customHeight="1" x14ac:dyDescent="0.25">
      <c r="A914" s="3"/>
      <c r="B914" s="19"/>
      <c r="C914" s="5"/>
      <c r="D914" s="5"/>
      <c r="E914" s="5"/>
      <c r="F914" s="6"/>
      <c r="G914" s="7"/>
      <c r="H914" s="7"/>
      <c r="I914" s="7"/>
      <c r="J914" s="8"/>
      <c r="K914" s="9"/>
      <c r="L914" s="5"/>
      <c r="M914" s="9"/>
      <c r="N914" s="21"/>
      <c r="O914" s="20"/>
      <c r="P914" s="21"/>
      <c r="Q914" s="21"/>
      <c r="R914" s="21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12.75" customHeight="1" x14ac:dyDescent="0.25">
      <c r="A915" s="3"/>
      <c r="B915" s="19"/>
      <c r="C915" s="5"/>
      <c r="D915" s="5"/>
      <c r="E915" s="5"/>
      <c r="F915" s="6"/>
      <c r="G915" s="7"/>
      <c r="H915" s="7"/>
      <c r="I915" s="7"/>
      <c r="J915" s="8"/>
      <c r="K915" s="9"/>
      <c r="L915" s="5"/>
      <c r="M915" s="9"/>
      <c r="N915" s="21"/>
      <c r="O915" s="20"/>
      <c r="P915" s="21"/>
      <c r="Q915" s="21"/>
      <c r="R915" s="21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12.75" customHeight="1" x14ac:dyDescent="0.25">
      <c r="A916" s="3"/>
      <c r="B916" s="19"/>
      <c r="C916" s="5"/>
      <c r="D916" s="5"/>
      <c r="E916" s="5"/>
      <c r="F916" s="6"/>
      <c r="G916" s="7"/>
      <c r="H916" s="7"/>
      <c r="I916" s="7"/>
      <c r="J916" s="8"/>
      <c r="K916" s="9"/>
      <c r="L916" s="5"/>
      <c r="M916" s="9"/>
      <c r="N916" s="21"/>
      <c r="O916" s="20"/>
      <c r="P916" s="21"/>
      <c r="Q916" s="21"/>
      <c r="R916" s="21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12.75" customHeight="1" x14ac:dyDescent="0.25">
      <c r="A917" s="3"/>
      <c r="B917" s="19"/>
      <c r="C917" s="5"/>
      <c r="D917" s="5"/>
      <c r="E917" s="5"/>
      <c r="F917" s="6"/>
      <c r="G917" s="7"/>
      <c r="H917" s="7"/>
      <c r="I917" s="7"/>
      <c r="J917" s="8"/>
      <c r="K917" s="9"/>
      <c r="L917" s="5"/>
      <c r="M917" s="9"/>
      <c r="N917" s="21"/>
      <c r="O917" s="20"/>
      <c r="P917" s="21"/>
      <c r="Q917" s="21"/>
      <c r="R917" s="21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12.75" customHeight="1" x14ac:dyDescent="0.25">
      <c r="A918" s="3"/>
      <c r="B918" s="19"/>
      <c r="C918" s="5"/>
      <c r="D918" s="5"/>
      <c r="E918" s="5"/>
      <c r="F918" s="6"/>
      <c r="G918" s="7"/>
      <c r="H918" s="7"/>
      <c r="I918" s="7"/>
      <c r="J918" s="8"/>
      <c r="K918" s="9"/>
      <c r="L918" s="5"/>
      <c r="M918" s="9"/>
      <c r="N918" s="21"/>
      <c r="O918" s="20"/>
      <c r="P918" s="21"/>
      <c r="Q918" s="21"/>
      <c r="R918" s="21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12.75" customHeight="1" x14ac:dyDescent="0.25">
      <c r="A919" s="3"/>
      <c r="B919" s="19"/>
      <c r="C919" s="5"/>
      <c r="D919" s="5"/>
      <c r="E919" s="5"/>
      <c r="F919" s="6"/>
      <c r="G919" s="7"/>
      <c r="H919" s="7"/>
      <c r="I919" s="7"/>
      <c r="J919" s="8"/>
      <c r="K919" s="9"/>
      <c r="L919" s="5"/>
      <c r="M919" s="9"/>
      <c r="N919" s="21"/>
      <c r="O919" s="20"/>
      <c r="P919" s="21"/>
      <c r="Q919" s="21"/>
      <c r="R919" s="21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12.75" customHeight="1" x14ac:dyDescent="0.25">
      <c r="A920" s="3"/>
      <c r="B920" s="19"/>
      <c r="C920" s="5"/>
      <c r="D920" s="5"/>
      <c r="E920" s="5"/>
      <c r="F920" s="6"/>
      <c r="G920" s="7"/>
      <c r="H920" s="7"/>
      <c r="I920" s="7"/>
      <c r="J920" s="8"/>
      <c r="K920" s="9"/>
      <c r="L920" s="5"/>
      <c r="M920" s="9"/>
      <c r="N920" s="21"/>
      <c r="O920" s="20"/>
      <c r="P920" s="21"/>
      <c r="Q920" s="21"/>
      <c r="R920" s="21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12.75" customHeight="1" x14ac:dyDescent="0.25">
      <c r="A921" s="3"/>
      <c r="B921" s="19"/>
      <c r="C921" s="5"/>
      <c r="D921" s="5"/>
      <c r="E921" s="5"/>
      <c r="F921" s="6"/>
      <c r="G921" s="7"/>
      <c r="H921" s="7"/>
      <c r="I921" s="7"/>
      <c r="J921" s="8"/>
      <c r="K921" s="9"/>
      <c r="L921" s="5"/>
      <c r="M921" s="9"/>
      <c r="N921" s="21"/>
      <c r="O921" s="20"/>
      <c r="P921" s="21"/>
      <c r="Q921" s="21"/>
      <c r="R921" s="21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12.75" customHeight="1" x14ac:dyDescent="0.25">
      <c r="A922" s="3"/>
      <c r="B922" s="19"/>
      <c r="C922" s="5"/>
      <c r="D922" s="5"/>
      <c r="E922" s="5"/>
      <c r="F922" s="6"/>
      <c r="G922" s="7"/>
      <c r="H922" s="7"/>
      <c r="I922" s="7"/>
      <c r="J922" s="8"/>
      <c r="K922" s="9"/>
      <c r="L922" s="5"/>
      <c r="M922" s="9"/>
      <c r="N922" s="21"/>
      <c r="O922" s="20"/>
      <c r="P922" s="21"/>
      <c r="Q922" s="21"/>
      <c r="R922" s="21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12.75" customHeight="1" x14ac:dyDescent="0.25">
      <c r="A923" s="3"/>
      <c r="B923" s="19"/>
      <c r="C923" s="5"/>
      <c r="D923" s="5"/>
      <c r="E923" s="5"/>
      <c r="F923" s="6"/>
      <c r="G923" s="7"/>
      <c r="H923" s="7"/>
      <c r="I923" s="7"/>
      <c r="J923" s="8"/>
      <c r="K923" s="9"/>
      <c r="L923" s="5"/>
      <c r="M923" s="9"/>
      <c r="N923" s="21"/>
      <c r="O923" s="20"/>
      <c r="P923" s="21"/>
      <c r="Q923" s="21"/>
      <c r="R923" s="21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12.75" customHeight="1" x14ac:dyDescent="0.25">
      <c r="A924" s="3"/>
      <c r="B924" s="19"/>
      <c r="C924" s="5"/>
      <c r="D924" s="5"/>
      <c r="E924" s="5"/>
      <c r="F924" s="6"/>
      <c r="G924" s="7"/>
      <c r="H924" s="7"/>
      <c r="I924" s="7"/>
      <c r="J924" s="8"/>
      <c r="K924" s="9"/>
      <c r="L924" s="5"/>
      <c r="M924" s="9"/>
      <c r="N924" s="21"/>
      <c r="O924" s="20"/>
      <c r="P924" s="21"/>
      <c r="Q924" s="21"/>
      <c r="R924" s="21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12.75" customHeight="1" x14ac:dyDescent="0.25">
      <c r="A925" s="3"/>
      <c r="B925" s="19"/>
      <c r="C925" s="5"/>
      <c r="D925" s="5"/>
      <c r="E925" s="5"/>
      <c r="F925" s="6"/>
      <c r="G925" s="7"/>
      <c r="H925" s="7"/>
      <c r="I925" s="7"/>
      <c r="J925" s="8"/>
      <c r="K925" s="9"/>
      <c r="L925" s="5"/>
      <c r="M925" s="9"/>
      <c r="N925" s="21"/>
      <c r="O925" s="20"/>
      <c r="P925" s="21"/>
      <c r="Q925" s="21"/>
      <c r="R925" s="21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12.75" customHeight="1" x14ac:dyDescent="0.25">
      <c r="A926" s="3"/>
      <c r="B926" s="19"/>
      <c r="C926" s="5"/>
      <c r="D926" s="5"/>
      <c r="E926" s="5"/>
      <c r="F926" s="6"/>
      <c r="G926" s="7"/>
      <c r="H926" s="7"/>
      <c r="I926" s="7"/>
      <c r="J926" s="8"/>
      <c r="K926" s="9"/>
      <c r="L926" s="5"/>
      <c r="M926" s="9"/>
      <c r="N926" s="21"/>
      <c r="O926" s="20"/>
      <c r="P926" s="21"/>
      <c r="Q926" s="21"/>
      <c r="R926" s="21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12.75" customHeight="1" x14ac:dyDescent="0.25">
      <c r="A927" s="3"/>
      <c r="B927" s="19"/>
      <c r="C927" s="5"/>
      <c r="D927" s="5"/>
      <c r="E927" s="5"/>
      <c r="F927" s="6"/>
      <c r="G927" s="7"/>
      <c r="H927" s="7"/>
      <c r="I927" s="7"/>
      <c r="J927" s="8"/>
      <c r="K927" s="9"/>
      <c r="L927" s="5"/>
      <c r="M927" s="9"/>
      <c r="N927" s="21"/>
      <c r="O927" s="20"/>
      <c r="P927" s="21"/>
      <c r="Q927" s="21"/>
      <c r="R927" s="21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12.75" customHeight="1" x14ac:dyDescent="0.25">
      <c r="A928" s="3"/>
      <c r="B928" s="19"/>
      <c r="C928" s="5"/>
      <c r="D928" s="5"/>
      <c r="E928" s="5"/>
      <c r="F928" s="6"/>
      <c r="G928" s="7"/>
      <c r="H928" s="7"/>
      <c r="I928" s="7"/>
      <c r="J928" s="8"/>
      <c r="K928" s="9"/>
      <c r="L928" s="5"/>
      <c r="M928" s="9"/>
      <c r="N928" s="21"/>
      <c r="O928" s="20"/>
      <c r="P928" s="21"/>
      <c r="Q928" s="21"/>
      <c r="R928" s="21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12.75" customHeight="1" x14ac:dyDescent="0.25">
      <c r="A929" s="3"/>
      <c r="B929" s="19"/>
      <c r="C929" s="5"/>
      <c r="D929" s="5"/>
      <c r="E929" s="5"/>
      <c r="F929" s="6"/>
      <c r="G929" s="7"/>
      <c r="H929" s="7"/>
      <c r="I929" s="7"/>
      <c r="J929" s="8"/>
      <c r="K929" s="9"/>
      <c r="L929" s="5"/>
      <c r="M929" s="9"/>
      <c r="N929" s="21"/>
      <c r="O929" s="20"/>
      <c r="P929" s="21"/>
      <c r="Q929" s="21"/>
      <c r="R929" s="21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12.75" customHeight="1" x14ac:dyDescent="0.25">
      <c r="A930" s="3"/>
      <c r="B930" s="19"/>
      <c r="C930" s="5"/>
      <c r="D930" s="5"/>
      <c r="E930" s="5"/>
      <c r="F930" s="6"/>
      <c r="G930" s="7"/>
      <c r="H930" s="7"/>
      <c r="I930" s="7"/>
      <c r="J930" s="8"/>
      <c r="K930" s="9"/>
      <c r="L930" s="5"/>
      <c r="M930" s="9"/>
      <c r="N930" s="21"/>
      <c r="O930" s="20"/>
      <c r="P930" s="21"/>
      <c r="Q930" s="21"/>
      <c r="R930" s="21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12.75" customHeight="1" x14ac:dyDescent="0.25">
      <c r="A931" s="3"/>
      <c r="B931" s="19"/>
      <c r="C931" s="5"/>
      <c r="D931" s="5"/>
      <c r="E931" s="5"/>
      <c r="F931" s="6"/>
      <c r="G931" s="7"/>
      <c r="H931" s="7"/>
      <c r="I931" s="7"/>
      <c r="J931" s="8"/>
      <c r="K931" s="9"/>
      <c r="L931" s="5"/>
      <c r="M931" s="9"/>
      <c r="N931" s="21"/>
      <c r="O931" s="20"/>
      <c r="P931" s="21"/>
      <c r="Q931" s="21"/>
      <c r="R931" s="21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12.75" customHeight="1" x14ac:dyDescent="0.25">
      <c r="A932" s="3"/>
      <c r="B932" s="19"/>
      <c r="C932" s="5"/>
      <c r="D932" s="5"/>
      <c r="E932" s="5"/>
      <c r="F932" s="6"/>
      <c r="G932" s="7"/>
      <c r="H932" s="7"/>
      <c r="I932" s="7"/>
      <c r="J932" s="8"/>
      <c r="K932" s="9"/>
      <c r="L932" s="5"/>
      <c r="M932" s="9"/>
      <c r="N932" s="21"/>
      <c r="O932" s="20"/>
      <c r="P932" s="21"/>
      <c r="Q932" s="21"/>
      <c r="R932" s="21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2.75" customHeight="1" x14ac:dyDescent="0.25">
      <c r="A933" s="3"/>
      <c r="B933" s="19"/>
      <c r="C933" s="5"/>
      <c r="D933" s="5"/>
      <c r="E933" s="5"/>
      <c r="F933" s="6"/>
      <c r="G933" s="7"/>
      <c r="H933" s="7"/>
      <c r="I933" s="7"/>
      <c r="J933" s="8"/>
      <c r="K933" s="9"/>
      <c r="L933" s="5"/>
      <c r="M933" s="9"/>
      <c r="N933" s="21"/>
      <c r="O933" s="20"/>
      <c r="P933" s="21"/>
      <c r="Q933" s="21"/>
      <c r="R933" s="21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2.75" customHeight="1" x14ac:dyDescent="0.25">
      <c r="A934" s="3"/>
      <c r="B934" s="19"/>
      <c r="C934" s="5"/>
      <c r="D934" s="5"/>
      <c r="E934" s="5"/>
      <c r="F934" s="6"/>
      <c r="G934" s="7"/>
      <c r="H934" s="7"/>
      <c r="I934" s="7"/>
      <c r="J934" s="8"/>
      <c r="K934" s="9"/>
      <c r="L934" s="5"/>
      <c r="M934" s="9"/>
      <c r="N934" s="21"/>
      <c r="O934" s="20"/>
      <c r="P934" s="21"/>
      <c r="Q934" s="21"/>
      <c r="R934" s="21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2.75" customHeight="1" x14ac:dyDescent="0.25">
      <c r="A935" s="3"/>
      <c r="B935" s="19"/>
      <c r="C935" s="5"/>
      <c r="D935" s="5"/>
      <c r="E935" s="5"/>
      <c r="F935" s="6"/>
      <c r="G935" s="7"/>
      <c r="H935" s="7"/>
      <c r="I935" s="7"/>
      <c r="J935" s="8"/>
      <c r="K935" s="9"/>
      <c r="L935" s="5"/>
      <c r="M935" s="9"/>
      <c r="N935" s="21"/>
      <c r="O935" s="20"/>
      <c r="P935" s="21"/>
      <c r="Q935" s="21"/>
      <c r="R935" s="21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2.75" customHeight="1" x14ac:dyDescent="0.25">
      <c r="A936" s="3"/>
      <c r="B936" s="19"/>
      <c r="C936" s="5"/>
      <c r="D936" s="5"/>
      <c r="E936" s="5"/>
      <c r="F936" s="6"/>
      <c r="G936" s="7"/>
      <c r="H936" s="7"/>
      <c r="I936" s="7"/>
      <c r="J936" s="8"/>
      <c r="K936" s="9"/>
      <c r="L936" s="5"/>
      <c r="M936" s="9"/>
      <c r="N936" s="21"/>
      <c r="O936" s="20"/>
      <c r="P936" s="21"/>
      <c r="Q936" s="21"/>
      <c r="R936" s="21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2.75" customHeight="1" x14ac:dyDescent="0.25">
      <c r="A937" s="3"/>
      <c r="B937" s="19"/>
      <c r="C937" s="5"/>
      <c r="D937" s="5"/>
      <c r="E937" s="5"/>
      <c r="F937" s="6"/>
      <c r="G937" s="7"/>
      <c r="H937" s="7"/>
      <c r="I937" s="7"/>
      <c r="J937" s="8"/>
      <c r="K937" s="9"/>
      <c r="L937" s="5"/>
      <c r="M937" s="9"/>
      <c r="N937" s="21"/>
      <c r="O937" s="20"/>
      <c r="P937" s="21"/>
      <c r="Q937" s="21"/>
      <c r="R937" s="21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2.75" customHeight="1" x14ac:dyDescent="0.25">
      <c r="A938" s="3"/>
      <c r="B938" s="19"/>
      <c r="C938" s="5"/>
      <c r="D938" s="5"/>
      <c r="E938" s="5"/>
      <c r="F938" s="6"/>
      <c r="G938" s="7"/>
      <c r="H938" s="7"/>
      <c r="I938" s="7"/>
      <c r="J938" s="8"/>
      <c r="K938" s="9"/>
      <c r="L938" s="5"/>
      <c r="M938" s="9"/>
      <c r="N938" s="21"/>
      <c r="O938" s="20"/>
      <c r="P938" s="21"/>
      <c r="Q938" s="21"/>
      <c r="R938" s="21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2.75" customHeight="1" x14ac:dyDescent="0.25">
      <c r="A939" s="3"/>
      <c r="B939" s="19"/>
      <c r="C939" s="5"/>
      <c r="D939" s="5"/>
      <c r="E939" s="5"/>
      <c r="F939" s="6"/>
      <c r="G939" s="7"/>
      <c r="H939" s="7"/>
      <c r="I939" s="7"/>
      <c r="J939" s="8"/>
      <c r="K939" s="9"/>
      <c r="L939" s="5"/>
      <c r="M939" s="9"/>
      <c r="N939" s="21"/>
      <c r="O939" s="20"/>
      <c r="P939" s="21"/>
      <c r="Q939" s="21"/>
      <c r="R939" s="21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2.75" customHeight="1" x14ac:dyDescent="0.25">
      <c r="A940" s="3"/>
      <c r="B940" s="19"/>
      <c r="C940" s="5"/>
      <c r="D940" s="5"/>
      <c r="E940" s="5"/>
      <c r="F940" s="6"/>
      <c r="G940" s="7"/>
      <c r="H940" s="7"/>
      <c r="I940" s="7"/>
      <c r="J940" s="8"/>
      <c r="K940" s="9"/>
      <c r="L940" s="5"/>
      <c r="M940" s="9"/>
      <c r="N940" s="21"/>
      <c r="O940" s="20"/>
      <c r="P940" s="21"/>
      <c r="Q940" s="21"/>
      <c r="R940" s="21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2.75" customHeight="1" x14ac:dyDescent="0.25">
      <c r="A941" s="3"/>
      <c r="B941" s="19"/>
      <c r="C941" s="5"/>
      <c r="D941" s="5"/>
      <c r="E941" s="5"/>
      <c r="F941" s="6"/>
      <c r="G941" s="7"/>
      <c r="H941" s="7"/>
      <c r="I941" s="7"/>
      <c r="J941" s="8"/>
      <c r="K941" s="9"/>
      <c r="L941" s="5"/>
      <c r="M941" s="9"/>
      <c r="N941" s="21"/>
      <c r="O941" s="20"/>
      <c r="P941" s="21"/>
      <c r="Q941" s="21"/>
      <c r="R941" s="21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2.75" customHeight="1" x14ac:dyDescent="0.25">
      <c r="A942" s="3"/>
      <c r="B942" s="19"/>
      <c r="C942" s="5"/>
      <c r="D942" s="5"/>
      <c r="E942" s="5"/>
      <c r="F942" s="6"/>
      <c r="G942" s="7"/>
      <c r="H942" s="7"/>
      <c r="I942" s="7"/>
      <c r="J942" s="8"/>
      <c r="K942" s="9"/>
      <c r="L942" s="5"/>
      <c r="M942" s="9"/>
      <c r="N942" s="21"/>
      <c r="O942" s="20"/>
      <c r="P942" s="21"/>
      <c r="Q942" s="21"/>
      <c r="R942" s="21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2.75" customHeight="1" x14ac:dyDescent="0.25">
      <c r="A943" s="3"/>
      <c r="B943" s="19"/>
      <c r="C943" s="5"/>
      <c r="D943" s="5"/>
      <c r="E943" s="5"/>
      <c r="F943" s="6"/>
      <c r="G943" s="7"/>
      <c r="H943" s="7"/>
      <c r="I943" s="7"/>
      <c r="J943" s="8"/>
      <c r="K943" s="9"/>
      <c r="L943" s="5"/>
      <c r="M943" s="9"/>
      <c r="N943" s="21"/>
      <c r="O943" s="20"/>
      <c r="P943" s="21"/>
      <c r="Q943" s="21"/>
      <c r="R943" s="21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2.75" customHeight="1" x14ac:dyDescent="0.25">
      <c r="A944" s="3"/>
      <c r="B944" s="19"/>
      <c r="C944" s="5"/>
      <c r="D944" s="5"/>
      <c r="E944" s="5"/>
      <c r="F944" s="6"/>
      <c r="G944" s="7"/>
      <c r="H944" s="7"/>
      <c r="I944" s="7"/>
      <c r="J944" s="8"/>
      <c r="K944" s="9"/>
      <c r="L944" s="5"/>
      <c r="M944" s="9"/>
      <c r="N944" s="21"/>
      <c r="O944" s="20"/>
      <c r="P944" s="21"/>
      <c r="Q944" s="21"/>
      <c r="R944" s="21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2.75" customHeight="1" x14ac:dyDescent="0.25">
      <c r="A945" s="3"/>
      <c r="B945" s="19"/>
      <c r="C945" s="5"/>
      <c r="D945" s="5"/>
      <c r="E945" s="5"/>
      <c r="F945" s="6"/>
      <c r="G945" s="7"/>
      <c r="H945" s="7"/>
      <c r="I945" s="7"/>
      <c r="J945" s="8"/>
      <c r="K945" s="9"/>
      <c r="L945" s="5"/>
      <c r="M945" s="9"/>
      <c r="N945" s="21"/>
      <c r="O945" s="20"/>
      <c r="P945" s="21"/>
      <c r="Q945" s="21"/>
      <c r="R945" s="21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2.75" customHeight="1" x14ac:dyDescent="0.25">
      <c r="A946" s="3"/>
      <c r="B946" s="19"/>
      <c r="C946" s="5"/>
      <c r="D946" s="5"/>
      <c r="E946" s="5"/>
      <c r="F946" s="6"/>
      <c r="G946" s="7"/>
      <c r="H946" s="7"/>
      <c r="I946" s="7"/>
      <c r="J946" s="8"/>
      <c r="K946" s="9"/>
      <c r="L946" s="5"/>
      <c r="M946" s="9"/>
      <c r="N946" s="21"/>
      <c r="O946" s="20"/>
      <c r="P946" s="21"/>
      <c r="Q946" s="21"/>
      <c r="R946" s="21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2.75" customHeight="1" x14ac:dyDescent="0.25">
      <c r="A947" s="3"/>
      <c r="B947" s="19"/>
      <c r="C947" s="5"/>
      <c r="D947" s="5"/>
      <c r="E947" s="5"/>
      <c r="F947" s="6"/>
      <c r="G947" s="7"/>
      <c r="H947" s="7"/>
      <c r="I947" s="7"/>
      <c r="J947" s="8"/>
      <c r="K947" s="9"/>
      <c r="L947" s="5"/>
      <c r="M947" s="9"/>
      <c r="N947" s="21"/>
      <c r="O947" s="20"/>
      <c r="P947" s="21"/>
      <c r="Q947" s="21"/>
      <c r="R947" s="21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2.75" customHeight="1" x14ac:dyDescent="0.25">
      <c r="A948" s="3"/>
      <c r="B948" s="19"/>
      <c r="C948" s="5"/>
      <c r="D948" s="5"/>
      <c r="E948" s="5"/>
      <c r="F948" s="6"/>
      <c r="G948" s="7"/>
      <c r="H948" s="7"/>
      <c r="I948" s="7"/>
      <c r="J948" s="8"/>
      <c r="K948" s="9"/>
      <c r="L948" s="5"/>
      <c r="M948" s="9"/>
      <c r="N948" s="21"/>
      <c r="O948" s="20"/>
      <c r="P948" s="21"/>
      <c r="Q948" s="21"/>
      <c r="R948" s="21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2.75" customHeight="1" x14ac:dyDescent="0.25">
      <c r="A949" s="3"/>
      <c r="B949" s="19"/>
      <c r="C949" s="5"/>
      <c r="D949" s="5"/>
      <c r="E949" s="5"/>
      <c r="F949" s="6"/>
      <c r="G949" s="7"/>
      <c r="H949" s="7"/>
      <c r="I949" s="7"/>
      <c r="J949" s="8"/>
      <c r="K949" s="9"/>
      <c r="L949" s="5"/>
      <c r="M949" s="9"/>
      <c r="N949" s="21"/>
      <c r="O949" s="20"/>
      <c r="P949" s="21"/>
      <c r="Q949" s="21"/>
      <c r="R949" s="21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2.75" customHeight="1" x14ac:dyDescent="0.25">
      <c r="A950" s="3"/>
      <c r="B950" s="19"/>
      <c r="C950" s="5"/>
      <c r="D950" s="5"/>
      <c r="E950" s="5"/>
      <c r="F950" s="6"/>
      <c r="G950" s="7"/>
      <c r="H950" s="7"/>
      <c r="I950" s="7"/>
      <c r="J950" s="8"/>
      <c r="K950" s="9"/>
      <c r="L950" s="5"/>
      <c r="M950" s="9"/>
      <c r="N950" s="21"/>
      <c r="O950" s="20"/>
      <c r="P950" s="21"/>
      <c r="Q950" s="21"/>
      <c r="R950" s="21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2.75" customHeight="1" x14ac:dyDescent="0.25">
      <c r="A951" s="3"/>
      <c r="B951" s="19"/>
      <c r="C951" s="5"/>
      <c r="D951" s="5"/>
      <c r="E951" s="5"/>
      <c r="F951" s="6"/>
      <c r="G951" s="7"/>
      <c r="H951" s="7"/>
      <c r="I951" s="7"/>
      <c r="J951" s="8"/>
      <c r="K951" s="9"/>
      <c r="L951" s="5"/>
      <c r="M951" s="9"/>
      <c r="N951" s="21"/>
      <c r="O951" s="20"/>
      <c r="P951" s="21"/>
      <c r="Q951" s="21"/>
      <c r="R951" s="21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12.75" customHeight="1" x14ac:dyDescent="0.25">
      <c r="A952" s="3"/>
      <c r="B952" s="19"/>
      <c r="C952" s="5"/>
      <c r="D952" s="5"/>
      <c r="E952" s="5"/>
      <c r="F952" s="6"/>
      <c r="G952" s="7"/>
      <c r="H952" s="7"/>
      <c r="I952" s="7"/>
      <c r="J952" s="8"/>
      <c r="K952" s="9"/>
      <c r="L952" s="5"/>
      <c r="M952" s="9"/>
      <c r="N952" s="21"/>
      <c r="O952" s="20"/>
      <c r="P952" s="21"/>
      <c r="Q952" s="21"/>
      <c r="R952" s="21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12.75" customHeight="1" x14ac:dyDescent="0.25">
      <c r="A953" s="3"/>
      <c r="B953" s="19"/>
      <c r="C953" s="5"/>
      <c r="D953" s="5"/>
      <c r="E953" s="5"/>
      <c r="F953" s="6"/>
      <c r="G953" s="7"/>
      <c r="H953" s="7"/>
      <c r="I953" s="7"/>
      <c r="J953" s="8"/>
      <c r="K953" s="9"/>
      <c r="L953" s="5"/>
      <c r="M953" s="9"/>
      <c r="N953" s="21"/>
      <c r="O953" s="20"/>
      <c r="P953" s="21"/>
      <c r="Q953" s="21"/>
      <c r="R953" s="21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2.75" customHeight="1" x14ac:dyDescent="0.25">
      <c r="A954" s="3"/>
      <c r="B954" s="19"/>
      <c r="C954" s="5"/>
      <c r="D954" s="5"/>
      <c r="E954" s="5"/>
      <c r="F954" s="6"/>
      <c r="G954" s="7"/>
      <c r="H954" s="7"/>
      <c r="I954" s="7"/>
      <c r="J954" s="8"/>
      <c r="K954" s="9"/>
      <c r="L954" s="5"/>
      <c r="M954" s="9"/>
      <c r="N954" s="21"/>
      <c r="O954" s="20"/>
      <c r="P954" s="21"/>
      <c r="Q954" s="21"/>
      <c r="R954" s="21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2.75" customHeight="1" x14ac:dyDescent="0.25">
      <c r="A955" s="3"/>
      <c r="B955" s="19"/>
      <c r="C955" s="5"/>
      <c r="D955" s="5"/>
      <c r="E955" s="5"/>
      <c r="F955" s="6"/>
      <c r="G955" s="7"/>
      <c r="H955" s="7"/>
      <c r="I955" s="7"/>
      <c r="J955" s="8"/>
      <c r="K955" s="9"/>
      <c r="L955" s="5"/>
      <c r="M955" s="9"/>
      <c r="N955" s="21"/>
      <c r="O955" s="20"/>
      <c r="P955" s="21"/>
      <c r="Q955" s="21"/>
      <c r="R955" s="21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2.75" customHeight="1" x14ac:dyDescent="0.25">
      <c r="A956" s="3"/>
      <c r="B956" s="19"/>
      <c r="C956" s="5"/>
      <c r="D956" s="5"/>
      <c r="E956" s="5"/>
      <c r="F956" s="6"/>
      <c r="G956" s="7"/>
      <c r="H956" s="7"/>
      <c r="I956" s="7"/>
      <c r="J956" s="8"/>
      <c r="K956" s="9"/>
      <c r="L956" s="5"/>
      <c r="M956" s="9"/>
      <c r="N956" s="21"/>
      <c r="O956" s="20"/>
      <c r="P956" s="21"/>
      <c r="Q956" s="21"/>
      <c r="R956" s="21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2.75" customHeight="1" x14ac:dyDescent="0.25">
      <c r="A957" s="3"/>
      <c r="B957" s="19"/>
      <c r="C957" s="5"/>
      <c r="D957" s="5"/>
      <c r="E957" s="5"/>
      <c r="F957" s="6"/>
      <c r="G957" s="7"/>
      <c r="H957" s="7"/>
      <c r="I957" s="7"/>
      <c r="J957" s="8"/>
      <c r="K957" s="9"/>
      <c r="L957" s="5"/>
      <c r="M957" s="9"/>
      <c r="N957" s="21"/>
      <c r="O957" s="20"/>
      <c r="P957" s="21"/>
      <c r="Q957" s="21"/>
      <c r="R957" s="21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2.75" customHeight="1" x14ac:dyDescent="0.25">
      <c r="A958" s="3"/>
      <c r="B958" s="19"/>
      <c r="C958" s="5"/>
      <c r="D958" s="5"/>
      <c r="E958" s="5"/>
      <c r="F958" s="6"/>
      <c r="G958" s="7"/>
      <c r="H958" s="7"/>
      <c r="I958" s="7"/>
      <c r="J958" s="8"/>
      <c r="K958" s="9"/>
      <c r="L958" s="5"/>
      <c r="M958" s="9"/>
      <c r="N958" s="21"/>
      <c r="O958" s="20"/>
      <c r="P958" s="21"/>
      <c r="Q958" s="21"/>
      <c r="R958" s="21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2.75" customHeight="1" x14ac:dyDescent="0.25">
      <c r="A959" s="3"/>
      <c r="B959" s="19"/>
      <c r="C959" s="5"/>
      <c r="D959" s="5"/>
      <c r="E959" s="5"/>
      <c r="F959" s="6"/>
      <c r="G959" s="7"/>
      <c r="H959" s="7"/>
      <c r="I959" s="7"/>
      <c r="J959" s="8"/>
      <c r="K959" s="9"/>
      <c r="L959" s="5"/>
      <c r="M959" s="9"/>
      <c r="N959" s="21"/>
      <c r="O959" s="20"/>
      <c r="P959" s="21"/>
      <c r="Q959" s="21"/>
      <c r="R959" s="21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12.75" customHeight="1" x14ac:dyDescent="0.25">
      <c r="A960" s="3"/>
      <c r="B960" s="19"/>
      <c r="C960" s="5"/>
      <c r="D960" s="5"/>
      <c r="E960" s="5"/>
      <c r="F960" s="6"/>
      <c r="G960" s="7"/>
      <c r="H960" s="7"/>
      <c r="I960" s="7"/>
      <c r="J960" s="8"/>
      <c r="K960" s="9"/>
      <c r="L960" s="5"/>
      <c r="M960" s="9"/>
      <c r="N960" s="21"/>
      <c r="O960" s="20"/>
      <c r="P960" s="21"/>
      <c r="Q960" s="21"/>
      <c r="R960" s="21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12.75" customHeight="1" x14ac:dyDescent="0.25">
      <c r="A961" s="3"/>
      <c r="B961" s="19"/>
      <c r="C961" s="5"/>
      <c r="D961" s="5"/>
      <c r="E961" s="5"/>
      <c r="F961" s="6"/>
      <c r="G961" s="7"/>
      <c r="H961" s="7"/>
      <c r="I961" s="7"/>
      <c r="J961" s="8"/>
      <c r="K961" s="9"/>
      <c r="L961" s="5"/>
      <c r="M961" s="9"/>
      <c r="N961" s="21"/>
      <c r="O961" s="20"/>
      <c r="P961" s="21"/>
      <c r="Q961" s="21"/>
      <c r="R961" s="21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12.75" customHeight="1" x14ac:dyDescent="0.25">
      <c r="A962" s="3"/>
      <c r="B962" s="19"/>
      <c r="C962" s="5"/>
      <c r="D962" s="5"/>
      <c r="E962" s="5"/>
      <c r="F962" s="6"/>
      <c r="G962" s="7"/>
      <c r="H962" s="7"/>
      <c r="I962" s="7"/>
      <c r="J962" s="8"/>
      <c r="K962" s="9"/>
      <c r="L962" s="5"/>
      <c r="M962" s="9"/>
      <c r="N962" s="21"/>
      <c r="O962" s="20"/>
      <c r="P962" s="21"/>
      <c r="Q962" s="21"/>
      <c r="R962" s="21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2.75" customHeight="1" x14ac:dyDescent="0.25">
      <c r="A963" s="3"/>
      <c r="B963" s="19"/>
      <c r="C963" s="5"/>
      <c r="D963" s="5"/>
      <c r="E963" s="5"/>
      <c r="F963" s="6"/>
      <c r="G963" s="7"/>
      <c r="H963" s="7"/>
      <c r="I963" s="7"/>
      <c r="J963" s="8"/>
      <c r="K963" s="9"/>
      <c r="L963" s="5"/>
      <c r="M963" s="9"/>
      <c r="N963" s="21"/>
      <c r="O963" s="20"/>
      <c r="P963" s="21"/>
      <c r="Q963" s="21"/>
      <c r="R963" s="21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2.75" customHeight="1" x14ac:dyDescent="0.25">
      <c r="A964" s="3"/>
      <c r="B964" s="19"/>
      <c r="C964" s="5"/>
      <c r="D964" s="5"/>
      <c r="E964" s="5"/>
      <c r="F964" s="6"/>
      <c r="G964" s="7"/>
      <c r="H964" s="7"/>
      <c r="I964" s="7"/>
      <c r="J964" s="8"/>
      <c r="K964" s="9"/>
      <c r="L964" s="5"/>
      <c r="M964" s="9"/>
      <c r="N964" s="21"/>
      <c r="O964" s="20"/>
      <c r="P964" s="21"/>
      <c r="Q964" s="21"/>
      <c r="R964" s="21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2.75" customHeight="1" x14ac:dyDescent="0.25">
      <c r="A965" s="3"/>
      <c r="B965" s="19"/>
      <c r="C965" s="5"/>
      <c r="D965" s="5"/>
      <c r="E965" s="5"/>
      <c r="F965" s="6"/>
      <c r="G965" s="7"/>
      <c r="H965" s="7"/>
      <c r="I965" s="7"/>
      <c r="J965" s="8"/>
      <c r="K965" s="9"/>
      <c r="L965" s="5"/>
      <c r="M965" s="9"/>
      <c r="N965" s="21"/>
      <c r="O965" s="20"/>
      <c r="P965" s="21"/>
      <c r="Q965" s="21"/>
      <c r="R965" s="21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2.75" customHeight="1" x14ac:dyDescent="0.25">
      <c r="A966" s="3"/>
      <c r="B966" s="19"/>
      <c r="C966" s="5"/>
      <c r="D966" s="5"/>
      <c r="E966" s="5"/>
      <c r="F966" s="6"/>
      <c r="G966" s="7"/>
      <c r="H966" s="7"/>
      <c r="I966" s="7"/>
      <c r="J966" s="8"/>
      <c r="K966" s="9"/>
      <c r="L966" s="5"/>
      <c r="M966" s="9"/>
      <c r="N966" s="21"/>
      <c r="O966" s="20"/>
      <c r="P966" s="21"/>
      <c r="Q966" s="21"/>
      <c r="R966" s="21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2.75" customHeight="1" x14ac:dyDescent="0.25">
      <c r="A967" s="3"/>
      <c r="B967" s="19"/>
      <c r="C967" s="5"/>
      <c r="D967" s="5"/>
      <c r="E967" s="5"/>
      <c r="F967" s="6"/>
      <c r="G967" s="7"/>
      <c r="H967" s="7"/>
      <c r="I967" s="7"/>
      <c r="J967" s="8"/>
      <c r="K967" s="9"/>
      <c r="L967" s="5"/>
      <c r="M967" s="9"/>
      <c r="N967" s="21"/>
      <c r="O967" s="20"/>
      <c r="P967" s="21"/>
      <c r="Q967" s="21"/>
      <c r="R967" s="21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2.75" customHeight="1" x14ac:dyDescent="0.25">
      <c r="A968" s="3"/>
      <c r="B968" s="19"/>
      <c r="C968" s="5"/>
      <c r="D968" s="5"/>
      <c r="E968" s="5"/>
      <c r="F968" s="6"/>
      <c r="G968" s="7"/>
      <c r="H968" s="7"/>
      <c r="I968" s="7"/>
      <c r="J968" s="8"/>
      <c r="K968" s="9"/>
      <c r="L968" s="5"/>
      <c r="M968" s="9"/>
      <c r="N968" s="21"/>
      <c r="O968" s="20"/>
      <c r="P968" s="21"/>
      <c r="Q968" s="21"/>
      <c r="R968" s="21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2.75" customHeight="1" x14ac:dyDescent="0.25">
      <c r="A969" s="3"/>
      <c r="B969" s="19"/>
      <c r="C969" s="5"/>
      <c r="D969" s="5"/>
      <c r="E969" s="5"/>
      <c r="F969" s="6"/>
      <c r="G969" s="7"/>
      <c r="H969" s="7"/>
      <c r="I969" s="7"/>
      <c r="J969" s="8"/>
      <c r="K969" s="9"/>
      <c r="L969" s="5"/>
      <c r="M969" s="9"/>
      <c r="N969" s="21"/>
      <c r="O969" s="20"/>
      <c r="P969" s="21"/>
      <c r="Q969" s="21"/>
      <c r="R969" s="21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2.75" customHeight="1" x14ac:dyDescent="0.25">
      <c r="A970" s="3"/>
      <c r="B970" s="19"/>
      <c r="C970" s="5"/>
      <c r="D970" s="5"/>
      <c r="E970" s="5"/>
      <c r="F970" s="6"/>
      <c r="G970" s="7"/>
      <c r="H970" s="7"/>
      <c r="I970" s="7"/>
      <c r="J970" s="8"/>
      <c r="K970" s="9"/>
      <c r="L970" s="5"/>
      <c r="M970" s="9"/>
      <c r="N970" s="21"/>
      <c r="O970" s="20"/>
      <c r="P970" s="21"/>
      <c r="Q970" s="21"/>
      <c r="R970" s="21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2.75" customHeight="1" x14ac:dyDescent="0.25">
      <c r="A971" s="3"/>
      <c r="B971" s="19"/>
      <c r="C971" s="5"/>
      <c r="D971" s="5"/>
      <c r="E971" s="5"/>
      <c r="F971" s="6"/>
      <c r="G971" s="7"/>
      <c r="H971" s="7"/>
      <c r="I971" s="7"/>
      <c r="J971" s="8"/>
      <c r="K971" s="9"/>
      <c r="L971" s="5"/>
      <c r="M971" s="9"/>
      <c r="N971" s="21"/>
      <c r="O971" s="20"/>
      <c r="P971" s="21"/>
      <c r="Q971" s="21"/>
      <c r="R971" s="21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2.75" customHeight="1" x14ac:dyDescent="0.25">
      <c r="A972" s="3"/>
      <c r="B972" s="19"/>
      <c r="C972" s="5"/>
      <c r="D972" s="5"/>
      <c r="E972" s="5"/>
      <c r="F972" s="6"/>
      <c r="G972" s="7"/>
      <c r="H972" s="7"/>
      <c r="I972" s="7"/>
      <c r="J972" s="8"/>
      <c r="K972" s="9"/>
      <c r="L972" s="5"/>
      <c r="M972" s="9"/>
      <c r="N972" s="21"/>
      <c r="O972" s="20"/>
      <c r="P972" s="21"/>
      <c r="Q972" s="21"/>
      <c r="R972" s="21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2.75" customHeight="1" x14ac:dyDescent="0.25">
      <c r="A973" s="3"/>
      <c r="B973" s="19"/>
      <c r="C973" s="5"/>
      <c r="D973" s="5"/>
      <c r="E973" s="5"/>
      <c r="F973" s="6"/>
      <c r="G973" s="7"/>
      <c r="H973" s="7"/>
      <c r="I973" s="7"/>
      <c r="J973" s="8"/>
      <c r="K973" s="9"/>
      <c r="L973" s="5"/>
      <c r="M973" s="9"/>
      <c r="N973" s="21"/>
      <c r="O973" s="20"/>
      <c r="P973" s="21"/>
      <c r="Q973" s="21"/>
      <c r="R973" s="21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2.75" customHeight="1" x14ac:dyDescent="0.25">
      <c r="A974" s="3"/>
      <c r="B974" s="19"/>
      <c r="C974" s="5"/>
      <c r="D974" s="5"/>
      <c r="E974" s="5"/>
      <c r="F974" s="6"/>
      <c r="G974" s="7"/>
      <c r="H974" s="7"/>
      <c r="I974" s="7"/>
      <c r="J974" s="8"/>
      <c r="K974" s="9"/>
      <c r="L974" s="5"/>
      <c r="M974" s="9"/>
      <c r="N974" s="21"/>
      <c r="O974" s="20"/>
      <c r="P974" s="21"/>
      <c r="Q974" s="21"/>
      <c r="R974" s="21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2.75" customHeight="1" x14ac:dyDescent="0.25">
      <c r="A975" s="3"/>
      <c r="B975" s="19"/>
      <c r="C975" s="5"/>
      <c r="D975" s="5"/>
      <c r="E975" s="5"/>
      <c r="F975" s="6"/>
      <c r="G975" s="7"/>
      <c r="H975" s="7"/>
      <c r="I975" s="7"/>
      <c r="J975" s="8"/>
      <c r="K975" s="9"/>
      <c r="L975" s="5"/>
      <c r="M975" s="9"/>
      <c r="N975" s="21"/>
      <c r="O975" s="20"/>
      <c r="P975" s="21"/>
      <c r="Q975" s="21"/>
      <c r="R975" s="21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2.75" customHeight="1" x14ac:dyDescent="0.25">
      <c r="A976" s="3"/>
      <c r="B976" s="19"/>
      <c r="C976" s="5"/>
      <c r="D976" s="5"/>
      <c r="E976" s="5"/>
      <c r="F976" s="6"/>
      <c r="G976" s="7"/>
      <c r="H976" s="7"/>
      <c r="I976" s="7"/>
      <c r="J976" s="8"/>
      <c r="K976" s="9"/>
      <c r="L976" s="5"/>
      <c r="M976" s="9"/>
      <c r="N976" s="21"/>
      <c r="O976" s="20"/>
      <c r="P976" s="21"/>
      <c r="Q976" s="21"/>
      <c r="R976" s="21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</sheetData>
  <conditionalFormatting sqref="A11">
    <cfRule type="containsBlanks" dxfId="24" priority="1">
      <formula>LEN(TRIM(A11))=0</formula>
    </cfRule>
  </conditionalFormatting>
  <conditionalFormatting sqref="J1:J976">
    <cfRule type="cellIs" dxfId="23" priority="2" operator="equal">
      <formula>0</formula>
    </cfRule>
  </conditionalFormatting>
  <conditionalFormatting sqref="K1:K976">
    <cfRule type="cellIs" dxfId="22" priority="3" operator="equal">
      <formula>0</formula>
    </cfRule>
  </conditionalFormatting>
  <pageMargins left="0.7" right="0.7" top="0.75" bottom="0.75" header="0" footer="0"/>
  <pageSetup orientation="landscape"/>
  <headerFooter>
    <oddHeader>&amp;C&amp;A</oddHeader>
    <oddFooter>&amp;CPage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" customHeight="1" x14ac:dyDescent="0.25"/>
  <cols>
    <col min="1" max="1" width="8.21875" customWidth="1"/>
    <col min="2" max="2" width="28.88671875" customWidth="1"/>
    <col min="3" max="3" width="9.44140625" customWidth="1"/>
    <col min="4" max="4" width="10" customWidth="1"/>
    <col min="5" max="5" width="9.44140625" customWidth="1"/>
    <col min="6" max="7" width="11.44140625" customWidth="1"/>
    <col min="8" max="8" width="13" customWidth="1"/>
    <col min="9" max="9" width="11.44140625" customWidth="1"/>
    <col min="10" max="10" width="14.88671875" customWidth="1"/>
    <col min="11" max="15" width="11.44140625" customWidth="1"/>
    <col min="16" max="27" width="10" customWidth="1"/>
  </cols>
  <sheetData>
    <row r="1" spans="1:27" ht="12.75" customHeight="1" x14ac:dyDescent="0.25">
      <c r="A1" s="46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6" t="s">
        <v>18</v>
      </c>
      <c r="G1" s="7" t="s">
        <v>19</v>
      </c>
      <c r="H1" s="7" t="s">
        <v>20</v>
      </c>
      <c r="I1" s="7" t="s">
        <v>21</v>
      </c>
      <c r="J1" s="8" t="s">
        <v>22</v>
      </c>
      <c r="K1" s="9" t="s">
        <v>23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2.75" customHeight="1" x14ac:dyDescent="0.25">
      <c r="A2" s="46"/>
      <c r="B2" s="9"/>
      <c r="C2" s="9"/>
      <c r="D2" s="9"/>
      <c r="E2" s="9"/>
      <c r="F2" s="11"/>
      <c r="G2" s="12"/>
      <c r="H2" s="12"/>
      <c r="I2" s="12"/>
      <c r="J2" s="13"/>
      <c r="K2" s="47">
        <f>SUM(K3:K109)</f>
        <v>3704.3100000000004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2.75" customHeight="1" x14ac:dyDescent="0.3">
      <c r="A3" s="48"/>
      <c r="B3" s="15" t="s">
        <v>350</v>
      </c>
      <c r="C3" s="4"/>
      <c r="D3" s="4"/>
      <c r="E3" s="4"/>
      <c r="F3" s="49"/>
      <c r="G3" s="50"/>
      <c r="H3" s="50"/>
      <c r="I3" s="7"/>
      <c r="J3" s="9"/>
      <c r="K3" s="9"/>
      <c r="L3" s="9"/>
      <c r="M3" s="9"/>
      <c r="N3" s="9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2.75" customHeight="1" x14ac:dyDescent="0.25">
      <c r="A4" s="51">
        <v>750</v>
      </c>
      <c r="B4" s="14" t="s">
        <v>351</v>
      </c>
      <c r="C4" s="37">
        <v>2.64</v>
      </c>
      <c r="D4" s="37">
        <v>3.15</v>
      </c>
      <c r="E4" s="17">
        <v>3.5</v>
      </c>
      <c r="F4" s="6" t="s">
        <v>352</v>
      </c>
      <c r="G4" s="7">
        <v>83</v>
      </c>
      <c r="H4" s="7"/>
      <c r="I4" s="7"/>
      <c r="J4" s="8">
        <f t="shared" ref="J4:J21" si="0">SUM(G4:I4)</f>
        <v>83</v>
      </c>
      <c r="K4" s="9">
        <f t="shared" ref="K4:K21" si="1">SUM(C4*J4)</f>
        <v>219.12</v>
      </c>
      <c r="L4" s="9"/>
      <c r="M4" s="9"/>
      <c r="N4" s="9"/>
      <c r="O4" s="9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 customHeight="1" x14ac:dyDescent="0.25">
      <c r="A5" s="51">
        <v>750</v>
      </c>
      <c r="B5" s="14" t="s">
        <v>353</v>
      </c>
      <c r="C5" s="37">
        <v>2.64</v>
      </c>
      <c r="D5" s="37">
        <v>3.15</v>
      </c>
      <c r="E5" s="17">
        <v>3.5</v>
      </c>
      <c r="F5" s="6" t="s">
        <v>352</v>
      </c>
      <c r="G5" s="7">
        <v>58</v>
      </c>
      <c r="H5" s="7"/>
      <c r="I5" s="7"/>
      <c r="J5" s="8">
        <f t="shared" si="0"/>
        <v>58</v>
      </c>
      <c r="K5" s="9">
        <f t="shared" si="1"/>
        <v>153.12</v>
      </c>
      <c r="L5" s="9"/>
      <c r="M5" s="9"/>
      <c r="N5" s="9"/>
      <c r="O5" s="9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2.75" customHeight="1" x14ac:dyDescent="0.25">
      <c r="A6" s="51">
        <v>750</v>
      </c>
      <c r="B6" s="14" t="s">
        <v>354</v>
      </c>
      <c r="C6" s="37">
        <v>2.64</v>
      </c>
      <c r="D6" s="37">
        <v>3.15</v>
      </c>
      <c r="E6" s="17">
        <v>3.5</v>
      </c>
      <c r="F6" s="6" t="s">
        <v>352</v>
      </c>
      <c r="G6" s="7">
        <v>39</v>
      </c>
      <c r="H6" s="7"/>
      <c r="I6" s="7"/>
      <c r="J6" s="8">
        <f t="shared" si="0"/>
        <v>39</v>
      </c>
      <c r="K6" s="9">
        <f t="shared" si="1"/>
        <v>102.96000000000001</v>
      </c>
      <c r="L6" s="9"/>
      <c r="M6" s="9"/>
      <c r="N6" s="9"/>
      <c r="O6" s="9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2.75" customHeight="1" x14ac:dyDescent="0.25">
      <c r="A7" s="51">
        <v>750</v>
      </c>
      <c r="B7" s="14" t="s">
        <v>355</v>
      </c>
      <c r="C7" s="14">
        <v>3.9</v>
      </c>
      <c r="D7" s="14">
        <v>4.5</v>
      </c>
      <c r="E7" s="14">
        <v>4.9000000000000004</v>
      </c>
      <c r="F7" s="6" t="s">
        <v>27</v>
      </c>
      <c r="G7" s="7">
        <v>6</v>
      </c>
      <c r="H7" s="7">
        <v>9</v>
      </c>
      <c r="I7" s="7"/>
      <c r="J7" s="8">
        <f t="shared" si="0"/>
        <v>15</v>
      </c>
      <c r="K7" s="9">
        <f t="shared" si="1"/>
        <v>58.5</v>
      </c>
      <c r="L7" s="9"/>
      <c r="M7" s="9"/>
      <c r="N7" s="9"/>
      <c r="O7" s="9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2.75" customHeight="1" x14ac:dyDescent="0.25">
      <c r="A8" s="51">
        <v>750</v>
      </c>
      <c r="B8" s="14" t="s">
        <v>356</v>
      </c>
      <c r="C8" s="14">
        <v>3.9</v>
      </c>
      <c r="D8" s="14">
        <v>4.5</v>
      </c>
      <c r="E8" s="14">
        <v>4.9000000000000004</v>
      </c>
      <c r="F8" s="6" t="s">
        <v>27</v>
      </c>
      <c r="G8" s="7">
        <v>6</v>
      </c>
      <c r="H8" s="7">
        <v>1</v>
      </c>
      <c r="I8" s="7"/>
      <c r="J8" s="8">
        <f t="shared" si="0"/>
        <v>7</v>
      </c>
      <c r="K8" s="9">
        <f t="shared" si="1"/>
        <v>27.3</v>
      </c>
      <c r="L8" s="9"/>
      <c r="M8" s="9"/>
      <c r="N8" s="9"/>
      <c r="O8" s="9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2.75" customHeight="1" x14ac:dyDescent="0.25">
      <c r="A9" s="51">
        <v>750</v>
      </c>
      <c r="B9" s="14" t="s">
        <v>357</v>
      </c>
      <c r="C9" s="14">
        <v>4.22</v>
      </c>
      <c r="D9" s="14">
        <v>4.5</v>
      </c>
      <c r="E9" s="14">
        <v>4.9000000000000004</v>
      </c>
      <c r="F9" s="6" t="s">
        <v>27</v>
      </c>
      <c r="G9" s="7"/>
      <c r="H9" s="7">
        <v>4</v>
      </c>
      <c r="I9" s="7"/>
      <c r="J9" s="8">
        <f t="shared" si="0"/>
        <v>4</v>
      </c>
      <c r="K9" s="9">
        <f t="shared" si="1"/>
        <v>16.88</v>
      </c>
      <c r="L9" s="9"/>
      <c r="M9" s="9"/>
      <c r="N9" s="9"/>
      <c r="O9" s="9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51">
        <v>750</v>
      </c>
      <c r="B10" s="14" t="s">
        <v>358</v>
      </c>
      <c r="C10" s="14">
        <v>3.9</v>
      </c>
      <c r="D10" s="14">
        <v>4.5</v>
      </c>
      <c r="E10" s="14">
        <v>4.9000000000000004</v>
      </c>
      <c r="F10" s="6" t="s">
        <v>27</v>
      </c>
      <c r="G10" s="7">
        <v>6</v>
      </c>
      <c r="H10" s="7">
        <v>5</v>
      </c>
      <c r="I10" s="7"/>
      <c r="J10" s="8">
        <f t="shared" si="0"/>
        <v>11</v>
      </c>
      <c r="K10" s="9">
        <f t="shared" si="1"/>
        <v>42.9</v>
      </c>
      <c r="L10" s="9"/>
      <c r="M10" s="9"/>
      <c r="N10" s="9"/>
      <c r="O10" s="9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51">
        <v>750</v>
      </c>
      <c r="B11" s="14" t="s">
        <v>359</v>
      </c>
      <c r="C11" s="10">
        <v>6.08</v>
      </c>
      <c r="D11" s="10">
        <v>6.95</v>
      </c>
      <c r="E11" s="10">
        <v>7.95</v>
      </c>
      <c r="F11" s="6" t="s">
        <v>27</v>
      </c>
      <c r="G11" s="7">
        <v>0</v>
      </c>
      <c r="H11" s="7">
        <v>9</v>
      </c>
      <c r="I11" s="7" t="s">
        <v>63</v>
      </c>
      <c r="J11" s="8">
        <f t="shared" si="0"/>
        <v>9</v>
      </c>
      <c r="K11" s="9">
        <f t="shared" si="1"/>
        <v>54.72</v>
      </c>
      <c r="L11" s="9"/>
      <c r="M11" s="9"/>
      <c r="N11" s="9"/>
      <c r="O11" s="9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51">
        <v>750</v>
      </c>
      <c r="B12" s="14" t="s">
        <v>360</v>
      </c>
      <c r="C12" s="10">
        <v>6.08</v>
      </c>
      <c r="D12" s="10">
        <v>6.95</v>
      </c>
      <c r="E12" s="10">
        <v>7.95</v>
      </c>
      <c r="F12" s="6" t="s">
        <v>27</v>
      </c>
      <c r="G12" s="7"/>
      <c r="H12" s="7">
        <v>6</v>
      </c>
      <c r="I12" s="7"/>
      <c r="J12" s="8">
        <f t="shared" si="0"/>
        <v>6</v>
      </c>
      <c r="K12" s="9">
        <f t="shared" si="1"/>
        <v>36.480000000000004</v>
      </c>
      <c r="L12" s="9"/>
      <c r="M12" s="9"/>
      <c r="N12" s="9"/>
      <c r="O12" s="9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51">
        <v>750</v>
      </c>
      <c r="B13" s="14" t="s">
        <v>361</v>
      </c>
      <c r="C13" s="10">
        <v>6.08</v>
      </c>
      <c r="D13" s="10">
        <v>6.95</v>
      </c>
      <c r="E13" s="10">
        <v>7.95</v>
      </c>
      <c r="F13" s="6" t="s">
        <v>27</v>
      </c>
      <c r="G13" s="7"/>
      <c r="H13" s="7">
        <v>2</v>
      </c>
      <c r="I13" s="7"/>
      <c r="J13" s="8">
        <f t="shared" si="0"/>
        <v>2</v>
      </c>
      <c r="K13" s="9">
        <f t="shared" si="1"/>
        <v>12.16</v>
      </c>
      <c r="L13" s="21"/>
      <c r="M13" s="21"/>
      <c r="N13" s="21"/>
      <c r="O13" s="9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51">
        <v>750</v>
      </c>
      <c r="B14" s="14" t="s">
        <v>362</v>
      </c>
      <c r="C14" s="14">
        <v>5.45</v>
      </c>
      <c r="D14" s="14">
        <v>5.95</v>
      </c>
      <c r="E14" s="14">
        <v>6.5</v>
      </c>
      <c r="F14" s="6" t="s">
        <v>27</v>
      </c>
      <c r="G14" s="7"/>
      <c r="H14" s="7">
        <v>3</v>
      </c>
      <c r="I14" s="7"/>
      <c r="J14" s="8">
        <f t="shared" si="0"/>
        <v>3</v>
      </c>
      <c r="K14" s="9">
        <f t="shared" si="1"/>
        <v>16.350000000000001</v>
      </c>
      <c r="L14" s="21"/>
      <c r="M14" s="21"/>
      <c r="N14" s="21"/>
      <c r="O14" s="9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51">
        <v>750</v>
      </c>
      <c r="B15" s="14" t="s">
        <v>363</v>
      </c>
      <c r="C15" s="14">
        <v>7.35</v>
      </c>
      <c r="D15" s="14">
        <v>8.9499999999999993</v>
      </c>
      <c r="E15" s="14">
        <v>9.5</v>
      </c>
      <c r="F15" s="6" t="s">
        <v>27</v>
      </c>
      <c r="G15" s="7"/>
      <c r="H15" s="7">
        <v>10</v>
      </c>
      <c r="I15" s="7"/>
      <c r="J15" s="8">
        <f t="shared" si="0"/>
        <v>10</v>
      </c>
      <c r="K15" s="9">
        <f t="shared" si="1"/>
        <v>73.5</v>
      </c>
      <c r="L15" s="21"/>
      <c r="M15" s="21"/>
      <c r="N15" s="21"/>
      <c r="O15" s="9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51">
        <v>750</v>
      </c>
      <c r="B16" s="14" t="s">
        <v>364</v>
      </c>
      <c r="C16" s="14">
        <v>5.43</v>
      </c>
      <c r="D16" s="14">
        <v>6.5</v>
      </c>
      <c r="E16" s="14">
        <v>6.5</v>
      </c>
      <c r="F16" s="6" t="s">
        <v>365</v>
      </c>
      <c r="G16" s="7" t="s">
        <v>63</v>
      </c>
      <c r="H16" s="7"/>
      <c r="I16" s="7"/>
      <c r="J16" s="8">
        <f t="shared" si="0"/>
        <v>0</v>
      </c>
      <c r="K16" s="9">
        <f t="shared" si="1"/>
        <v>0</v>
      </c>
      <c r="L16" s="9"/>
      <c r="M16" s="9"/>
      <c r="N16" s="9"/>
      <c r="O16" s="9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51">
        <v>750</v>
      </c>
      <c r="B17" s="14" t="s">
        <v>366</v>
      </c>
      <c r="C17" s="14">
        <v>8.33</v>
      </c>
      <c r="D17" s="14">
        <v>9.5</v>
      </c>
      <c r="E17" s="14">
        <v>10.5</v>
      </c>
      <c r="F17" s="6" t="s">
        <v>27</v>
      </c>
      <c r="G17" s="7">
        <v>6</v>
      </c>
      <c r="H17" s="7">
        <v>2</v>
      </c>
      <c r="I17" s="7"/>
      <c r="J17" s="8">
        <f t="shared" si="0"/>
        <v>8</v>
      </c>
      <c r="K17" s="9">
        <f t="shared" si="1"/>
        <v>66.64</v>
      </c>
      <c r="L17" s="9"/>
      <c r="M17" s="9"/>
      <c r="N17" s="9"/>
      <c r="O17" s="9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52">
        <v>750</v>
      </c>
      <c r="B18" s="14" t="s">
        <v>367</v>
      </c>
      <c r="C18" s="37">
        <v>2.86</v>
      </c>
      <c r="D18" s="37">
        <v>3.35</v>
      </c>
      <c r="E18" s="37">
        <v>3.75</v>
      </c>
      <c r="F18" s="6" t="s">
        <v>368</v>
      </c>
      <c r="G18" s="7">
        <v>18</v>
      </c>
      <c r="H18" s="7">
        <v>6</v>
      </c>
      <c r="I18" s="7"/>
      <c r="J18" s="8">
        <f t="shared" si="0"/>
        <v>24</v>
      </c>
      <c r="K18" s="9">
        <f t="shared" si="1"/>
        <v>68.64</v>
      </c>
      <c r="L18" s="9"/>
      <c r="M18" s="9"/>
      <c r="N18" s="9"/>
      <c r="O18" s="9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52">
        <v>750</v>
      </c>
      <c r="B19" s="14" t="s">
        <v>369</v>
      </c>
      <c r="C19" s="37">
        <v>2.86</v>
      </c>
      <c r="D19" s="37">
        <v>3.35</v>
      </c>
      <c r="E19" s="37">
        <v>3.75</v>
      </c>
      <c r="F19" s="6" t="s">
        <v>368</v>
      </c>
      <c r="G19" s="7">
        <v>24</v>
      </c>
      <c r="H19" s="7">
        <v>8</v>
      </c>
      <c r="I19" s="7"/>
      <c r="J19" s="8">
        <f t="shared" si="0"/>
        <v>32</v>
      </c>
      <c r="K19" s="9">
        <f t="shared" si="1"/>
        <v>91.52</v>
      </c>
      <c r="L19" s="9"/>
      <c r="M19" s="9"/>
      <c r="N19" s="9"/>
      <c r="O19" s="9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52">
        <v>750</v>
      </c>
      <c r="B20" s="14" t="s">
        <v>370</v>
      </c>
      <c r="C20" s="37">
        <v>2.86</v>
      </c>
      <c r="D20" s="37">
        <v>3.35</v>
      </c>
      <c r="E20" s="37">
        <v>3.75</v>
      </c>
      <c r="F20" s="6" t="s">
        <v>368</v>
      </c>
      <c r="G20" s="7">
        <v>12</v>
      </c>
      <c r="H20" s="7">
        <v>1</v>
      </c>
      <c r="I20" s="7"/>
      <c r="J20" s="8">
        <f t="shared" si="0"/>
        <v>13</v>
      </c>
      <c r="K20" s="9">
        <f t="shared" si="1"/>
        <v>37.18</v>
      </c>
      <c r="L20" s="9"/>
      <c r="M20" s="9"/>
      <c r="N20" s="9"/>
      <c r="O20" s="9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52">
        <v>750</v>
      </c>
      <c r="B21" s="14" t="s">
        <v>371</v>
      </c>
      <c r="C21" s="37">
        <v>2.86</v>
      </c>
      <c r="D21" s="37">
        <v>3.35</v>
      </c>
      <c r="E21" s="37">
        <v>3.75</v>
      </c>
      <c r="F21" s="6" t="s">
        <v>368</v>
      </c>
      <c r="G21" s="7">
        <v>24</v>
      </c>
      <c r="H21" s="7">
        <v>0</v>
      </c>
      <c r="I21" s="7"/>
      <c r="J21" s="8">
        <f t="shared" si="0"/>
        <v>24</v>
      </c>
      <c r="K21" s="9">
        <f t="shared" si="1"/>
        <v>68.64</v>
      </c>
      <c r="L21" s="9"/>
      <c r="M21" s="9"/>
      <c r="N21" s="9"/>
      <c r="O21" s="9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52">
        <v>750</v>
      </c>
      <c r="B22" s="14" t="s">
        <v>372</v>
      </c>
      <c r="C22" s="14">
        <v>16.84</v>
      </c>
      <c r="D22" s="14">
        <v>19.5</v>
      </c>
      <c r="E22" s="14">
        <v>19.5</v>
      </c>
      <c r="F22" s="6" t="s">
        <v>368</v>
      </c>
      <c r="G22" s="7"/>
      <c r="H22" s="7"/>
      <c r="I22" s="7"/>
      <c r="J22" s="8"/>
      <c r="K22" s="9"/>
      <c r="L22" s="9"/>
      <c r="M22" s="9"/>
      <c r="N22" s="9"/>
      <c r="O22" s="9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51">
        <v>750</v>
      </c>
      <c r="B23" s="14" t="s">
        <v>373</v>
      </c>
      <c r="C23" s="14">
        <v>2.64</v>
      </c>
      <c r="D23" s="14">
        <v>3</v>
      </c>
      <c r="E23" s="14">
        <v>3.5</v>
      </c>
      <c r="F23" s="6" t="s">
        <v>27</v>
      </c>
      <c r="G23" s="7"/>
      <c r="H23" s="7" t="s">
        <v>63</v>
      </c>
      <c r="I23" s="7"/>
      <c r="J23" s="8">
        <f t="shared" ref="J23:J54" si="2">SUM(G23:I23)</f>
        <v>0</v>
      </c>
      <c r="K23" s="9">
        <f t="shared" ref="K23:K54" si="3">SUM(C23*J23)</f>
        <v>0</v>
      </c>
      <c r="L23" s="9"/>
      <c r="M23" s="9"/>
      <c r="N23" s="9"/>
      <c r="O23" s="9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51">
        <v>750</v>
      </c>
      <c r="B24" s="14" t="s">
        <v>374</v>
      </c>
      <c r="C24" s="14">
        <v>2.64</v>
      </c>
      <c r="D24" s="14">
        <v>3</v>
      </c>
      <c r="E24" s="14">
        <v>3.5</v>
      </c>
      <c r="F24" s="6" t="s">
        <v>27</v>
      </c>
      <c r="G24" s="7"/>
      <c r="H24" s="7">
        <v>4</v>
      </c>
      <c r="I24" s="7"/>
      <c r="J24" s="8">
        <f t="shared" si="2"/>
        <v>4</v>
      </c>
      <c r="K24" s="9">
        <f t="shared" si="3"/>
        <v>10.56</v>
      </c>
      <c r="L24" s="9"/>
      <c r="M24" s="9"/>
      <c r="N24" s="9"/>
      <c r="O24" s="9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51">
        <v>750</v>
      </c>
      <c r="B25" s="14" t="s">
        <v>375</v>
      </c>
      <c r="C25" s="14">
        <v>2.64</v>
      </c>
      <c r="D25" s="14">
        <v>3</v>
      </c>
      <c r="E25" s="14">
        <v>3.5</v>
      </c>
      <c r="F25" s="6" t="s">
        <v>27</v>
      </c>
      <c r="G25" s="7"/>
      <c r="H25" s="7">
        <v>3</v>
      </c>
      <c r="I25" s="7"/>
      <c r="J25" s="8">
        <f t="shared" si="2"/>
        <v>3</v>
      </c>
      <c r="K25" s="9">
        <f t="shared" si="3"/>
        <v>7.92</v>
      </c>
      <c r="L25" s="9"/>
      <c r="M25" s="9"/>
      <c r="N25" s="9"/>
      <c r="O25" s="9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51">
        <v>750</v>
      </c>
      <c r="B26" s="14" t="s">
        <v>376</v>
      </c>
      <c r="C26" s="14">
        <v>5.45</v>
      </c>
      <c r="D26" s="14">
        <v>6.5</v>
      </c>
      <c r="E26" s="14">
        <v>6.95</v>
      </c>
      <c r="F26" s="6" t="s">
        <v>27</v>
      </c>
      <c r="G26" s="7"/>
      <c r="H26" s="7">
        <v>6</v>
      </c>
      <c r="I26" s="7"/>
      <c r="J26" s="8">
        <f t="shared" si="2"/>
        <v>6</v>
      </c>
      <c r="K26" s="9">
        <f t="shared" si="3"/>
        <v>32.700000000000003</v>
      </c>
      <c r="L26" s="9"/>
      <c r="M26" s="9"/>
      <c r="N26" s="9"/>
      <c r="O26" s="9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51">
        <v>750</v>
      </c>
      <c r="B27" s="14" t="s">
        <v>377</v>
      </c>
      <c r="C27" s="14">
        <v>5.45</v>
      </c>
      <c r="D27" s="14">
        <v>6.5</v>
      </c>
      <c r="E27" s="14">
        <v>6.95</v>
      </c>
      <c r="F27" s="6" t="s">
        <v>27</v>
      </c>
      <c r="G27" s="7"/>
      <c r="H27" s="7">
        <v>3</v>
      </c>
      <c r="I27" s="7"/>
      <c r="J27" s="8">
        <f t="shared" si="2"/>
        <v>3</v>
      </c>
      <c r="K27" s="9">
        <f t="shared" si="3"/>
        <v>16.350000000000001</v>
      </c>
      <c r="L27" s="9"/>
      <c r="M27" s="9"/>
      <c r="N27" s="9"/>
      <c r="O27" s="9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51">
        <v>750</v>
      </c>
      <c r="B28" s="14" t="s">
        <v>378</v>
      </c>
      <c r="C28" s="14">
        <v>5.45</v>
      </c>
      <c r="D28" s="14">
        <v>6.5</v>
      </c>
      <c r="E28" s="14">
        <v>6.95</v>
      </c>
      <c r="F28" s="6" t="s">
        <v>27</v>
      </c>
      <c r="G28" s="7"/>
      <c r="H28" s="7">
        <v>8</v>
      </c>
      <c r="I28" s="7"/>
      <c r="J28" s="8">
        <f t="shared" si="2"/>
        <v>8</v>
      </c>
      <c r="K28" s="9">
        <f t="shared" si="3"/>
        <v>43.6</v>
      </c>
      <c r="L28" s="9"/>
      <c r="M28" s="9"/>
      <c r="N28" s="9"/>
      <c r="O28" s="9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51">
        <v>750</v>
      </c>
      <c r="B29" s="14" t="s">
        <v>379</v>
      </c>
      <c r="C29" s="14">
        <v>5.45</v>
      </c>
      <c r="D29" s="14">
        <v>6.5</v>
      </c>
      <c r="E29" s="14">
        <v>6.95</v>
      </c>
      <c r="F29" s="6" t="s">
        <v>27</v>
      </c>
      <c r="G29" s="7"/>
      <c r="H29" s="7">
        <v>2</v>
      </c>
      <c r="I29" s="7"/>
      <c r="J29" s="8">
        <f t="shared" si="2"/>
        <v>2</v>
      </c>
      <c r="K29" s="9">
        <f t="shared" si="3"/>
        <v>10.9</v>
      </c>
      <c r="L29" s="9"/>
      <c r="M29" s="9"/>
      <c r="N29" s="9"/>
      <c r="O29" s="9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51">
        <v>750</v>
      </c>
      <c r="B30" s="14" t="s">
        <v>380</v>
      </c>
      <c r="C30" s="14">
        <v>5.23</v>
      </c>
      <c r="D30" s="14">
        <v>5.75</v>
      </c>
      <c r="E30" s="14">
        <v>5.95</v>
      </c>
      <c r="F30" s="6" t="s">
        <v>27</v>
      </c>
      <c r="G30" s="7">
        <v>12</v>
      </c>
      <c r="H30" s="7">
        <v>4</v>
      </c>
      <c r="I30" s="7"/>
      <c r="J30" s="8">
        <f t="shared" si="2"/>
        <v>16</v>
      </c>
      <c r="K30" s="9">
        <f t="shared" si="3"/>
        <v>83.68</v>
      </c>
      <c r="L30" s="9"/>
      <c r="M30" s="9"/>
      <c r="N30" s="9"/>
      <c r="O30" s="9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51">
        <v>750</v>
      </c>
      <c r="B31" s="14" t="s">
        <v>381</v>
      </c>
      <c r="C31" s="14">
        <v>4.1100000000000003</v>
      </c>
      <c r="D31" s="14">
        <v>5.25</v>
      </c>
      <c r="E31" s="14">
        <v>5.5</v>
      </c>
      <c r="F31" s="6" t="s">
        <v>27</v>
      </c>
      <c r="G31" s="7">
        <v>6</v>
      </c>
      <c r="H31" s="7">
        <v>3</v>
      </c>
      <c r="I31" s="7"/>
      <c r="J31" s="8">
        <f t="shared" si="2"/>
        <v>9</v>
      </c>
      <c r="K31" s="9">
        <f t="shared" si="3"/>
        <v>36.99</v>
      </c>
      <c r="L31" s="9"/>
      <c r="M31" s="9"/>
      <c r="N31" s="9"/>
      <c r="O31" s="9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customHeight="1" x14ac:dyDescent="0.25">
      <c r="A32" s="51">
        <v>750</v>
      </c>
      <c r="B32" s="14" t="s">
        <v>382</v>
      </c>
      <c r="C32" s="14">
        <v>16.5</v>
      </c>
      <c r="D32" s="14">
        <v>18.5</v>
      </c>
      <c r="E32" s="14">
        <v>19.95</v>
      </c>
      <c r="F32" s="6" t="s">
        <v>365</v>
      </c>
      <c r="G32" s="7"/>
      <c r="H32" s="7">
        <v>3</v>
      </c>
      <c r="I32" s="7"/>
      <c r="J32" s="8">
        <f t="shared" si="2"/>
        <v>3</v>
      </c>
      <c r="K32" s="9">
        <f t="shared" si="3"/>
        <v>49.5</v>
      </c>
      <c r="L32" s="9"/>
      <c r="M32" s="9"/>
      <c r="N32" s="9"/>
      <c r="O32" s="9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75" customHeight="1" x14ac:dyDescent="0.25">
      <c r="A33" s="51">
        <v>750</v>
      </c>
      <c r="B33" s="14" t="s">
        <v>383</v>
      </c>
      <c r="C33" s="14">
        <v>8.9499999999999993</v>
      </c>
      <c r="D33" s="14">
        <v>9.9499999999999993</v>
      </c>
      <c r="E33" s="14">
        <v>9.9499999999999993</v>
      </c>
      <c r="F33" s="6" t="s">
        <v>365</v>
      </c>
      <c r="G33" s="7"/>
      <c r="H33" s="7">
        <v>4</v>
      </c>
      <c r="I33" s="7"/>
      <c r="J33" s="8">
        <f t="shared" si="2"/>
        <v>4</v>
      </c>
      <c r="K33" s="9">
        <f t="shared" si="3"/>
        <v>35.799999999999997</v>
      </c>
      <c r="L33" s="9"/>
      <c r="M33" s="9"/>
      <c r="N33" s="9"/>
      <c r="O33" s="9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 customHeight="1" x14ac:dyDescent="0.25">
      <c r="A34" s="51">
        <v>750</v>
      </c>
      <c r="B34" s="14" t="s">
        <v>384</v>
      </c>
      <c r="C34" s="14">
        <v>3.57</v>
      </c>
      <c r="D34" s="14">
        <v>4.95</v>
      </c>
      <c r="E34" s="14">
        <v>4.95</v>
      </c>
      <c r="F34" s="6" t="s">
        <v>365</v>
      </c>
      <c r="G34" s="7"/>
      <c r="H34" s="7"/>
      <c r="I34" s="7"/>
      <c r="J34" s="8">
        <f t="shared" si="2"/>
        <v>0</v>
      </c>
      <c r="K34" s="9">
        <f t="shared" si="3"/>
        <v>0</v>
      </c>
      <c r="L34" s="9"/>
      <c r="M34" s="9"/>
      <c r="N34" s="9"/>
      <c r="O34" s="9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51">
        <v>750</v>
      </c>
      <c r="B35" s="14" t="s">
        <v>385</v>
      </c>
      <c r="C35" s="14">
        <v>4.21</v>
      </c>
      <c r="D35" s="14">
        <v>4.95</v>
      </c>
      <c r="E35" s="14">
        <v>5.95</v>
      </c>
      <c r="F35" s="6" t="s">
        <v>368</v>
      </c>
      <c r="G35" s="7">
        <v>6</v>
      </c>
      <c r="H35" s="7">
        <v>9</v>
      </c>
      <c r="I35" s="7"/>
      <c r="J35" s="8">
        <f t="shared" si="2"/>
        <v>15</v>
      </c>
      <c r="K35" s="9">
        <f t="shared" si="3"/>
        <v>63.15</v>
      </c>
      <c r="L35" s="9"/>
      <c r="M35" s="9"/>
      <c r="N35" s="9"/>
      <c r="O35" s="9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25">
      <c r="A36" s="51">
        <v>750</v>
      </c>
      <c r="B36" s="14" t="s">
        <v>386</v>
      </c>
      <c r="C36" s="14">
        <v>4.21</v>
      </c>
      <c r="D36" s="14">
        <v>4.95</v>
      </c>
      <c r="E36" s="14">
        <v>5.95</v>
      </c>
      <c r="F36" s="6" t="s">
        <v>368</v>
      </c>
      <c r="G36" s="38">
        <v>6</v>
      </c>
      <c r="H36" s="7">
        <v>5</v>
      </c>
      <c r="I36" s="7"/>
      <c r="J36" s="8">
        <f t="shared" si="2"/>
        <v>11</v>
      </c>
      <c r="K36" s="9">
        <f t="shared" si="3"/>
        <v>46.31</v>
      </c>
      <c r="L36" s="9"/>
      <c r="M36" s="9"/>
      <c r="N36" s="9"/>
      <c r="O36" s="9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51">
        <v>750</v>
      </c>
      <c r="B37" s="14" t="s">
        <v>387</v>
      </c>
      <c r="C37" s="14">
        <v>4.21</v>
      </c>
      <c r="D37" s="14">
        <v>4.95</v>
      </c>
      <c r="E37" s="14">
        <v>5.95</v>
      </c>
      <c r="F37" s="6" t="s">
        <v>368</v>
      </c>
      <c r="G37" s="7">
        <v>6</v>
      </c>
      <c r="H37" s="7">
        <v>7</v>
      </c>
      <c r="I37" s="7"/>
      <c r="J37" s="8">
        <f t="shared" si="2"/>
        <v>13</v>
      </c>
      <c r="K37" s="9">
        <f t="shared" si="3"/>
        <v>54.73</v>
      </c>
      <c r="L37" s="9"/>
      <c r="M37" s="9"/>
      <c r="N37" s="9"/>
      <c r="O37" s="9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51">
        <v>750</v>
      </c>
      <c r="B38" s="14" t="s">
        <v>388</v>
      </c>
      <c r="C38" s="14">
        <v>4.21</v>
      </c>
      <c r="D38" s="14">
        <v>4.95</v>
      </c>
      <c r="E38" s="14">
        <v>5.95</v>
      </c>
      <c r="F38" s="6" t="s">
        <v>368</v>
      </c>
      <c r="G38" s="7"/>
      <c r="H38" s="7">
        <v>12</v>
      </c>
      <c r="I38" s="7"/>
      <c r="J38" s="8">
        <f t="shared" si="2"/>
        <v>12</v>
      </c>
      <c r="K38" s="9">
        <f t="shared" si="3"/>
        <v>50.519999999999996</v>
      </c>
      <c r="L38" s="9"/>
      <c r="M38" s="9"/>
      <c r="N38" s="9"/>
      <c r="O38" s="9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51">
        <v>750</v>
      </c>
      <c r="B39" s="14" t="s">
        <v>389</v>
      </c>
      <c r="C39" s="14">
        <v>4.21</v>
      </c>
      <c r="D39" s="14">
        <v>4.95</v>
      </c>
      <c r="E39" s="14">
        <v>5.95</v>
      </c>
      <c r="F39" s="6" t="s">
        <v>368</v>
      </c>
      <c r="G39" s="7"/>
      <c r="H39" s="7">
        <v>6</v>
      </c>
      <c r="I39" s="7"/>
      <c r="J39" s="8">
        <f t="shared" si="2"/>
        <v>6</v>
      </c>
      <c r="K39" s="9">
        <f t="shared" si="3"/>
        <v>25.259999999999998</v>
      </c>
      <c r="L39" s="9"/>
      <c r="M39" s="9"/>
      <c r="N39" s="9"/>
      <c r="O39" s="9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51">
        <v>750</v>
      </c>
      <c r="B40" s="14" t="s">
        <v>390</v>
      </c>
      <c r="C40" s="14">
        <v>6.2</v>
      </c>
      <c r="D40" s="14">
        <v>7.5</v>
      </c>
      <c r="E40" s="14">
        <v>7.5</v>
      </c>
      <c r="F40" s="6" t="s">
        <v>27</v>
      </c>
      <c r="G40" s="7"/>
      <c r="H40" s="7">
        <v>3</v>
      </c>
      <c r="I40" s="7"/>
      <c r="J40" s="8">
        <f t="shared" si="2"/>
        <v>3</v>
      </c>
      <c r="K40" s="9">
        <f t="shared" si="3"/>
        <v>18.600000000000001</v>
      </c>
      <c r="L40" s="9"/>
      <c r="M40" s="9"/>
      <c r="N40" s="9"/>
      <c r="O40" s="9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51">
        <v>750</v>
      </c>
      <c r="B41" s="14" t="s">
        <v>391</v>
      </c>
      <c r="C41" s="14">
        <v>3.7</v>
      </c>
      <c r="D41" s="14">
        <v>4.5</v>
      </c>
      <c r="E41" s="14">
        <v>4.95</v>
      </c>
      <c r="F41" s="6" t="s">
        <v>27</v>
      </c>
      <c r="G41" s="7"/>
      <c r="H41" s="7">
        <v>1</v>
      </c>
      <c r="I41" s="7"/>
      <c r="J41" s="8">
        <f t="shared" si="2"/>
        <v>1</v>
      </c>
      <c r="K41" s="9">
        <f t="shared" si="3"/>
        <v>3.7</v>
      </c>
      <c r="L41" s="9"/>
      <c r="M41" s="9"/>
      <c r="N41" s="9"/>
      <c r="O41" s="9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51">
        <v>750</v>
      </c>
      <c r="B42" s="14" t="s">
        <v>392</v>
      </c>
      <c r="C42" s="14">
        <v>6.21</v>
      </c>
      <c r="D42" s="14">
        <v>6.9</v>
      </c>
      <c r="E42" s="14">
        <v>7.9</v>
      </c>
      <c r="F42" s="6" t="s">
        <v>27</v>
      </c>
      <c r="G42" s="7"/>
      <c r="H42" s="7">
        <v>6</v>
      </c>
      <c r="I42" s="7"/>
      <c r="J42" s="8">
        <f t="shared" si="2"/>
        <v>6</v>
      </c>
      <c r="K42" s="9">
        <f t="shared" si="3"/>
        <v>37.26</v>
      </c>
      <c r="L42" s="9"/>
      <c r="M42" s="9"/>
      <c r="N42" s="9"/>
      <c r="O42" s="9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51">
        <v>750</v>
      </c>
      <c r="B43" s="14" t="s">
        <v>393</v>
      </c>
      <c r="C43" s="14">
        <v>6.21</v>
      </c>
      <c r="D43" s="14">
        <v>7</v>
      </c>
      <c r="E43" s="14">
        <v>7.9</v>
      </c>
      <c r="F43" s="6" t="s">
        <v>27</v>
      </c>
      <c r="G43" s="7"/>
      <c r="H43" s="7">
        <v>5</v>
      </c>
      <c r="I43" s="7">
        <v>6</v>
      </c>
      <c r="J43" s="8">
        <f t="shared" si="2"/>
        <v>11</v>
      </c>
      <c r="K43" s="9">
        <f t="shared" si="3"/>
        <v>68.31</v>
      </c>
      <c r="L43" s="9"/>
      <c r="M43" s="9"/>
      <c r="N43" s="9"/>
      <c r="O43" s="9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51">
        <v>750</v>
      </c>
      <c r="B44" s="14" t="s">
        <v>394</v>
      </c>
      <c r="C44" s="14">
        <v>10.23</v>
      </c>
      <c r="D44" s="14">
        <v>11.5</v>
      </c>
      <c r="E44" s="14">
        <v>11.9</v>
      </c>
      <c r="F44" s="6" t="s">
        <v>27</v>
      </c>
      <c r="G44" s="7"/>
      <c r="H44" s="7"/>
      <c r="I44" s="7"/>
      <c r="J44" s="8">
        <f t="shared" si="2"/>
        <v>0</v>
      </c>
      <c r="K44" s="9">
        <f t="shared" si="3"/>
        <v>0</v>
      </c>
      <c r="L44" s="9"/>
      <c r="M44" s="9"/>
      <c r="N44" s="9"/>
      <c r="O44" s="9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51">
        <v>750</v>
      </c>
      <c r="B45" s="14" t="s">
        <v>395</v>
      </c>
      <c r="C45" s="14">
        <v>7.1</v>
      </c>
      <c r="D45" s="14">
        <v>8.5</v>
      </c>
      <c r="E45" s="14">
        <v>8.5</v>
      </c>
      <c r="F45" s="6" t="s">
        <v>27</v>
      </c>
      <c r="G45" s="7"/>
      <c r="H45" s="7">
        <v>2</v>
      </c>
      <c r="I45" s="7"/>
      <c r="J45" s="8">
        <f t="shared" si="2"/>
        <v>2</v>
      </c>
      <c r="K45" s="9">
        <f t="shared" si="3"/>
        <v>14.2</v>
      </c>
      <c r="L45" s="9"/>
      <c r="M45" s="9"/>
      <c r="N45" s="9"/>
      <c r="O45" s="9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51">
        <v>750</v>
      </c>
      <c r="B46" s="14" t="s">
        <v>396</v>
      </c>
      <c r="C46" s="14">
        <v>5.08</v>
      </c>
      <c r="D46" s="14">
        <v>5.95</v>
      </c>
      <c r="E46" s="14">
        <v>6.5</v>
      </c>
      <c r="F46" s="6" t="s">
        <v>27</v>
      </c>
      <c r="G46" s="7"/>
      <c r="H46" s="7">
        <v>3</v>
      </c>
      <c r="I46" s="7"/>
      <c r="J46" s="8">
        <f t="shared" si="2"/>
        <v>3</v>
      </c>
      <c r="K46" s="9">
        <f t="shared" si="3"/>
        <v>15.24</v>
      </c>
      <c r="L46" s="9"/>
      <c r="M46" s="9"/>
      <c r="N46" s="9"/>
      <c r="O46" s="9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51">
        <v>750</v>
      </c>
      <c r="B47" s="14" t="s">
        <v>397</v>
      </c>
      <c r="C47" s="14">
        <v>5.08</v>
      </c>
      <c r="D47" s="14">
        <v>5.95</v>
      </c>
      <c r="E47" s="14">
        <v>6.5</v>
      </c>
      <c r="F47" s="6" t="s">
        <v>27</v>
      </c>
      <c r="G47" s="7"/>
      <c r="H47" s="7">
        <v>5</v>
      </c>
      <c r="I47" s="7"/>
      <c r="J47" s="8">
        <f t="shared" si="2"/>
        <v>5</v>
      </c>
      <c r="K47" s="9">
        <f t="shared" si="3"/>
        <v>25.4</v>
      </c>
      <c r="L47" s="9"/>
      <c r="M47" s="9"/>
      <c r="N47" s="9"/>
      <c r="O47" s="9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51">
        <v>750</v>
      </c>
      <c r="B48" s="14" t="s">
        <v>398</v>
      </c>
      <c r="C48" s="14">
        <v>10.23</v>
      </c>
      <c r="D48" s="14">
        <v>10.9</v>
      </c>
      <c r="E48" s="14">
        <v>11.95</v>
      </c>
      <c r="F48" s="6" t="s">
        <v>27</v>
      </c>
      <c r="G48" s="7"/>
      <c r="H48" s="7">
        <v>0</v>
      </c>
      <c r="I48" s="7"/>
      <c r="J48" s="8">
        <f t="shared" si="2"/>
        <v>0</v>
      </c>
      <c r="K48" s="9">
        <f t="shared" si="3"/>
        <v>0</v>
      </c>
      <c r="L48" s="9"/>
      <c r="M48" s="9"/>
      <c r="N48" s="9"/>
      <c r="O48" s="9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51">
        <v>750</v>
      </c>
      <c r="B49" s="14" t="s">
        <v>399</v>
      </c>
      <c r="C49" s="14">
        <v>4.42</v>
      </c>
      <c r="D49" s="14">
        <v>4.95</v>
      </c>
      <c r="E49" s="14">
        <v>4.95</v>
      </c>
      <c r="F49" s="6" t="s">
        <v>27</v>
      </c>
      <c r="G49" s="7"/>
      <c r="H49" s="7">
        <v>6</v>
      </c>
      <c r="I49" s="7"/>
      <c r="J49" s="8">
        <f t="shared" si="2"/>
        <v>6</v>
      </c>
      <c r="K49" s="9">
        <f t="shared" si="3"/>
        <v>26.52</v>
      </c>
      <c r="L49" s="9"/>
      <c r="M49" s="9"/>
      <c r="N49" s="9"/>
      <c r="O49" s="9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51">
        <v>750</v>
      </c>
      <c r="B50" s="14" t="s">
        <v>400</v>
      </c>
      <c r="C50" s="14">
        <v>5.05</v>
      </c>
      <c r="D50" s="14">
        <v>5.95</v>
      </c>
      <c r="E50" s="14">
        <v>6.5</v>
      </c>
      <c r="F50" s="6" t="s">
        <v>27</v>
      </c>
      <c r="G50" s="7"/>
      <c r="H50" s="7">
        <v>1</v>
      </c>
      <c r="I50" s="7"/>
      <c r="J50" s="8">
        <f t="shared" si="2"/>
        <v>1</v>
      </c>
      <c r="K50" s="9">
        <f t="shared" si="3"/>
        <v>5.05</v>
      </c>
      <c r="L50" s="9"/>
      <c r="M50" s="9"/>
      <c r="N50" s="9"/>
      <c r="O50" s="9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51">
        <v>1500</v>
      </c>
      <c r="B51" s="14" t="s">
        <v>401</v>
      </c>
      <c r="C51" s="14">
        <v>1.96</v>
      </c>
      <c r="D51" s="14">
        <v>2.5</v>
      </c>
      <c r="E51" s="14">
        <v>2.8</v>
      </c>
      <c r="F51" s="6" t="s">
        <v>27</v>
      </c>
      <c r="G51" s="7"/>
      <c r="H51" s="7">
        <v>4</v>
      </c>
      <c r="I51" s="7">
        <v>18</v>
      </c>
      <c r="J51" s="8">
        <f t="shared" si="2"/>
        <v>22</v>
      </c>
      <c r="K51" s="9">
        <f t="shared" si="3"/>
        <v>43.12</v>
      </c>
      <c r="L51" s="21"/>
      <c r="M51" s="21"/>
      <c r="N51" s="21"/>
      <c r="O51" s="9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51">
        <v>750</v>
      </c>
      <c r="B52" s="14" t="s">
        <v>402</v>
      </c>
      <c r="C52" s="14">
        <v>4.16</v>
      </c>
      <c r="D52" s="14">
        <v>4.95</v>
      </c>
      <c r="E52" s="14">
        <v>4.95</v>
      </c>
      <c r="F52" s="6" t="s">
        <v>352</v>
      </c>
      <c r="G52" s="7">
        <v>6</v>
      </c>
      <c r="H52" s="7">
        <v>4</v>
      </c>
      <c r="I52" s="7"/>
      <c r="J52" s="8">
        <f t="shared" si="2"/>
        <v>10</v>
      </c>
      <c r="K52" s="9">
        <f t="shared" si="3"/>
        <v>41.6</v>
      </c>
      <c r="L52" s="21"/>
      <c r="M52" s="21"/>
      <c r="N52" s="21"/>
      <c r="O52" s="9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51">
        <v>750</v>
      </c>
      <c r="B53" s="14" t="s">
        <v>403</v>
      </c>
      <c r="C53" s="37">
        <v>5.65</v>
      </c>
      <c r="D53" s="37">
        <v>6.5</v>
      </c>
      <c r="E53" s="37">
        <v>6.95</v>
      </c>
      <c r="F53" s="6" t="s">
        <v>27</v>
      </c>
      <c r="G53" s="7"/>
      <c r="H53" s="7">
        <v>3</v>
      </c>
      <c r="I53" s="7">
        <v>18</v>
      </c>
      <c r="J53" s="8">
        <f t="shared" si="2"/>
        <v>21</v>
      </c>
      <c r="K53" s="9">
        <f t="shared" si="3"/>
        <v>118.65</v>
      </c>
      <c r="L53" s="9"/>
      <c r="M53" s="9"/>
      <c r="N53" s="9"/>
      <c r="O53" s="9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51">
        <v>750</v>
      </c>
      <c r="B54" s="14" t="s">
        <v>404</v>
      </c>
      <c r="C54" s="14">
        <v>19.239999999999998</v>
      </c>
      <c r="D54" s="14">
        <v>22</v>
      </c>
      <c r="E54" s="14">
        <v>22</v>
      </c>
      <c r="F54" s="6" t="s">
        <v>27</v>
      </c>
      <c r="G54" s="7"/>
      <c r="H54" s="7">
        <v>1</v>
      </c>
      <c r="I54" s="7"/>
      <c r="J54" s="8">
        <f t="shared" si="2"/>
        <v>1</v>
      </c>
      <c r="K54" s="9">
        <f t="shared" si="3"/>
        <v>19.239999999999998</v>
      </c>
      <c r="L54" s="21"/>
      <c r="M54" s="21"/>
      <c r="N54" s="21"/>
      <c r="O54" s="9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51"/>
      <c r="B55" s="14"/>
      <c r="C55" s="14"/>
      <c r="D55" s="14"/>
      <c r="E55" s="14"/>
      <c r="F55" s="53"/>
      <c r="G55" s="54"/>
      <c r="H55" s="54"/>
      <c r="I55" s="7"/>
      <c r="J55" s="9"/>
      <c r="K55" s="21"/>
      <c r="L55" s="21"/>
      <c r="M55" s="21"/>
      <c r="N55" s="21"/>
      <c r="O55" s="9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3">
      <c r="A56" s="51"/>
      <c r="B56" s="55" t="s">
        <v>405</v>
      </c>
      <c r="C56" s="14"/>
      <c r="D56" s="14"/>
      <c r="E56" s="14"/>
      <c r="F56" s="53"/>
      <c r="G56" s="54"/>
      <c r="H56" s="54"/>
      <c r="I56" s="7"/>
      <c r="J56" s="9"/>
      <c r="K56" s="21"/>
      <c r="L56" s="21"/>
      <c r="M56" s="21"/>
      <c r="N56" s="21"/>
      <c r="O56" s="9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51"/>
      <c r="B57" s="14"/>
      <c r="C57" s="14"/>
      <c r="D57" s="14"/>
      <c r="E57" s="14"/>
      <c r="F57" s="53"/>
      <c r="G57" s="54"/>
      <c r="H57" s="54"/>
      <c r="I57" s="7"/>
      <c r="J57" s="9"/>
      <c r="K57" s="21"/>
      <c r="L57" s="21"/>
      <c r="M57" s="21"/>
      <c r="N57" s="21"/>
      <c r="O57" s="9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52">
        <v>200</v>
      </c>
      <c r="B58" s="37" t="s">
        <v>406</v>
      </c>
      <c r="C58" s="37">
        <v>2.41</v>
      </c>
      <c r="D58" s="37">
        <v>2.95</v>
      </c>
      <c r="E58" s="37">
        <v>2.95</v>
      </c>
      <c r="F58" s="6" t="s">
        <v>27</v>
      </c>
      <c r="G58" s="7"/>
      <c r="H58" s="7">
        <v>3</v>
      </c>
      <c r="I58" s="7"/>
      <c r="J58" s="8">
        <f t="shared" ref="J58:J66" si="4">SUM(G58:I58)</f>
        <v>3</v>
      </c>
      <c r="K58" s="9">
        <f t="shared" ref="K58:K66" si="5">SUM(C58*J58)</f>
        <v>7.23</v>
      </c>
      <c r="M58" s="56"/>
      <c r="N58" s="56"/>
      <c r="O58" s="5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1:27" ht="12.75" customHeight="1" x14ac:dyDescent="0.25">
      <c r="A59" s="52">
        <v>200</v>
      </c>
      <c r="B59" s="37" t="s">
        <v>407</v>
      </c>
      <c r="C59" s="37">
        <v>7.24</v>
      </c>
      <c r="D59" s="37">
        <v>8</v>
      </c>
      <c r="E59" s="37">
        <v>8</v>
      </c>
      <c r="F59" s="6" t="s">
        <v>27</v>
      </c>
      <c r="G59" s="7"/>
      <c r="H59" s="7"/>
      <c r="I59" s="7">
        <v>16</v>
      </c>
      <c r="J59" s="8">
        <f t="shared" si="4"/>
        <v>16</v>
      </c>
      <c r="K59" s="9">
        <f t="shared" si="5"/>
        <v>115.84</v>
      </c>
      <c r="M59" s="56"/>
      <c r="N59" s="56"/>
      <c r="O59" s="5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1:27" ht="12.75" customHeight="1" x14ac:dyDescent="0.25">
      <c r="A60" s="52">
        <v>200</v>
      </c>
      <c r="B60" s="37" t="s">
        <v>408</v>
      </c>
      <c r="C60" s="22">
        <v>2.27</v>
      </c>
      <c r="D60" s="37">
        <v>2.95</v>
      </c>
      <c r="E60" s="37">
        <v>2.95</v>
      </c>
      <c r="F60" s="6" t="s">
        <v>27</v>
      </c>
      <c r="G60" s="7"/>
      <c r="H60" s="7">
        <v>17</v>
      </c>
      <c r="I60" s="7"/>
      <c r="J60" s="8">
        <f t="shared" si="4"/>
        <v>17</v>
      </c>
      <c r="K60" s="9">
        <f t="shared" si="5"/>
        <v>38.590000000000003</v>
      </c>
      <c r="L60" s="57"/>
      <c r="M60" s="57"/>
      <c r="N60" s="57"/>
      <c r="O60" s="5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1:27" ht="12.75" customHeight="1" x14ac:dyDescent="0.25">
      <c r="A61" s="52">
        <v>200</v>
      </c>
      <c r="B61" s="37" t="s">
        <v>409</v>
      </c>
      <c r="C61" s="22">
        <v>6.81</v>
      </c>
      <c r="D61" s="37">
        <v>8</v>
      </c>
      <c r="E61" s="37">
        <v>8</v>
      </c>
      <c r="F61" s="6" t="s">
        <v>27</v>
      </c>
      <c r="G61" s="7"/>
      <c r="H61" s="7"/>
      <c r="I61" s="7"/>
      <c r="J61" s="8">
        <f t="shared" si="4"/>
        <v>0</v>
      </c>
      <c r="K61" s="9">
        <f t="shared" si="5"/>
        <v>0</v>
      </c>
      <c r="L61" s="57"/>
      <c r="M61" s="57"/>
      <c r="N61" s="57"/>
      <c r="O61" s="5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1:27" ht="12.75" customHeight="1" x14ac:dyDescent="0.25">
      <c r="A62" s="52">
        <v>200</v>
      </c>
      <c r="B62" s="37" t="s">
        <v>410</v>
      </c>
      <c r="C62" s="37">
        <v>7.36</v>
      </c>
      <c r="D62" s="37">
        <v>8</v>
      </c>
      <c r="E62" s="37">
        <v>8</v>
      </c>
      <c r="F62" s="6" t="s">
        <v>27</v>
      </c>
      <c r="G62" s="7"/>
      <c r="H62" s="7">
        <v>1</v>
      </c>
      <c r="I62" s="7">
        <v>16</v>
      </c>
      <c r="J62" s="8">
        <f t="shared" si="4"/>
        <v>17</v>
      </c>
      <c r="K62" s="9">
        <f t="shared" si="5"/>
        <v>125.12</v>
      </c>
      <c r="L62" s="21"/>
      <c r="M62" s="21"/>
      <c r="N62" s="21"/>
      <c r="O62" s="9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52">
        <v>200</v>
      </c>
      <c r="B63" s="37" t="s">
        <v>411</v>
      </c>
      <c r="C63" s="37">
        <v>2.78</v>
      </c>
      <c r="D63" s="37">
        <v>3</v>
      </c>
      <c r="E63" s="37">
        <v>3.5</v>
      </c>
      <c r="F63" s="6" t="s">
        <v>368</v>
      </c>
      <c r="G63" s="7"/>
      <c r="H63" s="7">
        <v>5</v>
      </c>
      <c r="I63" s="7"/>
      <c r="J63" s="8">
        <f t="shared" si="4"/>
        <v>5</v>
      </c>
      <c r="K63" s="9">
        <f t="shared" si="5"/>
        <v>13.899999999999999</v>
      </c>
      <c r="L63" s="56"/>
      <c r="M63" s="56"/>
      <c r="N63" s="56"/>
      <c r="O63" s="5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ht="12.75" customHeight="1" x14ac:dyDescent="0.25">
      <c r="A64" s="52">
        <v>200</v>
      </c>
      <c r="B64" s="37" t="s">
        <v>412</v>
      </c>
      <c r="C64" s="37">
        <v>8.34</v>
      </c>
      <c r="D64" s="37">
        <v>8.9499999999999993</v>
      </c>
      <c r="E64" s="37">
        <v>8.9499999999999993</v>
      </c>
      <c r="F64" s="6" t="s">
        <v>368</v>
      </c>
      <c r="G64" s="7"/>
      <c r="H64" s="7"/>
      <c r="I64" s="7"/>
      <c r="J64" s="8">
        <f t="shared" si="4"/>
        <v>0</v>
      </c>
      <c r="K64" s="9">
        <f t="shared" si="5"/>
        <v>0</v>
      </c>
      <c r="L64" s="56"/>
      <c r="M64" s="56"/>
      <c r="N64" s="56"/>
      <c r="O64" s="5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1:27" ht="12.75" customHeight="1" x14ac:dyDescent="0.25">
      <c r="A65" s="52">
        <v>200</v>
      </c>
      <c r="B65" s="37" t="s">
        <v>413</v>
      </c>
      <c r="C65" s="37">
        <v>2.78</v>
      </c>
      <c r="D65" s="37">
        <v>3</v>
      </c>
      <c r="E65" s="37">
        <v>3.5</v>
      </c>
      <c r="F65" s="6" t="s">
        <v>368</v>
      </c>
      <c r="G65" s="7"/>
      <c r="H65" s="7"/>
      <c r="I65" s="7"/>
      <c r="J65" s="8">
        <f t="shared" si="4"/>
        <v>0</v>
      </c>
      <c r="K65" s="9">
        <f t="shared" si="5"/>
        <v>0</v>
      </c>
      <c r="L65" s="56"/>
      <c r="M65" s="56"/>
      <c r="N65" s="56"/>
      <c r="O65" s="5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1:27" ht="12.75" customHeight="1" x14ac:dyDescent="0.25">
      <c r="A66" s="52">
        <v>200</v>
      </c>
      <c r="B66" s="37" t="s">
        <v>414</v>
      </c>
      <c r="C66" s="37">
        <v>8.34</v>
      </c>
      <c r="D66" s="37">
        <v>9</v>
      </c>
      <c r="E66" s="37">
        <v>9</v>
      </c>
      <c r="F66" s="6" t="s">
        <v>368</v>
      </c>
      <c r="G66" s="7"/>
      <c r="H66" s="7"/>
      <c r="I66" s="7">
        <v>8</v>
      </c>
      <c r="J66" s="8">
        <f t="shared" si="4"/>
        <v>8</v>
      </c>
      <c r="K66" s="9">
        <f t="shared" si="5"/>
        <v>66.72</v>
      </c>
      <c r="L66" s="56"/>
      <c r="M66" s="56"/>
      <c r="N66" s="56"/>
      <c r="O66" s="5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1:27" ht="12.75" customHeight="1" x14ac:dyDescent="0.25">
      <c r="A67" s="51"/>
      <c r="B67" s="14"/>
      <c r="C67" s="14"/>
      <c r="D67" s="14"/>
      <c r="E67" s="14"/>
      <c r="F67" s="53"/>
      <c r="G67" s="54"/>
      <c r="H67" s="54"/>
      <c r="I67" s="7"/>
      <c r="J67" s="9"/>
      <c r="K67" s="21"/>
      <c r="L67" s="21"/>
      <c r="M67" s="21"/>
      <c r="N67" s="21"/>
      <c r="O67" s="9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52">
        <v>750</v>
      </c>
      <c r="B68" s="37" t="s">
        <v>406</v>
      </c>
      <c r="C68" s="37">
        <v>6.35</v>
      </c>
      <c r="D68" s="37">
        <v>7.95</v>
      </c>
      <c r="E68" s="37">
        <v>7.95</v>
      </c>
      <c r="F68" s="6" t="s">
        <v>27</v>
      </c>
      <c r="G68" s="7"/>
      <c r="H68" s="7">
        <v>4</v>
      </c>
      <c r="I68" s="7">
        <v>9</v>
      </c>
      <c r="J68" s="8">
        <f t="shared" ref="J68:J79" si="6">SUM(G68:I68)</f>
        <v>13</v>
      </c>
      <c r="K68" s="9">
        <f t="shared" ref="K68:K79" si="7">SUM(C68*J68)</f>
        <v>82.55</v>
      </c>
      <c r="L68" s="56"/>
      <c r="M68" s="56"/>
      <c r="N68" s="56"/>
      <c r="O68" s="5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spans="1:27" ht="12.75" customHeight="1" x14ac:dyDescent="0.25">
      <c r="A69" s="52">
        <v>750</v>
      </c>
      <c r="B69" s="37" t="s">
        <v>415</v>
      </c>
      <c r="C69" s="37">
        <v>6.71</v>
      </c>
      <c r="D69" s="37">
        <v>7.95</v>
      </c>
      <c r="E69" s="37">
        <v>7.95</v>
      </c>
      <c r="F69" s="6" t="s">
        <v>27</v>
      </c>
      <c r="G69" s="7"/>
      <c r="H69" s="7">
        <v>3</v>
      </c>
      <c r="I69" s="7"/>
      <c r="J69" s="8">
        <f t="shared" si="6"/>
        <v>3</v>
      </c>
      <c r="K69" s="9">
        <f t="shared" si="7"/>
        <v>20.13</v>
      </c>
      <c r="L69" s="56"/>
      <c r="M69" s="56"/>
      <c r="N69" s="56"/>
      <c r="O69" s="5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spans="1:27" ht="12.75" customHeight="1" x14ac:dyDescent="0.25">
      <c r="A70" s="52">
        <v>750</v>
      </c>
      <c r="B70" s="37" t="s">
        <v>416</v>
      </c>
      <c r="C70" s="37">
        <v>5.9</v>
      </c>
      <c r="D70" s="37">
        <v>6.5</v>
      </c>
      <c r="E70" s="37">
        <v>6.95</v>
      </c>
      <c r="F70" s="6" t="s">
        <v>368</v>
      </c>
      <c r="G70" s="7"/>
      <c r="H70" s="7">
        <v>2</v>
      </c>
      <c r="I70" s="7">
        <v>12</v>
      </c>
      <c r="J70" s="8">
        <f t="shared" si="6"/>
        <v>14</v>
      </c>
      <c r="K70" s="9">
        <f t="shared" si="7"/>
        <v>82.600000000000009</v>
      </c>
      <c r="L70" s="56"/>
      <c r="M70" s="56"/>
      <c r="N70" s="56"/>
      <c r="O70" s="5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spans="1:27" ht="12.75" customHeight="1" x14ac:dyDescent="0.25">
      <c r="A71" s="52">
        <v>750</v>
      </c>
      <c r="B71" s="37" t="s">
        <v>417</v>
      </c>
      <c r="C71" s="37">
        <v>5.9</v>
      </c>
      <c r="D71" s="37">
        <v>6.5</v>
      </c>
      <c r="E71" s="37">
        <v>6.95</v>
      </c>
      <c r="F71" s="6" t="s">
        <v>368</v>
      </c>
      <c r="G71" s="7"/>
      <c r="H71" s="7">
        <v>4</v>
      </c>
      <c r="I71" s="7">
        <v>3</v>
      </c>
      <c r="J71" s="8">
        <f t="shared" si="6"/>
        <v>7</v>
      </c>
      <c r="K71" s="9">
        <f t="shared" si="7"/>
        <v>41.300000000000004</v>
      </c>
      <c r="L71" s="56"/>
      <c r="M71" s="56"/>
      <c r="N71" s="56"/>
      <c r="O71" s="5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spans="1:27" ht="12.75" customHeight="1" x14ac:dyDescent="0.25">
      <c r="A72" s="52">
        <v>750</v>
      </c>
      <c r="B72" s="37" t="s">
        <v>418</v>
      </c>
      <c r="C72" s="37">
        <v>7.25</v>
      </c>
      <c r="D72" s="37">
        <v>8.5</v>
      </c>
      <c r="E72" s="37">
        <v>8.9</v>
      </c>
      <c r="F72" s="6" t="s">
        <v>368</v>
      </c>
      <c r="G72" s="7"/>
      <c r="H72" s="7">
        <v>4</v>
      </c>
      <c r="I72" s="7">
        <v>10</v>
      </c>
      <c r="J72" s="8">
        <f t="shared" si="6"/>
        <v>14</v>
      </c>
      <c r="K72" s="9">
        <f t="shared" si="7"/>
        <v>101.5</v>
      </c>
      <c r="L72" s="21"/>
      <c r="M72" s="21"/>
      <c r="N72" s="21"/>
      <c r="O72" s="9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52">
        <v>750</v>
      </c>
      <c r="B73" s="37" t="s">
        <v>419</v>
      </c>
      <c r="C73" s="37">
        <v>5.78</v>
      </c>
      <c r="D73" s="37">
        <v>6.5</v>
      </c>
      <c r="E73" s="37">
        <v>6.95</v>
      </c>
      <c r="F73" s="6" t="s">
        <v>368</v>
      </c>
      <c r="G73" s="7"/>
      <c r="H73" s="7">
        <v>4</v>
      </c>
      <c r="I73" s="7">
        <v>3</v>
      </c>
      <c r="J73" s="8">
        <f t="shared" si="6"/>
        <v>7</v>
      </c>
      <c r="K73" s="9">
        <f t="shared" si="7"/>
        <v>40.46</v>
      </c>
      <c r="L73" s="57"/>
      <c r="M73" s="57"/>
      <c r="N73" s="57"/>
      <c r="O73" s="5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spans="1:27" ht="12.75" customHeight="1" x14ac:dyDescent="0.25">
      <c r="A74" s="52">
        <v>750</v>
      </c>
      <c r="B74" s="37" t="s">
        <v>420</v>
      </c>
      <c r="C74" s="37">
        <v>5.78</v>
      </c>
      <c r="D74" s="37">
        <v>6.5</v>
      </c>
      <c r="E74" s="37">
        <v>6.95</v>
      </c>
      <c r="F74" s="6" t="s">
        <v>368</v>
      </c>
      <c r="G74" s="7"/>
      <c r="H74" s="7">
        <v>4</v>
      </c>
      <c r="I74" s="7">
        <v>2</v>
      </c>
      <c r="J74" s="8">
        <f t="shared" si="6"/>
        <v>6</v>
      </c>
      <c r="K74" s="9">
        <f t="shared" si="7"/>
        <v>34.68</v>
      </c>
      <c r="L74" s="57"/>
      <c r="M74" s="57"/>
      <c r="N74" s="57"/>
      <c r="O74" s="5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spans="1:27" ht="12.75" customHeight="1" x14ac:dyDescent="0.25">
      <c r="A75" s="52">
        <v>750</v>
      </c>
      <c r="B75" s="37" t="s">
        <v>421</v>
      </c>
      <c r="C75" s="37">
        <v>6.71</v>
      </c>
      <c r="D75" s="37">
        <v>7.5</v>
      </c>
      <c r="E75" s="37">
        <v>8</v>
      </c>
      <c r="F75" s="6" t="s">
        <v>368</v>
      </c>
      <c r="G75" s="7"/>
      <c r="H75" s="7">
        <v>4</v>
      </c>
      <c r="I75" s="7">
        <v>6</v>
      </c>
      <c r="J75" s="8">
        <f t="shared" si="6"/>
        <v>10</v>
      </c>
      <c r="K75" s="9">
        <f t="shared" si="7"/>
        <v>67.099999999999994</v>
      </c>
      <c r="L75" s="56"/>
      <c r="M75" s="56"/>
      <c r="N75" s="56"/>
      <c r="O75" s="5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spans="1:27" ht="12.75" customHeight="1" x14ac:dyDescent="0.25">
      <c r="A76" s="52">
        <v>750</v>
      </c>
      <c r="B76" s="37" t="s">
        <v>422</v>
      </c>
      <c r="C76" s="37">
        <v>7.96</v>
      </c>
      <c r="D76" s="37">
        <v>8.9</v>
      </c>
      <c r="E76" s="37">
        <v>8.9</v>
      </c>
      <c r="F76" s="6" t="s">
        <v>368</v>
      </c>
      <c r="G76" s="7"/>
      <c r="H76" s="7">
        <v>4</v>
      </c>
      <c r="I76" s="7"/>
      <c r="J76" s="8">
        <f t="shared" si="6"/>
        <v>4</v>
      </c>
      <c r="K76" s="9">
        <f t="shared" si="7"/>
        <v>31.84</v>
      </c>
      <c r="L76" s="56"/>
      <c r="M76" s="56"/>
      <c r="N76" s="56"/>
      <c r="O76" s="5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spans="1:27" ht="12.75" customHeight="1" x14ac:dyDescent="0.25">
      <c r="A77" s="52">
        <v>750</v>
      </c>
      <c r="B77" s="37" t="s">
        <v>423</v>
      </c>
      <c r="C77" s="37">
        <v>7.95</v>
      </c>
      <c r="D77" s="37">
        <v>8.9</v>
      </c>
      <c r="E77" s="37">
        <v>8.9</v>
      </c>
      <c r="F77" s="6" t="s">
        <v>368</v>
      </c>
      <c r="G77" s="7"/>
      <c r="H77" s="7">
        <v>3</v>
      </c>
      <c r="I77" s="7">
        <v>6</v>
      </c>
      <c r="J77" s="8">
        <f t="shared" si="6"/>
        <v>9</v>
      </c>
      <c r="K77" s="9">
        <f t="shared" si="7"/>
        <v>71.55</v>
      </c>
      <c r="L77" s="56"/>
      <c r="M77" s="56"/>
      <c r="N77" s="56"/>
      <c r="O77" s="5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spans="1:27" ht="12.75" customHeight="1" x14ac:dyDescent="0.25">
      <c r="A78" s="52">
        <v>750</v>
      </c>
      <c r="B78" s="37" t="s">
        <v>424</v>
      </c>
      <c r="C78" s="37">
        <v>6.95</v>
      </c>
      <c r="D78" s="37">
        <v>7.5</v>
      </c>
      <c r="E78" s="37">
        <v>7.5</v>
      </c>
      <c r="F78" s="6" t="s">
        <v>368</v>
      </c>
      <c r="G78" s="7"/>
      <c r="H78" s="7">
        <v>4</v>
      </c>
      <c r="I78" s="7"/>
      <c r="J78" s="8">
        <f t="shared" si="6"/>
        <v>4</v>
      </c>
      <c r="K78" s="9">
        <f t="shared" si="7"/>
        <v>27.8</v>
      </c>
      <c r="L78" s="57"/>
      <c r="M78" s="57"/>
      <c r="N78" s="57"/>
      <c r="O78" s="5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spans="1:27" ht="12.75" customHeight="1" x14ac:dyDescent="0.25">
      <c r="A79" s="52">
        <v>750</v>
      </c>
      <c r="B79" s="37" t="s">
        <v>425</v>
      </c>
      <c r="C79" s="37">
        <v>3.61</v>
      </c>
      <c r="D79" s="37">
        <v>3.95</v>
      </c>
      <c r="E79" s="37">
        <v>4.5</v>
      </c>
      <c r="F79" s="6" t="s">
        <v>368</v>
      </c>
      <c r="G79" s="7">
        <v>3</v>
      </c>
      <c r="H79" s="7">
        <v>6</v>
      </c>
      <c r="I79" s="7"/>
      <c r="J79" s="8">
        <f t="shared" si="6"/>
        <v>9</v>
      </c>
      <c r="K79" s="9">
        <f t="shared" si="7"/>
        <v>32.49</v>
      </c>
      <c r="L79" s="57"/>
      <c r="M79" s="57"/>
      <c r="N79" s="57"/>
      <c r="O79" s="5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spans="1:27" ht="12.75" customHeight="1" x14ac:dyDescent="0.25">
      <c r="A80" s="52"/>
      <c r="B80" s="37"/>
      <c r="C80" s="37"/>
      <c r="D80" s="37"/>
      <c r="E80" s="37"/>
      <c r="F80" s="58"/>
      <c r="G80" s="59"/>
      <c r="H80" s="59"/>
      <c r="I80" s="60"/>
      <c r="J80" s="57"/>
      <c r="K80" s="57"/>
      <c r="L80" s="57"/>
      <c r="M80" s="57"/>
      <c r="N80" s="57"/>
      <c r="O80" s="5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spans="1:27" ht="12.75" customHeight="1" x14ac:dyDescent="0.25">
      <c r="A81" s="51"/>
      <c r="B81" s="14"/>
      <c r="C81" s="14"/>
      <c r="D81" s="14"/>
      <c r="E81" s="14"/>
      <c r="F81" s="53"/>
      <c r="G81" s="54"/>
      <c r="H81" s="54"/>
      <c r="I81" s="7"/>
      <c r="J81" s="9"/>
      <c r="K81" s="21"/>
      <c r="L81" s="21"/>
      <c r="M81" s="21"/>
      <c r="N81" s="21"/>
      <c r="O81" s="9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3">
      <c r="A82" s="51"/>
      <c r="B82" s="55" t="s">
        <v>426</v>
      </c>
      <c r="C82" s="14"/>
      <c r="D82" s="14"/>
      <c r="E82" s="14"/>
      <c r="F82" s="53"/>
      <c r="G82" s="54"/>
      <c r="H82" s="54"/>
      <c r="I82" s="7"/>
      <c r="J82" s="9"/>
      <c r="K82" s="21"/>
      <c r="L82" s="21"/>
      <c r="M82" s="21"/>
      <c r="N82" s="21"/>
      <c r="O82" s="9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51"/>
      <c r="B83" s="14"/>
      <c r="C83" s="14"/>
      <c r="D83" s="14"/>
      <c r="E83" s="14"/>
      <c r="F83" s="53"/>
      <c r="G83" s="54"/>
      <c r="H83" s="54"/>
      <c r="I83" s="7"/>
      <c r="J83" s="9"/>
      <c r="K83" s="21"/>
      <c r="L83" s="21"/>
      <c r="M83" s="21"/>
      <c r="N83" s="21"/>
      <c r="O83" s="9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51">
        <v>700</v>
      </c>
      <c r="B84" s="14" t="s">
        <v>427</v>
      </c>
      <c r="C84" s="14">
        <v>41.12</v>
      </c>
      <c r="D84" s="14">
        <v>45</v>
      </c>
      <c r="E84" s="14">
        <v>45</v>
      </c>
      <c r="F84" s="6"/>
      <c r="G84" s="7"/>
      <c r="H84" s="7">
        <v>6</v>
      </c>
      <c r="I84" s="7"/>
      <c r="J84" s="8">
        <v>7</v>
      </c>
      <c r="K84" s="9">
        <f t="shared" ref="K84:K87" si="8">SUM(C84*J84)</f>
        <v>287.83999999999997</v>
      </c>
      <c r="L84" s="21"/>
      <c r="M84" s="21"/>
      <c r="N84" s="21"/>
      <c r="O84" s="9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51">
        <v>750</v>
      </c>
      <c r="B85" s="14" t="s">
        <v>428</v>
      </c>
      <c r="C85" s="14">
        <v>50.5</v>
      </c>
      <c r="D85" s="14">
        <v>54</v>
      </c>
      <c r="E85" s="14">
        <v>54</v>
      </c>
      <c r="F85" s="6"/>
      <c r="G85" s="7"/>
      <c r="H85" s="7">
        <v>2</v>
      </c>
      <c r="I85" s="7"/>
      <c r="J85" s="8">
        <f t="shared" ref="J85:J87" si="9">SUM(G85:I85)</f>
        <v>2</v>
      </c>
      <c r="K85" s="9">
        <f t="shared" si="8"/>
        <v>101</v>
      </c>
      <c r="L85" s="9"/>
      <c r="M85" s="9"/>
      <c r="N85" s="9"/>
      <c r="O85" s="9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51"/>
      <c r="B86" s="14" t="s">
        <v>429</v>
      </c>
      <c r="C86" s="14">
        <v>71.78</v>
      </c>
      <c r="D86" s="14">
        <v>77</v>
      </c>
      <c r="E86" s="14">
        <v>79</v>
      </c>
      <c r="F86" s="6"/>
      <c r="G86" s="7"/>
      <c r="H86" s="7"/>
      <c r="I86" s="7"/>
      <c r="J86" s="8">
        <f t="shared" si="9"/>
        <v>0</v>
      </c>
      <c r="K86" s="9">
        <f t="shared" si="8"/>
        <v>0</v>
      </c>
      <c r="L86" s="21"/>
      <c r="M86" s="21"/>
      <c r="N86" s="21"/>
      <c r="O86" s="9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51">
        <v>750</v>
      </c>
      <c r="B87" s="14" t="s">
        <v>430</v>
      </c>
      <c r="C87" s="14">
        <v>54.2</v>
      </c>
      <c r="D87" s="14">
        <v>58</v>
      </c>
      <c r="E87" s="14">
        <v>60</v>
      </c>
      <c r="F87" s="6"/>
      <c r="G87" s="7"/>
      <c r="H87" s="7">
        <v>3</v>
      </c>
      <c r="I87" s="7"/>
      <c r="J87" s="8">
        <f t="shared" si="9"/>
        <v>3</v>
      </c>
      <c r="K87" s="9">
        <f t="shared" si="8"/>
        <v>162.60000000000002</v>
      </c>
      <c r="L87" s="21"/>
      <c r="M87" s="21"/>
      <c r="N87" s="21"/>
      <c r="O87" s="9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51"/>
      <c r="B88" s="14"/>
      <c r="C88" s="14"/>
      <c r="D88" s="14"/>
      <c r="E88" s="14"/>
      <c r="F88" s="53"/>
      <c r="G88" s="54"/>
      <c r="H88" s="54"/>
      <c r="I88" s="7"/>
      <c r="J88" s="9"/>
      <c r="K88" s="21"/>
      <c r="L88" s="21"/>
      <c r="M88" s="21"/>
      <c r="N88" s="21"/>
      <c r="O88" s="9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51"/>
      <c r="B89" s="14"/>
      <c r="C89" s="14"/>
      <c r="D89" s="14"/>
      <c r="E89" s="14"/>
      <c r="F89" s="53"/>
      <c r="G89" s="54"/>
      <c r="H89" s="54"/>
      <c r="I89" s="7"/>
      <c r="J89" s="9"/>
      <c r="K89" s="21"/>
      <c r="L89" s="21"/>
      <c r="M89" s="21"/>
      <c r="N89" s="21"/>
      <c r="O89" s="9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51"/>
      <c r="B90" s="14"/>
      <c r="C90" s="14"/>
      <c r="D90" s="14"/>
      <c r="E90" s="14"/>
      <c r="F90" s="53"/>
      <c r="G90" s="54"/>
      <c r="H90" s="54"/>
      <c r="I90" s="7"/>
      <c r="J90" s="9"/>
      <c r="K90" s="21"/>
      <c r="L90" s="21"/>
      <c r="M90" s="21"/>
      <c r="N90" s="21"/>
      <c r="O90" s="9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51"/>
      <c r="B91" s="14"/>
      <c r="C91" s="14"/>
      <c r="D91" s="14"/>
      <c r="E91" s="14"/>
      <c r="F91" s="53"/>
      <c r="G91" s="54"/>
      <c r="H91" s="54"/>
      <c r="I91" s="7"/>
      <c r="J91" s="9"/>
      <c r="K91" s="21"/>
      <c r="L91" s="21"/>
      <c r="M91" s="21"/>
      <c r="N91" s="21"/>
      <c r="O91" s="9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51"/>
      <c r="B92" s="14"/>
      <c r="C92" s="14"/>
      <c r="D92" s="14"/>
      <c r="E92" s="14"/>
      <c r="F92" s="53"/>
      <c r="G92" s="54"/>
      <c r="H92" s="54"/>
      <c r="I92" s="7"/>
      <c r="J92" s="9"/>
      <c r="K92" s="21"/>
      <c r="L92" s="21"/>
      <c r="M92" s="21"/>
      <c r="N92" s="21"/>
      <c r="O92" s="9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51"/>
      <c r="B93" s="14"/>
      <c r="C93" s="14"/>
      <c r="D93" s="14"/>
      <c r="E93" s="14"/>
      <c r="F93" s="53"/>
      <c r="G93" s="54"/>
      <c r="H93" s="54"/>
      <c r="I93" s="7"/>
      <c r="J93" s="9"/>
      <c r="K93" s="21"/>
      <c r="L93" s="21"/>
      <c r="M93" s="21"/>
      <c r="N93" s="21"/>
      <c r="O93" s="9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51"/>
      <c r="B94" s="14"/>
      <c r="C94" s="14"/>
      <c r="D94" s="14"/>
      <c r="E94" s="14"/>
      <c r="F94" s="53"/>
      <c r="G94" s="54"/>
      <c r="H94" s="54"/>
      <c r="I94" s="7"/>
      <c r="J94" s="9"/>
      <c r="K94" s="21"/>
      <c r="L94" s="21"/>
      <c r="M94" s="21"/>
      <c r="N94" s="21"/>
      <c r="O94" s="9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51"/>
      <c r="B95" s="14"/>
      <c r="C95" s="14"/>
      <c r="D95" s="14"/>
      <c r="E95" s="14"/>
      <c r="F95" s="53"/>
      <c r="G95" s="54"/>
      <c r="H95" s="54"/>
      <c r="I95" s="7"/>
      <c r="J95" s="9"/>
      <c r="K95" s="9"/>
      <c r="L95" s="9"/>
      <c r="M95" s="9"/>
      <c r="N95" s="9"/>
      <c r="O95" s="9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51"/>
      <c r="B96" s="14"/>
      <c r="C96" s="14"/>
      <c r="D96" s="14"/>
      <c r="E96" s="14"/>
      <c r="F96" s="53"/>
      <c r="G96" s="54"/>
      <c r="H96" s="54"/>
      <c r="I96" s="7"/>
      <c r="J96" s="9"/>
      <c r="K96" s="9"/>
      <c r="L96" s="9"/>
      <c r="M96" s="9"/>
      <c r="N96" s="9"/>
      <c r="O96" s="9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51"/>
      <c r="B97" s="14"/>
      <c r="C97" s="14"/>
      <c r="D97" s="14"/>
      <c r="E97" s="14"/>
      <c r="F97" s="53"/>
      <c r="G97" s="54"/>
      <c r="H97" s="54"/>
      <c r="I97" s="7"/>
      <c r="J97" s="9"/>
      <c r="K97" s="9"/>
      <c r="L97" s="9"/>
      <c r="M97" s="9"/>
      <c r="N97" s="9"/>
      <c r="O97" s="9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51"/>
      <c r="B98" s="14"/>
      <c r="C98" s="14"/>
      <c r="D98" s="14"/>
      <c r="E98" s="14"/>
      <c r="F98" s="53"/>
      <c r="G98" s="54"/>
      <c r="H98" s="54"/>
      <c r="I98" s="7"/>
      <c r="J98" s="9"/>
      <c r="K98" s="9"/>
      <c r="L98" s="9"/>
      <c r="M98" s="9"/>
      <c r="N98" s="9"/>
      <c r="O98" s="9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51"/>
      <c r="B99" s="14"/>
      <c r="C99" s="14"/>
      <c r="D99" s="14"/>
      <c r="E99" s="14"/>
      <c r="F99" s="53"/>
      <c r="G99" s="54"/>
      <c r="H99" s="54"/>
      <c r="I99" s="7"/>
      <c r="J99" s="9"/>
      <c r="K99" s="9"/>
      <c r="L99" s="9"/>
      <c r="M99" s="9"/>
      <c r="N99" s="9"/>
      <c r="O99" s="9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51"/>
      <c r="B100" s="14"/>
      <c r="C100" s="14"/>
      <c r="D100" s="14"/>
      <c r="E100" s="14"/>
      <c r="F100" s="53"/>
      <c r="G100" s="54"/>
      <c r="H100" s="54"/>
      <c r="I100" s="7"/>
      <c r="J100" s="9"/>
      <c r="K100" s="9"/>
      <c r="L100" s="9"/>
      <c r="M100" s="9"/>
      <c r="N100" s="9"/>
      <c r="O100" s="9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53"/>
      <c r="G101" s="54"/>
      <c r="H101" s="54"/>
      <c r="I101" s="7"/>
      <c r="J101" s="9"/>
      <c r="K101" s="9"/>
      <c r="L101" s="9"/>
      <c r="M101" s="9"/>
      <c r="N101" s="9"/>
      <c r="O101" s="9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53"/>
      <c r="G102" s="54"/>
      <c r="H102" s="54"/>
      <c r="I102" s="7"/>
      <c r="J102" s="9"/>
      <c r="K102" s="9"/>
      <c r="L102" s="9"/>
      <c r="M102" s="9"/>
      <c r="N102" s="9"/>
      <c r="O102" s="9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0"/>
      <c r="B103" s="10"/>
      <c r="C103" s="14"/>
      <c r="D103" s="14"/>
      <c r="E103" s="14"/>
      <c r="F103" s="53"/>
      <c r="G103" s="54"/>
      <c r="H103" s="54"/>
      <c r="I103" s="7"/>
      <c r="J103" s="9"/>
      <c r="K103" s="21"/>
      <c r="L103" s="21"/>
      <c r="M103" s="21"/>
      <c r="N103" s="21"/>
      <c r="O103" s="9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0"/>
      <c r="B104" s="10"/>
      <c r="C104" s="14"/>
      <c r="D104" s="14"/>
      <c r="E104" s="14"/>
      <c r="F104" s="53"/>
      <c r="G104" s="54"/>
      <c r="H104" s="54"/>
      <c r="I104" s="7"/>
      <c r="J104" s="9"/>
      <c r="K104" s="21"/>
      <c r="L104" s="21"/>
      <c r="M104" s="21"/>
      <c r="N104" s="21"/>
      <c r="O104" s="9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51"/>
      <c r="B105" s="14"/>
      <c r="C105" s="14"/>
      <c r="D105" s="14"/>
      <c r="E105" s="14"/>
      <c r="F105" s="53"/>
      <c r="G105" s="54"/>
      <c r="H105" s="54"/>
      <c r="I105" s="7"/>
      <c r="J105" s="9"/>
      <c r="K105" s="21"/>
      <c r="L105" s="21"/>
      <c r="M105" s="21"/>
      <c r="N105" s="21"/>
      <c r="O105" s="9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51"/>
      <c r="B106" s="14"/>
      <c r="C106" s="14"/>
      <c r="D106" s="14"/>
      <c r="E106" s="14"/>
      <c r="F106" s="53"/>
      <c r="G106" s="54"/>
      <c r="H106" s="54"/>
      <c r="I106" s="7"/>
      <c r="J106" s="9"/>
      <c r="K106" s="9"/>
      <c r="L106" s="9"/>
      <c r="M106" s="9"/>
      <c r="N106" s="9"/>
      <c r="O106" s="9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51"/>
      <c r="B107" s="14"/>
      <c r="C107" s="14"/>
      <c r="D107" s="14"/>
      <c r="E107" s="14"/>
      <c r="F107" s="53"/>
      <c r="G107" s="54"/>
      <c r="H107" s="54"/>
      <c r="I107" s="7"/>
      <c r="J107" s="9"/>
      <c r="K107" s="9"/>
      <c r="L107" s="9"/>
      <c r="M107" s="9"/>
      <c r="N107" s="9"/>
      <c r="O107" s="9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51"/>
      <c r="B108" s="14"/>
      <c r="C108" s="14"/>
      <c r="D108" s="14"/>
      <c r="E108" s="14"/>
      <c r="F108" s="53"/>
      <c r="G108" s="54"/>
      <c r="H108" s="54"/>
      <c r="I108" s="7"/>
      <c r="J108" s="9"/>
      <c r="K108" s="9"/>
      <c r="L108" s="9"/>
      <c r="M108" s="9"/>
      <c r="N108" s="9"/>
      <c r="O108" s="9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51"/>
      <c r="B109" s="14"/>
      <c r="C109" s="14"/>
      <c r="D109" s="14"/>
      <c r="E109" s="14"/>
      <c r="F109" s="53"/>
      <c r="G109" s="54"/>
      <c r="H109" s="54"/>
      <c r="I109" s="7"/>
      <c r="J109" s="9"/>
      <c r="K109" s="21"/>
      <c r="L109" s="21"/>
      <c r="M109" s="21"/>
      <c r="N109" s="21"/>
      <c r="O109" s="9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51"/>
      <c r="B110" s="14"/>
      <c r="C110" s="14"/>
      <c r="D110" s="14"/>
      <c r="E110" s="14"/>
      <c r="F110" s="53"/>
      <c r="G110" s="54"/>
      <c r="H110" s="54"/>
      <c r="I110" s="7"/>
      <c r="J110" s="9"/>
      <c r="K110" s="21"/>
      <c r="L110" s="21"/>
      <c r="M110" s="21"/>
      <c r="N110" s="21"/>
      <c r="O110" s="9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51"/>
      <c r="B111" s="14"/>
      <c r="C111" s="14"/>
      <c r="D111" s="14"/>
      <c r="E111" s="14"/>
      <c r="F111" s="53"/>
      <c r="G111" s="54"/>
      <c r="H111" s="54"/>
      <c r="I111" s="7"/>
      <c r="J111" s="9"/>
      <c r="K111" s="21"/>
      <c r="L111" s="21"/>
      <c r="M111" s="21"/>
      <c r="N111" s="21"/>
      <c r="O111" s="9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51"/>
      <c r="B112" s="14"/>
      <c r="C112" s="14"/>
      <c r="D112" s="14"/>
      <c r="E112" s="14"/>
      <c r="F112" s="53"/>
      <c r="G112" s="54"/>
      <c r="H112" s="54"/>
      <c r="I112" s="7"/>
      <c r="J112" s="9"/>
      <c r="K112" s="21"/>
      <c r="L112" s="21"/>
      <c r="M112" s="21"/>
      <c r="N112" s="21"/>
      <c r="O112" s="9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51"/>
      <c r="B113" s="14"/>
      <c r="C113" s="14"/>
      <c r="D113" s="14"/>
      <c r="E113" s="14"/>
      <c r="F113" s="53"/>
      <c r="G113" s="54"/>
      <c r="H113" s="54"/>
      <c r="I113" s="7"/>
      <c r="J113" s="9"/>
      <c r="K113" s="21"/>
      <c r="L113" s="21"/>
      <c r="M113" s="21"/>
      <c r="N113" s="21"/>
      <c r="O113" s="9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51"/>
      <c r="B114" s="14"/>
      <c r="C114" s="14"/>
      <c r="D114" s="14"/>
      <c r="E114" s="14"/>
      <c r="F114" s="53"/>
      <c r="G114" s="54"/>
      <c r="H114" s="54"/>
      <c r="I114" s="7"/>
      <c r="J114" s="9"/>
      <c r="K114" s="21"/>
      <c r="L114" s="21"/>
      <c r="M114" s="21"/>
      <c r="N114" s="21"/>
      <c r="O114" s="9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51"/>
      <c r="B115" s="14"/>
      <c r="C115" s="14"/>
      <c r="D115" s="14"/>
      <c r="E115" s="14"/>
      <c r="F115" s="53"/>
      <c r="G115" s="54"/>
      <c r="H115" s="54"/>
      <c r="I115" s="7"/>
      <c r="J115" s="9"/>
      <c r="K115" s="21"/>
      <c r="L115" s="21"/>
      <c r="M115" s="21"/>
      <c r="N115" s="21"/>
      <c r="O115" s="9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51"/>
      <c r="B116" s="14"/>
      <c r="C116" s="14"/>
      <c r="D116" s="14"/>
      <c r="E116" s="14"/>
      <c r="F116" s="53"/>
      <c r="G116" s="54"/>
      <c r="H116" s="54"/>
      <c r="I116" s="7"/>
      <c r="J116" s="9"/>
      <c r="K116" s="21"/>
      <c r="L116" s="21"/>
      <c r="M116" s="21"/>
      <c r="N116" s="21"/>
      <c r="O116" s="9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51"/>
      <c r="B117" s="14"/>
      <c r="C117" s="14"/>
      <c r="D117" s="14"/>
      <c r="E117" s="14"/>
      <c r="F117" s="53"/>
      <c r="G117" s="54"/>
      <c r="H117" s="54"/>
      <c r="I117" s="7"/>
      <c r="J117" s="9"/>
      <c r="K117" s="21"/>
      <c r="L117" s="21"/>
      <c r="M117" s="21"/>
      <c r="N117" s="21"/>
      <c r="O117" s="9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51"/>
      <c r="B118" s="14"/>
      <c r="C118" s="14"/>
      <c r="D118" s="14"/>
      <c r="E118" s="14"/>
      <c r="F118" s="53"/>
      <c r="G118" s="54"/>
      <c r="H118" s="54"/>
      <c r="I118" s="7"/>
      <c r="J118" s="9"/>
      <c r="K118" s="21"/>
      <c r="L118" s="21"/>
      <c r="M118" s="21"/>
      <c r="N118" s="21"/>
      <c r="O118" s="9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51"/>
      <c r="B119" s="14"/>
      <c r="C119" s="14"/>
      <c r="D119" s="14"/>
      <c r="E119" s="14"/>
      <c r="F119" s="53"/>
      <c r="G119" s="54"/>
      <c r="H119" s="54"/>
      <c r="I119" s="7"/>
      <c r="J119" s="9"/>
      <c r="K119" s="21"/>
      <c r="L119" s="21"/>
      <c r="M119" s="21"/>
      <c r="N119" s="21"/>
      <c r="O119" s="9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51"/>
      <c r="B120" s="14"/>
      <c r="C120" s="14"/>
      <c r="D120" s="14"/>
      <c r="E120" s="14"/>
      <c r="F120" s="53"/>
      <c r="G120" s="54"/>
      <c r="H120" s="54"/>
      <c r="I120" s="7"/>
      <c r="J120" s="9"/>
      <c r="K120" s="21"/>
      <c r="L120" s="21"/>
      <c r="M120" s="21"/>
      <c r="N120" s="21"/>
      <c r="O120" s="9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51"/>
      <c r="B121" s="14"/>
      <c r="C121" s="14"/>
      <c r="D121" s="14"/>
      <c r="E121" s="14"/>
      <c r="F121" s="53"/>
      <c r="G121" s="54"/>
      <c r="H121" s="54"/>
      <c r="I121" s="7"/>
      <c r="J121" s="9"/>
      <c r="K121" s="21"/>
      <c r="L121" s="21"/>
      <c r="M121" s="21"/>
      <c r="N121" s="21"/>
      <c r="O121" s="9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51"/>
      <c r="B122" s="14"/>
      <c r="C122" s="14"/>
      <c r="D122" s="14"/>
      <c r="E122" s="14"/>
      <c r="F122" s="53"/>
      <c r="G122" s="54"/>
      <c r="H122" s="54"/>
      <c r="I122" s="7"/>
      <c r="J122" s="9"/>
      <c r="K122" s="21"/>
      <c r="L122" s="21"/>
      <c r="M122" s="21"/>
      <c r="N122" s="21"/>
      <c r="O122" s="9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51"/>
      <c r="B123" s="14"/>
      <c r="C123" s="14"/>
      <c r="D123" s="14"/>
      <c r="E123" s="14"/>
      <c r="F123" s="53"/>
      <c r="G123" s="54"/>
      <c r="H123" s="54"/>
      <c r="I123" s="7"/>
      <c r="J123" s="9"/>
      <c r="K123" s="21"/>
      <c r="L123" s="21"/>
      <c r="M123" s="21"/>
      <c r="N123" s="21"/>
      <c r="O123" s="9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51"/>
      <c r="B124" s="14"/>
      <c r="C124" s="14"/>
      <c r="D124" s="14"/>
      <c r="E124" s="14"/>
      <c r="F124" s="53"/>
      <c r="G124" s="54"/>
      <c r="H124" s="54"/>
      <c r="I124" s="7"/>
      <c r="J124" s="9"/>
      <c r="K124" s="21"/>
      <c r="L124" s="21"/>
      <c r="M124" s="21"/>
      <c r="N124" s="21"/>
      <c r="O124" s="9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51"/>
      <c r="B125" s="14"/>
      <c r="C125" s="14"/>
      <c r="D125" s="14"/>
      <c r="E125" s="14"/>
      <c r="F125" s="53"/>
      <c r="G125" s="54"/>
      <c r="H125" s="54"/>
      <c r="I125" s="7"/>
      <c r="J125" s="9"/>
      <c r="K125" s="21"/>
      <c r="L125" s="21"/>
      <c r="M125" s="21"/>
      <c r="N125" s="21"/>
      <c r="O125" s="9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51"/>
      <c r="B126" s="14"/>
      <c r="C126" s="14"/>
      <c r="D126" s="14"/>
      <c r="E126" s="14"/>
      <c r="F126" s="53"/>
      <c r="G126" s="54"/>
      <c r="H126" s="54"/>
      <c r="I126" s="7"/>
      <c r="J126" s="9"/>
      <c r="K126" s="21"/>
      <c r="L126" s="21"/>
      <c r="M126" s="21"/>
      <c r="N126" s="21"/>
      <c r="O126" s="9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51"/>
      <c r="B127" s="14"/>
      <c r="C127" s="14"/>
      <c r="D127" s="14"/>
      <c r="E127" s="14"/>
      <c r="F127" s="53"/>
      <c r="G127" s="54"/>
      <c r="H127" s="54"/>
      <c r="I127" s="7"/>
      <c r="J127" s="9"/>
      <c r="K127" s="21"/>
      <c r="L127" s="21"/>
      <c r="M127" s="21"/>
      <c r="N127" s="21"/>
      <c r="O127" s="9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51"/>
      <c r="B128" s="14"/>
      <c r="C128" s="14"/>
      <c r="D128" s="14"/>
      <c r="E128" s="14"/>
      <c r="F128" s="53"/>
      <c r="G128" s="54"/>
      <c r="H128" s="54"/>
      <c r="I128" s="7"/>
      <c r="J128" s="9"/>
      <c r="K128" s="9"/>
      <c r="L128" s="9"/>
      <c r="M128" s="9"/>
      <c r="N128" s="9"/>
      <c r="O128" s="9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51"/>
      <c r="B129" s="14"/>
      <c r="C129" s="14"/>
      <c r="D129" s="14"/>
      <c r="E129" s="14"/>
      <c r="F129" s="53"/>
      <c r="G129" s="54"/>
      <c r="H129" s="54"/>
      <c r="I129" s="7"/>
      <c r="J129" s="9"/>
      <c r="K129" s="21"/>
      <c r="L129" s="21"/>
      <c r="M129" s="21"/>
      <c r="N129" s="21"/>
      <c r="O129" s="9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51"/>
      <c r="B130" s="14"/>
      <c r="C130" s="14"/>
      <c r="D130" s="14"/>
      <c r="E130" s="14"/>
      <c r="F130" s="53"/>
      <c r="G130" s="54"/>
      <c r="H130" s="54"/>
      <c r="I130" s="7"/>
      <c r="J130" s="9"/>
      <c r="K130" s="21"/>
      <c r="L130" s="21"/>
      <c r="M130" s="21"/>
      <c r="N130" s="21"/>
      <c r="O130" s="9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51"/>
      <c r="B131" s="14"/>
      <c r="C131" s="14"/>
      <c r="D131" s="14"/>
      <c r="E131" s="14"/>
      <c r="F131" s="53"/>
      <c r="G131" s="54"/>
      <c r="H131" s="54"/>
      <c r="I131" s="7"/>
      <c r="J131" s="9"/>
      <c r="K131" s="21"/>
      <c r="L131" s="21"/>
      <c r="M131" s="21"/>
      <c r="N131" s="21"/>
      <c r="O131" s="9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51"/>
      <c r="B132" s="14"/>
      <c r="C132" s="14"/>
      <c r="D132" s="14"/>
      <c r="E132" s="14"/>
      <c r="F132" s="53"/>
      <c r="G132" s="54"/>
      <c r="H132" s="54"/>
      <c r="I132" s="7"/>
      <c r="J132" s="9"/>
      <c r="K132" s="21"/>
      <c r="L132" s="21"/>
      <c r="M132" s="21"/>
      <c r="N132" s="21"/>
      <c r="O132" s="9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51"/>
      <c r="B133" s="14"/>
      <c r="C133" s="14"/>
      <c r="D133" s="14"/>
      <c r="E133" s="14"/>
      <c r="F133" s="53"/>
      <c r="G133" s="54"/>
      <c r="H133" s="54"/>
      <c r="I133" s="7"/>
      <c r="J133" s="9"/>
      <c r="K133" s="21"/>
      <c r="L133" s="21"/>
      <c r="M133" s="21"/>
      <c r="N133" s="21"/>
      <c r="O133" s="9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51"/>
      <c r="B134" s="14"/>
      <c r="C134" s="14"/>
      <c r="D134" s="14"/>
      <c r="E134" s="14"/>
      <c r="F134" s="53"/>
      <c r="G134" s="54"/>
      <c r="H134" s="54"/>
      <c r="I134" s="7"/>
      <c r="J134" s="9"/>
      <c r="K134" s="21"/>
      <c r="L134" s="21"/>
      <c r="M134" s="21"/>
      <c r="N134" s="21"/>
      <c r="O134" s="9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51"/>
      <c r="B135" s="14"/>
      <c r="C135" s="14"/>
      <c r="D135" s="14"/>
      <c r="E135" s="14"/>
      <c r="F135" s="53"/>
      <c r="G135" s="54"/>
      <c r="H135" s="54"/>
      <c r="I135" s="7"/>
      <c r="J135" s="9"/>
      <c r="K135" s="21"/>
      <c r="L135" s="21"/>
      <c r="M135" s="21"/>
      <c r="N135" s="21"/>
      <c r="O135" s="9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51"/>
      <c r="B136" s="14"/>
      <c r="C136" s="14"/>
      <c r="D136" s="14"/>
      <c r="E136" s="14"/>
      <c r="F136" s="53"/>
      <c r="G136" s="54"/>
      <c r="H136" s="54"/>
      <c r="I136" s="7"/>
      <c r="J136" s="9"/>
      <c r="K136" s="21"/>
      <c r="L136" s="21"/>
      <c r="M136" s="21"/>
      <c r="N136" s="21"/>
      <c r="O136" s="9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51"/>
      <c r="B137" s="14"/>
      <c r="C137" s="14"/>
      <c r="D137" s="14"/>
      <c r="E137" s="14"/>
      <c r="F137" s="53"/>
      <c r="G137" s="54"/>
      <c r="H137" s="54"/>
      <c r="I137" s="7"/>
      <c r="J137" s="9"/>
      <c r="K137" s="21"/>
      <c r="L137" s="21"/>
      <c r="M137" s="21"/>
      <c r="N137" s="21"/>
      <c r="O137" s="9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51"/>
      <c r="B138" s="14"/>
      <c r="C138" s="14"/>
      <c r="D138" s="14"/>
      <c r="E138" s="14"/>
      <c r="F138" s="53"/>
      <c r="G138" s="54"/>
      <c r="H138" s="54"/>
      <c r="I138" s="7"/>
      <c r="J138" s="9"/>
      <c r="K138" s="21"/>
      <c r="L138" s="21"/>
      <c r="M138" s="21"/>
      <c r="N138" s="21"/>
      <c r="O138" s="9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51"/>
      <c r="B139" s="14"/>
      <c r="C139" s="14"/>
      <c r="D139" s="14"/>
      <c r="E139" s="14"/>
      <c r="F139" s="53"/>
      <c r="G139" s="54"/>
      <c r="H139" s="54"/>
      <c r="I139" s="7"/>
      <c r="J139" s="9"/>
      <c r="K139" s="21"/>
      <c r="L139" s="21"/>
      <c r="M139" s="21"/>
      <c r="N139" s="21"/>
      <c r="O139" s="9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51"/>
      <c r="B140" s="14"/>
      <c r="C140" s="14"/>
      <c r="D140" s="14"/>
      <c r="E140" s="14"/>
      <c r="F140" s="53"/>
      <c r="G140" s="54"/>
      <c r="H140" s="54"/>
      <c r="I140" s="7"/>
      <c r="J140" s="9"/>
      <c r="K140" s="21"/>
      <c r="L140" s="21"/>
      <c r="M140" s="21"/>
      <c r="N140" s="21"/>
      <c r="O140" s="9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51"/>
      <c r="B141" s="14"/>
      <c r="C141" s="14"/>
      <c r="D141" s="14"/>
      <c r="E141" s="14"/>
      <c r="F141" s="53"/>
      <c r="G141" s="54"/>
      <c r="H141" s="54"/>
      <c r="I141" s="7"/>
      <c r="J141" s="9"/>
      <c r="K141" s="21"/>
      <c r="L141" s="21"/>
      <c r="M141" s="21"/>
      <c r="N141" s="21"/>
      <c r="O141" s="9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51"/>
      <c r="B142" s="14"/>
      <c r="C142" s="14"/>
      <c r="D142" s="14"/>
      <c r="E142" s="14"/>
      <c r="F142" s="53"/>
      <c r="G142" s="54"/>
      <c r="H142" s="54"/>
      <c r="I142" s="7"/>
      <c r="J142" s="9"/>
      <c r="K142" s="21"/>
      <c r="L142" s="21"/>
      <c r="M142" s="21"/>
      <c r="N142" s="21"/>
      <c r="O142" s="9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51"/>
      <c r="B143" s="14"/>
      <c r="C143" s="14"/>
      <c r="D143" s="14"/>
      <c r="E143" s="14"/>
      <c r="F143" s="53"/>
      <c r="G143" s="54"/>
      <c r="H143" s="54"/>
      <c r="I143" s="7"/>
      <c r="J143" s="9"/>
      <c r="K143" s="21"/>
      <c r="L143" s="21"/>
      <c r="M143" s="21"/>
      <c r="N143" s="21"/>
      <c r="O143" s="9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51"/>
      <c r="B144" s="14"/>
      <c r="C144" s="14"/>
      <c r="D144" s="14"/>
      <c r="E144" s="14"/>
      <c r="F144" s="53"/>
      <c r="G144" s="54"/>
      <c r="H144" s="54"/>
      <c r="I144" s="7"/>
      <c r="J144" s="9"/>
      <c r="K144" s="21"/>
      <c r="L144" s="21"/>
      <c r="M144" s="21"/>
      <c r="N144" s="21"/>
      <c r="O144" s="9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51"/>
      <c r="B145" s="14"/>
      <c r="C145" s="14"/>
      <c r="D145" s="14"/>
      <c r="E145" s="14"/>
      <c r="F145" s="53"/>
      <c r="G145" s="54"/>
      <c r="H145" s="54"/>
      <c r="I145" s="7"/>
      <c r="J145" s="9"/>
      <c r="K145" s="21"/>
      <c r="L145" s="21"/>
      <c r="M145" s="21"/>
      <c r="N145" s="21"/>
      <c r="O145" s="9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51"/>
      <c r="B146" s="14"/>
      <c r="C146" s="14"/>
      <c r="D146" s="14"/>
      <c r="E146" s="14"/>
      <c r="F146" s="53"/>
      <c r="G146" s="54"/>
      <c r="H146" s="54"/>
      <c r="I146" s="7"/>
      <c r="J146" s="9"/>
      <c r="K146" s="21"/>
      <c r="L146" s="21"/>
      <c r="M146" s="21"/>
      <c r="N146" s="21"/>
      <c r="O146" s="9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51"/>
      <c r="B147" s="14"/>
      <c r="C147" s="14"/>
      <c r="D147" s="14"/>
      <c r="E147" s="14"/>
      <c r="F147" s="53"/>
      <c r="G147" s="54"/>
      <c r="H147" s="54"/>
      <c r="I147" s="7"/>
      <c r="J147" s="9"/>
      <c r="K147" s="9"/>
      <c r="L147" s="9"/>
      <c r="M147" s="9"/>
      <c r="N147" s="9"/>
      <c r="O147" s="9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51"/>
      <c r="B148" s="14"/>
      <c r="C148" s="14"/>
      <c r="D148" s="14"/>
      <c r="E148" s="14"/>
      <c r="F148" s="53"/>
      <c r="G148" s="54"/>
      <c r="H148" s="54"/>
      <c r="I148" s="7"/>
      <c r="J148" s="9"/>
      <c r="K148" s="9"/>
      <c r="L148" s="9"/>
      <c r="M148" s="9"/>
      <c r="N148" s="9"/>
      <c r="O148" s="9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51"/>
      <c r="B149" s="14"/>
      <c r="C149" s="14"/>
      <c r="D149" s="14"/>
      <c r="E149" s="14"/>
      <c r="F149" s="53"/>
      <c r="G149" s="54"/>
      <c r="H149" s="54"/>
      <c r="I149" s="7"/>
      <c r="J149" s="9"/>
      <c r="K149" s="9"/>
      <c r="L149" s="9"/>
      <c r="M149" s="9"/>
      <c r="N149" s="9"/>
      <c r="O149" s="9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51"/>
      <c r="B150" s="14"/>
      <c r="C150" s="14"/>
      <c r="D150" s="14"/>
      <c r="E150" s="14"/>
      <c r="F150" s="53"/>
      <c r="G150" s="54"/>
      <c r="H150" s="54"/>
      <c r="I150" s="7"/>
      <c r="J150" s="9"/>
      <c r="K150" s="9"/>
      <c r="L150" s="9"/>
      <c r="M150" s="9"/>
      <c r="N150" s="9"/>
      <c r="O150" s="9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51"/>
      <c r="B151" s="14"/>
      <c r="C151" s="14"/>
      <c r="D151" s="14"/>
      <c r="E151" s="14"/>
      <c r="F151" s="53"/>
      <c r="G151" s="54"/>
      <c r="H151" s="54"/>
      <c r="I151" s="7"/>
      <c r="J151" s="9"/>
      <c r="K151" s="9"/>
      <c r="L151" s="9"/>
      <c r="M151" s="9"/>
      <c r="N151" s="9"/>
      <c r="O151" s="9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51"/>
      <c r="B152" s="14"/>
      <c r="C152" s="14"/>
      <c r="D152" s="14"/>
      <c r="E152" s="14"/>
      <c r="F152" s="53"/>
      <c r="G152" s="54"/>
      <c r="H152" s="54"/>
      <c r="I152" s="7"/>
      <c r="J152" s="9"/>
      <c r="K152" s="9"/>
      <c r="L152" s="9"/>
      <c r="M152" s="9"/>
      <c r="N152" s="9"/>
      <c r="O152" s="9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51"/>
      <c r="B153" s="14"/>
      <c r="C153" s="14"/>
      <c r="D153" s="14"/>
      <c r="E153" s="14"/>
      <c r="F153" s="53"/>
      <c r="G153" s="54"/>
      <c r="H153" s="54"/>
      <c r="I153" s="7"/>
      <c r="J153" s="9"/>
      <c r="K153" s="9"/>
      <c r="L153" s="9"/>
      <c r="M153" s="9"/>
      <c r="N153" s="9"/>
      <c r="O153" s="9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51"/>
      <c r="B154" s="14"/>
      <c r="C154" s="14"/>
      <c r="D154" s="14"/>
      <c r="E154" s="14"/>
      <c r="F154" s="53"/>
      <c r="G154" s="54"/>
      <c r="H154" s="54"/>
      <c r="I154" s="7"/>
      <c r="J154" s="9"/>
      <c r="K154" s="9"/>
      <c r="L154" s="9"/>
      <c r="M154" s="9"/>
      <c r="N154" s="9"/>
      <c r="O154" s="9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51"/>
      <c r="B155" s="14"/>
      <c r="C155" s="14"/>
      <c r="D155" s="14"/>
      <c r="E155" s="14"/>
      <c r="F155" s="53"/>
      <c r="G155" s="54"/>
      <c r="H155" s="54"/>
      <c r="I155" s="7"/>
      <c r="J155" s="9"/>
      <c r="K155" s="9"/>
      <c r="L155" s="9"/>
      <c r="M155" s="9"/>
      <c r="N155" s="9"/>
      <c r="O155" s="9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51"/>
      <c r="B156" s="14"/>
      <c r="C156" s="14"/>
      <c r="D156" s="14"/>
      <c r="E156" s="14"/>
      <c r="F156" s="53"/>
      <c r="G156" s="54"/>
      <c r="H156" s="54"/>
      <c r="I156" s="7"/>
      <c r="J156" s="9"/>
      <c r="K156" s="9"/>
      <c r="L156" s="9"/>
      <c r="M156" s="9"/>
      <c r="N156" s="9"/>
      <c r="O156" s="9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51"/>
      <c r="B157" s="14"/>
      <c r="C157" s="14"/>
      <c r="D157" s="14"/>
      <c r="E157" s="14"/>
      <c r="F157" s="53"/>
      <c r="G157" s="54"/>
      <c r="H157" s="54"/>
      <c r="I157" s="7"/>
      <c r="J157" s="9"/>
      <c r="K157" s="9"/>
      <c r="L157" s="9"/>
      <c r="M157" s="9"/>
      <c r="N157" s="9"/>
      <c r="O157" s="9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51"/>
      <c r="B158" s="14"/>
      <c r="C158" s="14"/>
      <c r="D158" s="14"/>
      <c r="E158" s="14"/>
      <c r="F158" s="53"/>
      <c r="G158" s="54"/>
      <c r="H158" s="54"/>
      <c r="I158" s="7"/>
      <c r="J158" s="9"/>
      <c r="K158" s="9"/>
      <c r="L158" s="9"/>
      <c r="M158" s="9"/>
      <c r="N158" s="9"/>
      <c r="O158" s="9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51"/>
      <c r="B159" s="14"/>
      <c r="C159" s="14"/>
      <c r="D159" s="14"/>
      <c r="E159" s="14"/>
      <c r="F159" s="53"/>
      <c r="G159" s="54"/>
      <c r="H159" s="54"/>
      <c r="I159" s="7"/>
      <c r="J159" s="9"/>
      <c r="K159" s="9"/>
      <c r="L159" s="9"/>
      <c r="M159" s="9"/>
      <c r="N159" s="9"/>
      <c r="O159" s="9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51"/>
      <c r="B160" s="14"/>
      <c r="C160" s="14"/>
      <c r="D160" s="14"/>
      <c r="E160" s="14"/>
      <c r="F160" s="53"/>
      <c r="G160" s="54"/>
      <c r="H160" s="54"/>
      <c r="I160" s="7"/>
      <c r="J160" s="9"/>
      <c r="K160" s="9"/>
      <c r="L160" s="9"/>
      <c r="M160" s="9"/>
      <c r="N160" s="9"/>
      <c r="O160" s="9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51"/>
      <c r="B161" s="14"/>
      <c r="C161" s="14"/>
      <c r="D161" s="14"/>
      <c r="E161" s="14"/>
      <c r="F161" s="53"/>
      <c r="G161" s="54"/>
      <c r="H161" s="54"/>
      <c r="I161" s="7"/>
      <c r="J161" s="9"/>
      <c r="K161" s="9"/>
      <c r="L161" s="9"/>
      <c r="M161" s="9"/>
      <c r="N161" s="9"/>
      <c r="O161" s="9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51"/>
      <c r="B162" s="14"/>
      <c r="C162" s="14"/>
      <c r="D162" s="14"/>
      <c r="E162" s="14"/>
      <c r="F162" s="53"/>
      <c r="G162" s="54"/>
      <c r="H162" s="54"/>
      <c r="I162" s="7"/>
      <c r="J162" s="9"/>
      <c r="K162" s="9"/>
      <c r="L162" s="9"/>
      <c r="M162" s="9"/>
      <c r="N162" s="9"/>
      <c r="O162" s="9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51"/>
      <c r="B163" s="14"/>
      <c r="C163" s="14"/>
      <c r="D163" s="14"/>
      <c r="E163" s="14"/>
      <c r="F163" s="53"/>
      <c r="G163" s="54"/>
      <c r="H163" s="54"/>
      <c r="I163" s="7"/>
      <c r="J163" s="9"/>
      <c r="K163" s="9"/>
      <c r="L163" s="9"/>
      <c r="M163" s="9"/>
      <c r="N163" s="9"/>
      <c r="O163" s="9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51"/>
      <c r="B164" s="14"/>
      <c r="C164" s="14"/>
      <c r="D164" s="14"/>
      <c r="E164" s="14"/>
      <c r="F164" s="53"/>
      <c r="G164" s="54"/>
      <c r="H164" s="54"/>
      <c r="I164" s="7"/>
      <c r="J164" s="9"/>
      <c r="K164" s="9"/>
      <c r="L164" s="9"/>
      <c r="M164" s="9"/>
      <c r="N164" s="9"/>
      <c r="O164" s="9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51"/>
      <c r="B165" s="14"/>
      <c r="C165" s="14"/>
      <c r="D165" s="14"/>
      <c r="E165" s="14"/>
      <c r="F165" s="53"/>
      <c r="G165" s="54"/>
      <c r="H165" s="54"/>
      <c r="I165" s="7"/>
      <c r="J165" s="9"/>
      <c r="K165" s="9"/>
      <c r="L165" s="9"/>
      <c r="M165" s="9"/>
      <c r="N165" s="9"/>
      <c r="O165" s="9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51"/>
      <c r="B166" s="14"/>
      <c r="C166" s="14"/>
      <c r="D166" s="14"/>
      <c r="E166" s="14"/>
      <c r="F166" s="53"/>
      <c r="G166" s="54"/>
      <c r="H166" s="54"/>
      <c r="I166" s="7"/>
      <c r="J166" s="9"/>
      <c r="K166" s="9"/>
      <c r="L166" s="9"/>
      <c r="M166" s="9"/>
      <c r="N166" s="9"/>
      <c r="O166" s="9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51"/>
      <c r="B167" s="14"/>
      <c r="C167" s="14"/>
      <c r="D167" s="14"/>
      <c r="E167" s="14"/>
      <c r="F167" s="53"/>
      <c r="G167" s="54"/>
      <c r="H167" s="54"/>
      <c r="I167" s="7"/>
      <c r="J167" s="9"/>
      <c r="K167" s="9"/>
      <c r="L167" s="9"/>
      <c r="M167" s="9"/>
      <c r="N167" s="9"/>
      <c r="O167" s="9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51"/>
      <c r="B168" s="14"/>
      <c r="C168" s="14"/>
      <c r="D168" s="14"/>
      <c r="E168" s="14"/>
      <c r="F168" s="53"/>
      <c r="G168" s="54"/>
      <c r="H168" s="54"/>
      <c r="I168" s="7"/>
      <c r="J168" s="9"/>
      <c r="K168" s="9"/>
      <c r="L168" s="9"/>
      <c r="M168" s="9"/>
      <c r="N168" s="9"/>
      <c r="O168" s="9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51"/>
      <c r="B169" s="14"/>
      <c r="C169" s="14"/>
      <c r="D169" s="14"/>
      <c r="E169" s="14"/>
      <c r="F169" s="53"/>
      <c r="G169" s="54"/>
      <c r="H169" s="54"/>
      <c r="I169" s="7"/>
      <c r="J169" s="9"/>
      <c r="K169" s="9"/>
      <c r="L169" s="9"/>
      <c r="M169" s="9"/>
      <c r="N169" s="9"/>
      <c r="O169" s="9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51"/>
      <c r="B170" s="14"/>
      <c r="C170" s="14"/>
      <c r="D170" s="14"/>
      <c r="E170" s="14"/>
      <c r="F170" s="53"/>
      <c r="G170" s="54"/>
      <c r="H170" s="54"/>
      <c r="I170" s="7"/>
      <c r="J170" s="9"/>
      <c r="K170" s="9"/>
      <c r="L170" s="9"/>
      <c r="M170" s="9"/>
      <c r="N170" s="9"/>
      <c r="O170" s="9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51"/>
      <c r="B171" s="14"/>
      <c r="C171" s="14"/>
      <c r="D171" s="14"/>
      <c r="E171" s="14"/>
      <c r="F171" s="53"/>
      <c r="G171" s="54"/>
      <c r="H171" s="54"/>
      <c r="I171" s="7"/>
      <c r="J171" s="9"/>
      <c r="K171" s="9"/>
      <c r="L171" s="9"/>
      <c r="M171" s="9"/>
      <c r="N171" s="9"/>
      <c r="O171" s="9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51"/>
      <c r="B172" s="14"/>
      <c r="C172" s="14"/>
      <c r="D172" s="14"/>
      <c r="E172" s="14"/>
      <c r="F172" s="53"/>
      <c r="G172" s="54"/>
      <c r="H172" s="54"/>
      <c r="I172" s="7"/>
      <c r="J172" s="9"/>
      <c r="K172" s="9"/>
      <c r="L172" s="9"/>
      <c r="M172" s="9"/>
      <c r="N172" s="9"/>
      <c r="O172" s="9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51"/>
      <c r="B173" s="14"/>
      <c r="C173" s="14"/>
      <c r="D173" s="14"/>
      <c r="E173" s="14"/>
      <c r="F173" s="53"/>
      <c r="G173" s="54"/>
      <c r="H173" s="54"/>
      <c r="I173" s="7"/>
      <c r="J173" s="9"/>
      <c r="K173" s="9"/>
      <c r="L173" s="9"/>
      <c r="M173" s="9"/>
      <c r="N173" s="9"/>
      <c r="O173" s="9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51"/>
      <c r="B174" s="14"/>
      <c r="C174" s="14"/>
      <c r="D174" s="14"/>
      <c r="E174" s="14"/>
      <c r="F174" s="53"/>
      <c r="G174" s="54"/>
      <c r="H174" s="54"/>
      <c r="I174" s="7"/>
      <c r="J174" s="9"/>
      <c r="K174" s="9"/>
      <c r="L174" s="9"/>
      <c r="M174" s="9"/>
      <c r="N174" s="9"/>
      <c r="O174" s="9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51"/>
      <c r="B175" s="14"/>
      <c r="C175" s="14"/>
      <c r="D175" s="14"/>
      <c r="E175" s="14"/>
      <c r="F175" s="53"/>
      <c r="G175" s="54"/>
      <c r="H175" s="54"/>
      <c r="I175" s="7"/>
      <c r="J175" s="9"/>
      <c r="K175" s="9"/>
      <c r="L175" s="9"/>
      <c r="M175" s="9"/>
      <c r="N175" s="9"/>
      <c r="O175" s="9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51"/>
      <c r="B176" s="14"/>
      <c r="C176" s="14"/>
      <c r="D176" s="14"/>
      <c r="E176" s="14"/>
      <c r="F176" s="53"/>
      <c r="G176" s="54"/>
      <c r="H176" s="54"/>
      <c r="I176" s="7"/>
      <c r="J176" s="9"/>
      <c r="K176" s="9"/>
      <c r="L176" s="9"/>
      <c r="M176" s="9"/>
      <c r="N176" s="9"/>
      <c r="O176" s="9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51"/>
      <c r="B177" s="14"/>
      <c r="C177" s="14"/>
      <c r="D177" s="14"/>
      <c r="E177" s="14"/>
      <c r="F177" s="53"/>
      <c r="G177" s="54"/>
      <c r="H177" s="54"/>
      <c r="I177" s="7"/>
      <c r="J177" s="9"/>
      <c r="K177" s="9"/>
      <c r="L177" s="9"/>
      <c r="M177" s="9"/>
      <c r="N177" s="9"/>
      <c r="O177" s="9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51"/>
      <c r="B178" s="14"/>
      <c r="C178" s="14"/>
      <c r="D178" s="14"/>
      <c r="E178" s="14"/>
      <c r="F178" s="53"/>
      <c r="G178" s="54"/>
      <c r="H178" s="54"/>
      <c r="I178" s="7"/>
      <c r="J178" s="9"/>
      <c r="K178" s="9"/>
      <c r="L178" s="9"/>
      <c r="M178" s="9"/>
      <c r="N178" s="9"/>
      <c r="O178" s="9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51"/>
      <c r="B179" s="14"/>
      <c r="C179" s="14"/>
      <c r="D179" s="14"/>
      <c r="E179" s="14"/>
      <c r="F179" s="53"/>
      <c r="G179" s="54"/>
      <c r="H179" s="54"/>
      <c r="I179" s="7"/>
      <c r="J179" s="9"/>
      <c r="K179" s="9"/>
      <c r="L179" s="9"/>
      <c r="M179" s="9"/>
      <c r="N179" s="9"/>
      <c r="O179" s="9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51"/>
      <c r="B180" s="14"/>
      <c r="C180" s="14"/>
      <c r="D180" s="14"/>
      <c r="E180" s="14"/>
      <c r="F180" s="53"/>
      <c r="G180" s="54"/>
      <c r="H180" s="54"/>
      <c r="I180" s="7"/>
      <c r="J180" s="9"/>
      <c r="K180" s="9"/>
      <c r="L180" s="9"/>
      <c r="M180" s="9"/>
      <c r="N180" s="9"/>
      <c r="O180" s="9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51"/>
      <c r="B181" s="14"/>
      <c r="C181" s="14"/>
      <c r="D181" s="14"/>
      <c r="E181" s="14"/>
      <c r="F181" s="53"/>
      <c r="G181" s="54"/>
      <c r="H181" s="54"/>
      <c r="I181" s="7"/>
      <c r="J181" s="9"/>
      <c r="K181" s="9"/>
      <c r="L181" s="9"/>
      <c r="M181" s="9"/>
      <c r="N181" s="9"/>
      <c r="O181" s="9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51"/>
      <c r="B182" s="14"/>
      <c r="C182" s="14"/>
      <c r="D182" s="14"/>
      <c r="E182" s="14"/>
      <c r="F182" s="53"/>
      <c r="G182" s="54"/>
      <c r="H182" s="54"/>
      <c r="I182" s="7"/>
      <c r="J182" s="9"/>
      <c r="K182" s="9"/>
      <c r="L182" s="9"/>
      <c r="M182" s="9"/>
      <c r="N182" s="9"/>
      <c r="O182" s="9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51"/>
      <c r="B183" s="14"/>
      <c r="C183" s="14"/>
      <c r="D183" s="14"/>
      <c r="E183" s="14"/>
      <c r="F183" s="53"/>
      <c r="G183" s="54"/>
      <c r="H183" s="54"/>
      <c r="I183" s="7"/>
      <c r="J183" s="9"/>
      <c r="K183" s="9"/>
      <c r="L183" s="9"/>
      <c r="M183" s="9"/>
      <c r="N183" s="9"/>
      <c r="O183" s="9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51"/>
      <c r="B184" s="14"/>
      <c r="C184" s="14"/>
      <c r="D184" s="14"/>
      <c r="E184" s="14"/>
      <c r="F184" s="53"/>
      <c r="G184" s="54"/>
      <c r="H184" s="54"/>
      <c r="I184" s="7"/>
      <c r="J184" s="9"/>
      <c r="K184" s="9"/>
      <c r="L184" s="9"/>
      <c r="M184" s="9"/>
      <c r="N184" s="9"/>
      <c r="O184" s="9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51"/>
      <c r="B185" s="14"/>
      <c r="C185" s="14"/>
      <c r="D185" s="14"/>
      <c r="E185" s="14"/>
      <c r="F185" s="53"/>
      <c r="G185" s="54"/>
      <c r="H185" s="54"/>
      <c r="I185" s="7"/>
      <c r="J185" s="9"/>
      <c r="K185" s="9"/>
      <c r="L185" s="9"/>
      <c r="M185" s="9"/>
      <c r="N185" s="9"/>
      <c r="O185" s="9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51"/>
      <c r="B186" s="14"/>
      <c r="C186" s="14"/>
      <c r="D186" s="14"/>
      <c r="E186" s="14"/>
      <c r="F186" s="53"/>
      <c r="G186" s="54"/>
      <c r="H186" s="54"/>
      <c r="I186" s="7"/>
      <c r="J186" s="9"/>
      <c r="K186" s="9"/>
      <c r="L186" s="9"/>
      <c r="M186" s="9"/>
      <c r="N186" s="9"/>
      <c r="O186" s="9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51"/>
      <c r="B187" s="14"/>
      <c r="C187" s="14"/>
      <c r="D187" s="14"/>
      <c r="E187" s="14"/>
      <c r="F187" s="53"/>
      <c r="G187" s="54"/>
      <c r="H187" s="54"/>
      <c r="I187" s="7"/>
      <c r="J187" s="9"/>
      <c r="K187" s="9"/>
      <c r="L187" s="9"/>
      <c r="M187" s="9"/>
      <c r="N187" s="9"/>
      <c r="O187" s="9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51"/>
      <c r="B188" s="14"/>
      <c r="C188" s="14"/>
      <c r="D188" s="14"/>
      <c r="E188" s="14"/>
      <c r="F188" s="53"/>
      <c r="G188" s="54"/>
      <c r="H188" s="54"/>
      <c r="I188" s="7"/>
      <c r="J188" s="9"/>
      <c r="K188" s="9"/>
      <c r="L188" s="9"/>
      <c r="M188" s="9"/>
      <c r="N188" s="9"/>
      <c r="O188" s="9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51"/>
      <c r="B189" s="14"/>
      <c r="C189" s="14"/>
      <c r="D189" s="14"/>
      <c r="E189" s="14"/>
      <c r="F189" s="53"/>
      <c r="G189" s="54"/>
      <c r="H189" s="54"/>
      <c r="I189" s="7"/>
      <c r="J189" s="9"/>
      <c r="K189" s="9"/>
      <c r="L189" s="9"/>
      <c r="M189" s="9"/>
      <c r="N189" s="9"/>
      <c r="O189" s="9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51"/>
      <c r="B190" s="14"/>
      <c r="C190" s="14"/>
      <c r="D190" s="14"/>
      <c r="E190" s="14"/>
      <c r="F190" s="53"/>
      <c r="G190" s="54"/>
      <c r="H190" s="54"/>
      <c r="I190" s="7"/>
      <c r="J190" s="9"/>
      <c r="K190" s="9"/>
      <c r="L190" s="9"/>
      <c r="M190" s="9"/>
      <c r="N190" s="9"/>
      <c r="O190" s="9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51"/>
      <c r="B191" s="14"/>
      <c r="C191" s="14"/>
      <c r="D191" s="14"/>
      <c r="E191" s="14"/>
      <c r="F191" s="53"/>
      <c r="G191" s="54"/>
      <c r="H191" s="54"/>
      <c r="I191" s="7"/>
      <c r="J191" s="9"/>
      <c r="K191" s="9"/>
      <c r="L191" s="9"/>
      <c r="M191" s="9"/>
      <c r="N191" s="9"/>
      <c r="O191" s="9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51"/>
      <c r="B192" s="14"/>
      <c r="C192" s="14"/>
      <c r="D192" s="14"/>
      <c r="E192" s="14"/>
      <c r="F192" s="53"/>
      <c r="G192" s="54"/>
      <c r="H192" s="54"/>
      <c r="I192" s="7"/>
      <c r="J192" s="9"/>
      <c r="K192" s="9"/>
      <c r="L192" s="9"/>
      <c r="M192" s="9"/>
      <c r="N192" s="9"/>
      <c r="O192" s="9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51"/>
      <c r="B193" s="14"/>
      <c r="C193" s="14"/>
      <c r="D193" s="14"/>
      <c r="E193" s="14"/>
      <c r="F193" s="53"/>
      <c r="G193" s="54"/>
      <c r="H193" s="54"/>
      <c r="I193" s="7"/>
      <c r="J193" s="9"/>
      <c r="K193" s="9"/>
      <c r="L193" s="9"/>
      <c r="M193" s="9"/>
      <c r="N193" s="9"/>
      <c r="O193" s="9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51"/>
      <c r="B194" s="14"/>
      <c r="C194" s="14"/>
      <c r="D194" s="14"/>
      <c r="E194" s="14"/>
      <c r="F194" s="53"/>
      <c r="G194" s="54"/>
      <c r="H194" s="54"/>
      <c r="I194" s="7"/>
      <c r="J194" s="9"/>
      <c r="K194" s="9"/>
      <c r="L194" s="9"/>
      <c r="M194" s="9"/>
      <c r="N194" s="9"/>
      <c r="O194" s="9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51"/>
      <c r="B195" s="14"/>
      <c r="C195" s="14"/>
      <c r="D195" s="14"/>
      <c r="E195" s="14"/>
      <c r="F195" s="53"/>
      <c r="G195" s="54"/>
      <c r="H195" s="54"/>
      <c r="I195" s="7"/>
      <c r="J195" s="9"/>
      <c r="K195" s="9"/>
      <c r="L195" s="9"/>
      <c r="M195" s="9"/>
      <c r="N195" s="9"/>
      <c r="O195" s="9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51"/>
      <c r="B196" s="14"/>
      <c r="C196" s="14"/>
      <c r="D196" s="14"/>
      <c r="E196" s="14"/>
      <c r="F196" s="53"/>
      <c r="G196" s="54"/>
      <c r="H196" s="54"/>
      <c r="I196" s="7"/>
      <c r="J196" s="9"/>
      <c r="K196" s="9"/>
      <c r="L196" s="9"/>
      <c r="M196" s="9"/>
      <c r="N196" s="9"/>
      <c r="O196" s="9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51"/>
      <c r="B197" s="14"/>
      <c r="C197" s="14"/>
      <c r="D197" s="14"/>
      <c r="E197" s="14"/>
      <c r="F197" s="53"/>
      <c r="G197" s="54"/>
      <c r="H197" s="54"/>
      <c r="I197" s="7"/>
      <c r="J197" s="9"/>
      <c r="K197" s="9"/>
      <c r="L197" s="9"/>
      <c r="M197" s="9"/>
      <c r="N197" s="9"/>
      <c r="O197" s="9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51"/>
      <c r="B198" s="14"/>
      <c r="C198" s="14"/>
      <c r="D198" s="14"/>
      <c r="E198" s="14"/>
      <c r="F198" s="53"/>
      <c r="G198" s="54"/>
      <c r="H198" s="54"/>
      <c r="I198" s="7"/>
      <c r="J198" s="9"/>
      <c r="K198" s="9"/>
      <c r="L198" s="9"/>
      <c r="M198" s="9"/>
      <c r="N198" s="9"/>
      <c r="O198" s="9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51"/>
      <c r="B199" s="14"/>
      <c r="C199" s="14"/>
      <c r="D199" s="14"/>
      <c r="E199" s="14"/>
      <c r="F199" s="53"/>
      <c r="G199" s="54"/>
      <c r="H199" s="54"/>
      <c r="I199" s="7"/>
      <c r="J199" s="9"/>
      <c r="K199" s="9"/>
      <c r="L199" s="9"/>
      <c r="M199" s="9"/>
      <c r="N199" s="9"/>
      <c r="O199" s="9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51"/>
      <c r="B200" s="14"/>
      <c r="C200" s="14"/>
      <c r="D200" s="14"/>
      <c r="E200" s="14"/>
      <c r="F200" s="53"/>
      <c r="G200" s="54"/>
      <c r="H200" s="54"/>
      <c r="I200" s="7"/>
      <c r="J200" s="9"/>
      <c r="K200" s="9"/>
      <c r="L200" s="9"/>
      <c r="M200" s="9"/>
      <c r="N200" s="9"/>
      <c r="O200" s="9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51"/>
      <c r="B201" s="14"/>
      <c r="C201" s="14"/>
      <c r="D201" s="14"/>
      <c r="E201" s="14"/>
      <c r="F201" s="53"/>
      <c r="G201" s="54"/>
      <c r="H201" s="54"/>
      <c r="I201" s="7"/>
      <c r="J201" s="9"/>
      <c r="K201" s="9"/>
      <c r="L201" s="9"/>
      <c r="M201" s="9"/>
      <c r="N201" s="9"/>
      <c r="O201" s="9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51"/>
      <c r="B202" s="14"/>
      <c r="C202" s="14"/>
      <c r="D202" s="14"/>
      <c r="E202" s="14"/>
      <c r="F202" s="53"/>
      <c r="G202" s="54"/>
      <c r="H202" s="54"/>
      <c r="I202" s="7"/>
      <c r="J202" s="9"/>
      <c r="K202" s="9"/>
      <c r="L202" s="9"/>
      <c r="M202" s="9"/>
      <c r="N202" s="9"/>
      <c r="O202" s="9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51"/>
      <c r="B203" s="14"/>
      <c r="C203" s="14"/>
      <c r="D203" s="14"/>
      <c r="E203" s="14"/>
      <c r="F203" s="53"/>
      <c r="G203" s="54"/>
      <c r="H203" s="54"/>
      <c r="I203" s="7"/>
      <c r="J203" s="9"/>
      <c r="K203" s="9"/>
      <c r="L203" s="9"/>
      <c r="M203" s="9"/>
      <c r="N203" s="9"/>
      <c r="O203" s="9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51"/>
      <c r="B204" s="14"/>
      <c r="C204" s="14"/>
      <c r="D204" s="14"/>
      <c r="E204" s="14"/>
      <c r="F204" s="53"/>
      <c r="G204" s="54"/>
      <c r="H204" s="54"/>
      <c r="I204" s="7"/>
      <c r="J204" s="9"/>
      <c r="K204" s="9"/>
      <c r="L204" s="9"/>
      <c r="M204" s="9"/>
      <c r="N204" s="9"/>
      <c r="O204" s="9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51"/>
      <c r="B205" s="14"/>
      <c r="C205" s="14"/>
      <c r="D205" s="14"/>
      <c r="E205" s="14"/>
      <c r="F205" s="53"/>
      <c r="G205" s="54"/>
      <c r="H205" s="54"/>
      <c r="I205" s="7"/>
      <c r="J205" s="9"/>
      <c r="K205" s="9"/>
      <c r="L205" s="9"/>
      <c r="M205" s="9"/>
      <c r="N205" s="9"/>
      <c r="O205" s="9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51"/>
      <c r="B206" s="14"/>
      <c r="C206" s="14"/>
      <c r="D206" s="14"/>
      <c r="E206" s="14"/>
      <c r="F206" s="53"/>
      <c r="G206" s="54"/>
      <c r="H206" s="54"/>
      <c r="I206" s="7"/>
      <c r="J206" s="9"/>
      <c r="K206" s="9"/>
      <c r="L206" s="9"/>
      <c r="M206" s="9"/>
      <c r="N206" s="9"/>
      <c r="O206" s="9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51"/>
      <c r="B207" s="14"/>
      <c r="C207" s="14"/>
      <c r="D207" s="14"/>
      <c r="E207" s="14"/>
      <c r="F207" s="53"/>
      <c r="G207" s="54"/>
      <c r="H207" s="54"/>
      <c r="I207" s="7"/>
      <c r="J207" s="9"/>
      <c r="K207" s="9"/>
      <c r="L207" s="9"/>
      <c r="M207" s="9"/>
      <c r="N207" s="9"/>
      <c r="O207" s="9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51"/>
      <c r="B208" s="14"/>
      <c r="C208" s="14"/>
      <c r="D208" s="14"/>
      <c r="E208" s="14"/>
      <c r="F208" s="53"/>
      <c r="G208" s="54"/>
      <c r="H208" s="54"/>
      <c r="I208" s="7"/>
      <c r="J208" s="9"/>
      <c r="K208" s="21"/>
      <c r="L208" s="21"/>
      <c r="M208" s="21"/>
      <c r="N208" s="21"/>
      <c r="O208" s="9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51"/>
      <c r="B209" s="14"/>
      <c r="C209" s="14"/>
      <c r="D209" s="14"/>
      <c r="E209" s="14"/>
      <c r="F209" s="53"/>
      <c r="G209" s="54"/>
      <c r="H209" s="54"/>
      <c r="I209" s="7"/>
      <c r="J209" s="9"/>
      <c r="K209" s="9"/>
      <c r="L209" s="9"/>
      <c r="M209" s="9"/>
      <c r="N209" s="9"/>
      <c r="O209" s="9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51"/>
      <c r="B210" s="14"/>
      <c r="C210" s="14"/>
      <c r="D210" s="14"/>
      <c r="E210" s="14"/>
      <c r="F210" s="53"/>
      <c r="G210" s="54"/>
      <c r="H210" s="54"/>
      <c r="I210" s="7"/>
      <c r="J210" s="9"/>
      <c r="K210" s="9"/>
      <c r="L210" s="9"/>
      <c r="M210" s="9"/>
      <c r="N210" s="9"/>
      <c r="O210" s="9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51"/>
      <c r="B211" s="14"/>
      <c r="C211" s="14"/>
      <c r="D211" s="14"/>
      <c r="E211" s="14"/>
      <c r="F211" s="53"/>
      <c r="G211" s="54"/>
      <c r="H211" s="54"/>
      <c r="I211" s="7"/>
      <c r="J211" s="9"/>
      <c r="K211" s="9"/>
      <c r="L211" s="9"/>
      <c r="M211" s="9"/>
      <c r="N211" s="9"/>
      <c r="O211" s="9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51"/>
      <c r="B212" s="14"/>
      <c r="C212" s="14"/>
      <c r="D212" s="14"/>
      <c r="E212" s="14"/>
      <c r="F212" s="53"/>
      <c r="G212" s="54"/>
      <c r="H212" s="54"/>
      <c r="I212" s="7"/>
      <c r="J212" s="9"/>
      <c r="K212" s="9"/>
      <c r="L212" s="9"/>
      <c r="M212" s="9"/>
      <c r="N212" s="9"/>
      <c r="O212" s="9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51"/>
      <c r="B213" s="14"/>
      <c r="C213" s="14"/>
      <c r="D213" s="14"/>
      <c r="E213" s="14"/>
      <c r="F213" s="53"/>
      <c r="G213" s="54"/>
      <c r="H213" s="54"/>
      <c r="I213" s="7"/>
      <c r="J213" s="9"/>
      <c r="K213" s="9"/>
      <c r="L213" s="9"/>
      <c r="M213" s="9"/>
      <c r="N213" s="9"/>
      <c r="O213" s="9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51"/>
      <c r="B214" s="14"/>
      <c r="C214" s="14"/>
      <c r="D214" s="14"/>
      <c r="E214" s="14"/>
      <c r="F214" s="53"/>
      <c r="G214" s="54"/>
      <c r="H214" s="54"/>
      <c r="I214" s="7"/>
      <c r="J214" s="9"/>
      <c r="K214" s="9"/>
      <c r="L214" s="9"/>
      <c r="M214" s="9"/>
      <c r="N214" s="9"/>
      <c r="O214" s="9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51"/>
      <c r="B215" s="14"/>
      <c r="C215" s="14"/>
      <c r="D215" s="14"/>
      <c r="E215" s="14"/>
      <c r="F215" s="53"/>
      <c r="G215" s="54"/>
      <c r="H215" s="54"/>
      <c r="I215" s="7"/>
      <c r="J215" s="9"/>
      <c r="K215" s="9"/>
      <c r="L215" s="9"/>
      <c r="M215" s="9"/>
      <c r="N215" s="9"/>
      <c r="O215" s="9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51"/>
      <c r="B216" s="14"/>
      <c r="C216" s="14"/>
      <c r="D216" s="14"/>
      <c r="E216" s="14"/>
      <c r="F216" s="53"/>
      <c r="G216" s="54"/>
      <c r="H216" s="54"/>
      <c r="I216" s="7"/>
      <c r="J216" s="9"/>
      <c r="K216" s="9"/>
      <c r="L216" s="9"/>
      <c r="M216" s="9"/>
      <c r="N216" s="9"/>
      <c r="O216" s="9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51"/>
      <c r="B217" s="14"/>
      <c r="C217" s="14"/>
      <c r="D217" s="14"/>
      <c r="E217" s="14"/>
      <c r="F217" s="53"/>
      <c r="G217" s="54"/>
      <c r="H217" s="54"/>
      <c r="I217" s="7"/>
      <c r="J217" s="9"/>
      <c r="K217" s="9"/>
      <c r="L217" s="9"/>
      <c r="M217" s="9"/>
      <c r="N217" s="9"/>
      <c r="O217" s="9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51"/>
      <c r="B218" s="14"/>
      <c r="C218" s="14"/>
      <c r="D218" s="14"/>
      <c r="E218" s="14"/>
      <c r="F218" s="53"/>
      <c r="G218" s="54"/>
      <c r="H218" s="54"/>
      <c r="I218" s="7"/>
      <c r="J218" s="9"/>
      <c r="K218" s="9"/>
      <c r="L218" s="9"/>
      <c r="M218" s="9"/>
      <c r="N218" s="9"/>
      <c r="O218" s="9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51"/>
      <c r="B219" s="14"/>
      <c r="C219" s="14"/>
      <c r="D219" s="14"/>
      <c r="E219" s="14"/>
      <c r="F219" s="53"/>
      <c r="G219" s="54"/>
      <c r="H219" s="54"/>
      <c r="I219" s="7"/>
      <c r="J219" s="9"/>
      <c r="K219" s="9"/>
      <c r="L219" s="9"/>
      <c r="M219" s="9"/>
      <c r="N219" s="9"/>
      <c r="O219" s="9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51"/>
      <c r="B220" s="14"/>
      <c r="C220" s="14"/>
      <c r="D220" s="14"/>
      <c r="E220" s="14"/>
      <c r="F220" s="53"/>
      <c r="G220" s="54"/>
      <c r="H220" s="54"/>
      <c r="I220" s="7"/>
      <c r="J220" s="9"/>
      <c r="K220" s="9"/>
      <c r="L220" s="9"/>
      <c r="M220" s="9"/>
      <c r="N220" s="9"/>
      <c r="O220" s="9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51"/>
      <c r="B221" s="14"/>
      <c r="C221" s="14"/>
      <c r="D221" s="14"/>
      <c r="E221" s="14"/>
      <c r="F221" s="53"/>
      <c r="G221" s="54"/>
      <c r="H221" s="54"/>
      <c r="I221" s="7"/>
      <c r="J221" s="9"/>
      <c r="K221" s="9"/>
      <c r="L221" s="9"/>
      <c r="M221" s="9"/>
      <c r="N221" s="9"/>
      <c r="O221" s="9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51"/>
      <c r="B222" s="14"/>
      <c r="C222" s="14"/>
      <c r="D222" s="14"/>
      <c r="E222" s="14"/>
      <c r="F222" s="53"/>
      <c r="G222" s="54"/>
      <c r="H222" s="54"/>
      <c r="I222" s="7"/>
      <c r="J222" s="9"/>
      <c r="K222" s="9"/>
      <c r="L222" s="9"/>
      <c r="M222" s="9"/>
      <c r="N222" s="9"/>
      <c r="O222" s="9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51"/>
      <c r="B223" s="14"/>
      <c r="C223" s="14"/>
      <c r="D223" s="14"/>
      <c r="E223" s="14"/>
      <c r="F223" s="53"/>
      <c r="G223" s="54"/>
      <c r="H223" s="54"/>
      <c r="I223" s="7"/>
      <c r="J223" s="9"/>
      <c r="K223" s="9"/>
      <c r="L223" s="9"/>
      <c r="M223" s="9"/>
      <c r="N223" s="9"/>
      <c r="O223" s="9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51"/>
      <c r="B224" s="14"/>
      <c r="C224" s="14"/>
      <c r="D224" s="14"/>
      <c r="E224" s="14"/>
      <c r="F224" s="53"/>
      <c r="G224" s="54"/>
      <c r="H224" s="54"/>
      <c r="I224" s="7"/>
      <c r="J224" s="9"/>
      <c r="K224" s="9"/>
      <c r="L224" s="9"/>
      <c r="M224" s="9"/>
      <c r="N224" s="9"/>
      <c r="O224" s="9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51"/>
      <c r="B225" s="14"/>
      <c r="C225" s="14"/>
      <c r="D225" s="14"/>
      <c r="E225" s="14"/>
      <c r="F225" s="53"/>
      <c r="G225" s="54"/>
      <c r="H225" s="54"/>
      <c r="I225" s="7"/>
      <c r="J225" s="9"/>
      <c r="K225" s="9"/>
      <c r="L225" s="9"/>
      <c r="M225" s="9"/>
      <c r="N225" s="9"/>
      <c r="O225" s="9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51"/>
      <c r="B226" s="14"/>
      <c r="C226" s="14"/>
      <c r="D226" s="14"/>
      <c r="E226" s="14"/>
      <c r="F226" s="53"/>
      <c r="G226" s="54"/>
      <c r="H226" s="54"/>
      <c r="I226" s="7"/>
      <c r="J226" s="9"/>
      <c r="K226" s="9"/>
      <c r="L226" s="9"/>
      <c r="M226" s="9"/>
      <c r="N226" s="9"/>
      <c r="O226" s="9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51"/>
      <c r="B227" s="14"/>
      <c r="C227" s="14"/>
      <c r="D227" s="14"/>
      <c r="E227" s="14"/>
      <c r="F227" s="53"/>
      <c r="G227" s="54"/>
      <c r="H227" s="54"/>
      <c r="I227" s="7"/>
      <c r="J227" s="9"/>
      <c r="K227" s="9"/>
      <c r="L227" s="9"/>
      <c r="M227" s="9"/>
      <c r="N227" s="9"/>
      <c r="O227" s="9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51"/>
      <c r="B228" s="14"/>
      <c r="C228" s="14"/>
      <c r="D228" s="14"/>
      <c r="E228" s="14"/>
      <c r="F228" s="53"/>
      <c r="G228" s="54"/>
      <c r="H228" s="54"/>
      <c r="I228" s="7"/>
      <c r="J228" s="9"/>
      <c r="K228" s="9"/>
      <c r="L228" s="9"/>
      <c r="M228" s="9"/>
      <c r="N228" s="9"/>
      <c r="O228" s="9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51"/>
      <c r="B229" s="14"/>
      <c r="C229" s="14"/>
      <c r="D229" s="14"/>
      <c r="E229" s="14"/>
      <c r="F229" s="53"/>
      <c r="G229" s="54"/>
      <c r="H229" s="54"/>
      <c r="I229" s="7"/>
      <c r="J229" s="9"/>
      <c r="K229" s="9"/>
      <c r="L229" s="9"/>
      <c r="M229" s="9"/>
      <c r="N229" s="9"/>
      <c r="O229" s="9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51"/>
      <c r="B230" s="14"/>
      <c r="C230" s="14"/>
      <c r="D230" s="14"/>
      <c r="E230" s="14"/>
      <c r="F230" s="53"/>
      <c r="G230" s="54"/>
      <c r="H230" s="54"/>
      <c r="I230" s="7"/>
      <c r="J230" s="9"/>
      <c r="K230" s="9"/>
      <c r="L230" s="9"/>
      <c r="M230" s="9"/>
      <c r="N230" s="9"/>
      <c r="O230" s="9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51"/>
      <c r="B231" s="14"/>
      <c r="C231" s="14"/>
      <c r="D231" s="14"/>
      <c r="E231" s="14"/>
      <c r="F231" s="53"/>
      <c r="G231" s="54"/>
      <c r="H231" s="54"/>
      <c r="I231" s="7"/>
      <c r="J231" s="9"/>
      <c r="K231" s="9"/>
      <c r="L231" s="9"/>
      <c r="M231" s="9"/>
      <c r="N231" s="9"/>
      <c r="O231" s="9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51"/>
      <c r="B232" s="14"/>
      <c r="C232" s="14"/>
      <c r="D232" s="14"/>
      <c r="E232" s="14"/>
      <c r="F232" s="53"/>
      <c r="G232" s="54"/>
      <c r="H232" s="54"/>
      <c r="I232" s="7"/>
      <c r="J232" s="9"/>
      <c r="K232" s="9"/>
      <c r="L232" s="9"/>
      <c r="M232" s="9"/>
      <c r="N232" s="9"/>
      <c r="O232" s="9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51"/>
      <c r="B233" s="14"/>
      <c r="C233" s="14"/>
      <c r="D233" s="14"/>
      <c r="E233" s="14"/>
      <c r="F233" s="53"/>
      <c r="G233" s="54"/>
      <c r="H233" s="54"/>
      <c r="I233" s="7"/>
      <c r="J233" s="9"/>
      <c r="K233" s="9"/>
      <c r="L233" s="9"/>
      <c r="M233" s="9"/>
      <c r="N233" s="9"/>
      <c r="O233" s="9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51"/>
      <c r="B234" s="14"/>
      <c r="C234" s="14"/>
      <c r="D234" s="14"/>
      <c r="E234" s="14"/>
      <c r="F234" s="53"/>
      <c r="G234" s="54"/>
      <c r="H234" s="54"/>
      <c r="I234" s="7"/>
      <c r="J234" s="9"/>
      <c r="K234" s="9"/>
      <c r="L234" s="9"/>
      <c r="M234" s="9"/>
      <c r="N234" s="9"/>
      <c r="O234" s="9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51"/>
      <c r="B235" s="14"/>
      <c r="C235" s="14"/>
      <c r="D235" s="14"/>
      <c r="E235" s="14"/>
      <c r="F235" s="53"/>
      <c r="G235" s="54"/>
      <c r="H235" s="54"/>
      <c r="I235" s="7"/>
      <c r="J235" s="9"/>
      <c r="K235" s="9"/>
      <c r="L235" s="9"/>
      <c r="M235" s="9"/>
      <c r="N235" s="9"/>
      <c r="O235" s="9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51"/>
      <c r="B236" s="14"/>
      <c r="C236" s="14"/>
      <c r="D236" s="14"/>
      <c r="E236" s="14"/>
      <c r="F236" s="53"/>
      <c r="G236" s="54"/>
      <c r="H236" s="54"/>
      <c r="I236" s="7"/>
      <c r="J236" s="9"/>
      <c r="K236" s="9"/>
      <c r="L236" s="9"/>
      <c r="M236" s="9"/>
      <c r="N236" s="9"/>
      <c r="O236" s="9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51"/>
      <c r="B237" s="14"/>
      <c r="C237" s="14"/>
      <c r="D237" s="14"/>
      <c r="E237" s="14"/>
      <c r="F237" s="53"/>
      <c r="G237" s="54"/>
      <c r="H237" s="54"/>
      <c r="I237" s="7"/>
      <c r="J237" s="9"/>
      <c r="K237" s="9"/>
      <c r="L237" s="9"/>
      <c r="M237" s="9"/>
      <c r="N237" s="9"/>
      <c r="O237" s="9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51"/>
      <c r="B238" s="14"/>
      <c r="C238" s="14"/>
      <c r="D238" s="14"/>
      <c r="E238" s="14"/>
      <c r="F238" s="53"/>
      <c r="G238" s="54"/>
      <c r="H238" s="54"/>
      <c r="I238" s="7"/>
      <c r="J238" s="9"/>
      <c r="K238" s="9"/>
      <c r="L238" s="9"/>
      <c r="M238" s="9"/>
      <c r="N238" s="9"/>
      <c r="O238" s="9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51"/>
      <c r="B239" s="14"/>
      <c r="C239" s="14"/>
      <c r="D239" s="14"/>
      <c r="E239" s="14"/>
      <c r="F239" s="53"/>
      <c r="G239" s="54"/>
      <c r="H239" s="54"/>
      <c r="I239" s="7"/>
      <c r="J239" s="9"/>
      <c r="K239" s="9"/>
      <c r="L239" s="9"/>
      <c r="M239" s="9"/>
      <c r="N239" s="9"/>
      <c r="O239" s="9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51"/>
      <c r="B240" s="14"/>
      <c r="C240" s="14"/>
      <c r="D240" s="14"/>
      <c r="E240" s="14"/>
      <c r="F240" s="53"/>
      <c r="G240" s="54"/>
      <c r="H240" s="54"/>
      <c r="I240" s="7"/>
      <c r="J240" s="9"/>
      <c r="K240" s="9"/>
      <c r="L240" s="9"/>
      <c r="M240" s="9"/>
      <c r="N240" s="9"/>
      <c r="O240" s="9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51"/>
      <c r="B241" s="14"/>
      <c r="C241" s="14"/>
      <c r="D241" s="14"/>
      <c r="E241" s="14"/>
      <c r="F241" s="53"/>
      <c r="G241" s="54"/>
      <c r="H241" s="54"/>
      <c r="I241" s="7"/>
      <c r="J241" s="9"/>
      <c r="K241" s="9"/>
      <c r="L241" s="9"/>
      <c r="M241" s="9"/>
      <c r="N241" s="9"/>
      <c r="O241" s="9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51"/>
      <c r="B242" s="14"/>
      <c r="C242" s="14"/>
      <c r="D242" s="14"/>
      <c r="E242" s="14"/>
      <c r="F242" s="53"/>
      <c r="G242" s="54"/>
      <c r="H242" s="54"/>
      <c r="I242" s="7"/>
      <c r="J242" s="9"/>
      <c r="K242" s="9"/>
      <c r="L242" s="9"/>
      <c r="M242" s="9"/>
      <c r="N242" s="9"/>
      <c r="O242" s="9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51"/>
      <c r="B243" s="14"/>
      <c r="C243" s="14"/>
      <c r="D243" s="14"/>
      <c r="E243" s="14"/>
      <c r="F243" s="53"/>
      <c r="G243" s="54"/>
      <c r="H243" s="54"/>
      <c r="I243" s="7"/>
      <c r="J243" s="9"/>
      <c r="K243" s="9"/>
      <c r="L243" s="9"/>
      <c r="M243" s="9"/>
      <c r="N243" s="9"/>
      <c r="O243" s="9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51"/>
      <c r="B244" s="14"/>
      <c r="C244" s="14"/>
      <c r="D244" s="14"/>
      <c r="E244" s="14"/>
      <c r="F244" s="53"/>
      <c r="G244" s="54"/>
      <c r="H244" s="54"/>
      <c r="I244" s="7"/>
      <c r="J244" s="9"/>
      <c r="K244" s="9"/>
      <c r="L244" s="9"/>
      <c r="M244" s="9"/>
      <c r="N244" s="9"/>
      <c r="O244" s="9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51"/>
      <c r="B245" s="14"/>
      <c r="C245" s="14"/>
      <c r="D245" s="14"/>
      <c r="E245" s="14"/>
      <c r="F245" s="53"/>
      <c r="G245" s="54"/>
      <c r="H245" s="54"/>
      <c r="I245" s="7"/>
      <c r="J245" s="9"/>
      <c r="K245" s="9"/>
      <c r="L245" s="9"/>
      <c r="M245" s="9"/>
      <c r="N245" s="9"/>
      <c r="O245" s="9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51"/>
      <c r="B246" s="14"/>
      <c r="C246" s="14"/>
      <c r="D246" s="14"/>
      <c r="E246" s="14"/>
      <c r="F246" s="53"/>
      <c r="G246" s="54"/>
      <c r="H246" s="54"/>
      <c r="I246" s="7"/>
      <c r="J246" s="9"/>
      <c r="K246" s="9"/>
      <c r="L246" s="9"/>
      <c r="M246" s="9"/>
      <c r="N246" s="9"/>
      <c r="O246" s="9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51"/>
      <c r="B247" s="14"/>
      <c r="C247" s="14"/>
      <c r="D247" s="14"/>
      <c r="E247" s="14"/>
      <c r="F247" s="53"/>
      <c r="G247" s="54"/>
      <c r="H247" s="54"/>
      <c r="I247" s="7"/>
      <c r="J247" s="9"/>
      <c r="K247" s="9"/>
      <c r="L247" s="9"/>
      <c r="M247" s="9"/>
      <c r="N247" s="9"/>
      <c r="O247" s="9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51"/>
      <c r="B248" s="14"/>
      <c r="C248" s="14"/>
      <c r="D248" s="14"/>
      <c r="E248" s="14"/>
      <c r="F248" s="53"/>
      <c r="G248" s="54"/>
      <c r="H248" s="54"/>
      <c r="I248" s="7"/>
      <c r="J248" s="9"/>
      <c r="K248" s="9"/>
      <c r="L248" s="9"/>
      <c r="M248" s="9"/>
      <c r="N248" s="9"/>
      <c r="O248" s="9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51"/>
      <c r="B249" s="14"/>
      <c r="C249" s="14"/>
      <c r="D249" s="14"/>
      <c r="E249" s="14"/>
      <c r="F249" s="53"/>
      <c r="G249" s="54"/>
      <c r="H249" s="54"/>
      <c r="I249" s="7"/>
      <c r="J249" s="9"/>
      <c r="K249" s="9"/>
      <c r="L249" s="9"/>
      <c r="M249" s="9"/>
      <c r="N249" s="9"/>
      <c r="O249" s="9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51"/>
      <c r="B250" s="14"/>
      <c r="C250" s="14"/>
      <c r="D250" s="14"/>
      <c r="E250" s="14"/>
      <c r="F250" s="53"/>
      <c r="G250" s="54"/>
      <c r="H250" s="54"/>
      <c r="I250" s="7"/>
      <c r="J250" s="9"/>
      <c r="K250" s="9"/>
      <c r="L250" s="9"/>
      <c r="M250" s="9"/>
      <c r="N250" s="9"/>
      <c r="O250" s="9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51"/>
      <c r="B251" s="14"/>
      <c r="C251" s="14"/>
      <c r="D251" s="14"/>
      <c r="E251" s="14"/>
      <c r="F251" s="53"/>
      <c r="G251" s="54"/>
      <c r="H251" s="54"/>
      <c r="I251" s="7"/>
      <c r="J251" s="9"/>
      <c r="K251" s="9"/>
      <c r="L251" s="9"/>
      <c r="M251" s="9"/>
      <c r="N251" s="9"/>
      <c r="O251" s="9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51"/>
      <c r="B252" s="14"/>
      <c r="C252" s="14"/>
      <c r="D252" s="14"/>
      <c r="E252" s="14"/>
      <c r="F252" s="53"/>
      <c r="G252" s="54"/>
      <c r="H252" s="54"/>
      <c r="I252" s="7"/>
      <c r="J252" s="9"/>
      <c r="K252" s="9"/>
      <c r="L252" s="9"/>
      <c r="M252" s="9"/>
      <c r="N252" s="9"/>
      <c r="O252" s="9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51"/>
      <c r="B253" s="14"/>
      <c r="C253" s="14"/>
      <c r="D253" s="14"/>
      <c r="E253" s="14"/>
      <c r="F253" s="53"/>
      <c r="G253" s="54"/>
      <c r="H253" s="54"/>
      <c r="I253" s="7"/>
      <c r="J253" s="9"/>
      <c r="K253" s="9"/>
      <c r="L253" s="9"/>
      <c r="M253" s="9"/>
      <c r="N253" s="9"/>
      <c r="O253" s="9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51"/>
      <c r="B254" s="14"/>
      <c r="C254" s="14"/>
      <c r="D254" s="14"/>
      <c r="E254" s="14"/>
      <c r="F254" s="53"/>
      <c r="G254" s="54"/>
      <c r="H254" s="54"/>
      <c r="I254" s="7"/>
      <c r="J254" s="9"/>
      <c r="K254" s="9"/>
      <c r="L254" s="9"/>
      <c r="M254" s="9"/>
      <c r="N254" s="9"/>
      <c r="O254" s="9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51"/>
      <c r="B255" s="14"/>
      <c r="C255" s="14"/>
      <c r="D255" s="14"/>
      <c r="E255" s="14"/>
      <c r="F255" s="53"/>
      <c r="G255" s="54"/>
      <c r="H255" s="54"/>
      <c r="I255" s="7"/>
      <c r="J255" s="9"/>
      <c r="K255" s="9"/>
      <c r="L255" s="9"/>
      <c r="M255" s="9"/>
      <c r="N255" s="9"/>
      <c r="O255" s="9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51"/>
      <c r="B256" s="14"/>
      <c r="C256" s="14"/>
      <c r="D256" s="14"/>
      <c r="E256" s="14"/>
      <c r="F256" s="53"/>
      <c r="G256" s="54"/>
      <c r="H256" s="54"/>
      <c r="I256" s="7"/>
      <c r="J256" s="9"/>
      <c r="K256" s="9"/>
      <c r="L256" s="9"/>
      <c r="M256" s="9"/>
      <c r="N256" s="9"/>
      <c r="O256" s="9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51"/>
      <c r="B257" s="14"/>
      <c r="C257" s="14"/>
      <c r="D257" s="14"/>
      <c r="E257" s="14"/>
      <c r="F257" s="53"/>
      <c r="G257" s="54"/>
      <c r="H257" s="54"/>
      <c r="I257" s="7"/>
      <c r="J257" s="9"/>
      <c r="K257" s="9"/>
      <c r="L257" s="9"/>
      <c r="M257" s="9"/>
      <c r="N257" s="9"/>
      <c r="O257" s="9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51"/>
      <c r="B258" s="14"/>
      <c r="C258" s="14"/>
      <c r="D258" s="14"/>
      <c r="E258" s="14"/>
      <c r="F258" s="53"/>
      <c r="G258" s="54"/>
      <c r="H258" s="54"/>
      <c r="I258" s="7"/>
      <c r="J258" s="9"/>
      <c r="K258" s="9"/>
      <c r="L258" s="9"/>
      <c r="M258" s="9"/>
      <c r="N258" s="9"/>
      <c r="O258" s="9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51"/>
      <c r="B259" s="14"/>
      <c r="C259" s="14"/>
      <c r="D259" s="14"/>
      <c r="E259" s="14"/>
      <c r="F259" s="53"/>
      <c r="G259" s="54"/>
      <c r="H259" s="54"/>
      <c r="I259" s="7"/>
      <c r="J259" s="9"/>
      <c r="K259" s="9"/>
      <c r="L259" s="9"/>
      <c r="M259" s="9"/>
      <c r="N259" s="9"/>
      <c r="O259" s="9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51"/>
      <c r="B260" s="14"/>
      <c r="C260" s="14"/>
      <c r="D260" s="14"/>
      <c r="E260" s="14"/>
      <c r="F260" s="53"/>
      <c r="G260" s="54"/>
      <c r="H260" s="54"/>
      <c r="I260" s="7"/>
      <c r="J260" s="9"/>
      <c r="K260" s="9"/>
      <c r="L260" s="9"/>
      <c r="M260" s="9"/>
      <c r="N260" s="9"/>
      <c r="O260" s="9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51"/>
      <c r="B261" s="14"/>
      <c r="C261" s="14"/>
      <c r="D261" s="14"/>
      <c r="E261" s="14"/>
      <c r="F261" s="53"/>
      <c r="G261" s="54"/>
      <c r="H261" s="54"/>
      <c r="I261" s="7"/>
      <c r="J261" s="9"/>
      <c r="K261" s="9"/>
      <c r="L261" s="9"/>
      <c r="M261" s="9"/>
      <c r="N261" s="9"/>
      <c r="O261" s="9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51"/>
      <c r="B262" s="14"/>
      <c r="C262" s="14"/>
      <c r="D262" s="14"/>
      <c r="E262" s="14"/>
      <c r="F262" s="53"/>
      <c r="G262" s="54"/>
      <c r="H262" s="54"/>
      <c r="I262" s="7"/>
      <c r="J262" s="9"/>
      <c r="K262" s="9"/>
      <c r="L262" s="9"/>
      <c r="M262" s="9"/>
      <c r="N262" s="9"/>
      <c r="O262" s="9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51"/>
      <c r="B263" s="14"/>
      <c r="C263" s="14"/>
      <c r="D263" s="14"/>
      <c r="E263" s="14"/>
      <c r="F263" s="53"/>
      <c r="G263" s="54"/>
      <c r="H263" s="54"/>
      <c r="I263" s="7"/>
      <c r="J263" s="9"/>
      <c r="K263" s="21"/>
      <c r="L263" s="21"/>
      <c r="M263" s="21"/>
      <c r="N263" s="21"/>
      <c r="O263" s="9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51"/>
      <c r="B264" s="14"/>
      <c r="C264" s="14"/>
      <c r="D264" s="14"/>
      <c r="E264" s="14"/>
      <c r="F264" s="53"/>
      <c r="G264" s="54"/>
      <c r="H264" s="54"/>
      <c r="I264" s="7"/>
      <c r="J264" s="9"/>
      <c r="K264" s="9"/>
      <c r="L264" s="9"/>
      <c r="M264" s="9"/>
      <c r="N264" s="9"/>
      <c r="O264" s="9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51"/>
      <c r="B265" s="14"/>
      <c r="C265" s="14"/>
      <c r="D265" s="14"/>
      <c r="E265" s="14"/>
      <c r="F265" s="53"/>
      <c r="G265" s="54"/>
      <c r="H265" s="54"/>
      <c r="I265" s="7"/>
      <c r="J265" s="9"/>
      <c r="K265" s="9"/>
      <c r="L265" s="9"/>
      <c r="M265" s="9"/>
      <c r="N265" s="9"/>
      <c r="O265" s="9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51"/>
      <c r="B266" s="14"/>
      <c r="C266" s="14"/>
      <c r="D266" s="14"/>
      <c r="E266" s="14"/>
      <c r="F266" s="53"/>
      <c r="G266" s="54"/>
      <c r="H266" s="54"/>
      <c r="I266" s="7"/>
      <c r="J266" s="9"/>
      <c r="K266" s="9"/>
      <c r="L266" s="9"/>
      <c r="M266" s="9"/>
      <c r="N266" s="9"/>
      <c r="O266" s="9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51"/>
      <c r="B267" s="14"/>
      <c r="C267" s="14"/>
      <c r="D267" s="14"/>
      <c r="E267" s="14"/>
      <c r="F267" s="53"/>
      <c r="G267" s="54"/>
      <c r="H267" s="54"/>
      <c r="I267" s="7"/>
      <c r="J267" s="9"/>
      <c r="K267" s="9"/>
      <c r="L267" s="9"/>
      <c r="M267" s="9"/>
      <c r="N267" s="9"/>
      <c r="O267" s="9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51"/>
      <c r="B268" s="14"/>
      <c r="C268" s="14"/>
      <c r="D268" s="14"/>
      <c r="E268" s="14"/>
      <c r="F268" s="53"/>
      <c r="G268" s="54"/>
      <c r="H268" s="54"/>
      <c r="I268" s="7"/>
      <c r="J268" s="9"/>
      <c r="K268" s="21"/>
      <c r="L268" s="21"/>
      <c r="M268" s="21"/>
      <c r="N268" s="21"/>
      <c r="O268" s="9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51"/>
      <c r="B269" s="14"/>
      <c r="C269" s="14"/>
      <c r="D269" s="14"/>
      <c r="E269" s="14"/>
      <c r="F269" s="53"/>
      <c r="G269" s="54"/>
      <c r="H269" s="54"/>
      <c r="I269" s="7"/>
      <c r="J269" s="9"/>
      <c r="K269" s="21"/>
      <c r="L269" s="21"/>
      <c r="M269" s="21"/>
      <c r="N269" s="21"/>
      <c r="O269" s="9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51"/>
      <c r="B270" s="14"/>
      <c r="C270" s="14"/>
      <c r="D270" s="14"/>
      <c r="E270" s="14"/>
      <c r="F270" s="53"/>
      <c r="G270" s="54"/>
      <c r="H270" s="54"/>
      <c r="I270" s="7"/>
      <c r="J270" s="9"/>
      <c r="K270" s="21"/>
      <c r="L270" s="21"/>
      <c r="M270" s="21"/>
      <c r="N270" s="21"/>
      <c r="O270" s="9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51"/>
      <c r="B271" s="14"/>
      <c r="C271" s="14"/>
      <c r="D271" s="14"/>
      <c r="E271" s="14"/>
      <c r="F271" s="53"/>
      <c r="G271" s="54"/>
      <c r="H271" s="54"/>
      <c r="I271" s="7"/>
      <c r="J271" s="9"/>
      <c r="K271" s="21"/>
      <c r="L271" s="21"/>
      <c r="M271" s="21"/>
      <c r="N271" s="21"/>
      <c r="O271" s="9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51"/>
      <c r="B272" s="14"/>
      <c r="C272" s="14"/>
      <c r="D272" s="14"/>
      <c r="E272" s="14"/>
      <c r="F272" s="53"/>
      <c r="G272" s="54"/>
      <c r="H272" s="54"/>
      <c r="I272" s="7"/>
      <c r="J272" s="9"/>
      <c r="K272" s="21"/>
      <c r="L272" s="21"/>
      <c r="M272" s="21"/>
      <c r="N272" s="21"/>
      <c r="O272" s="9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51"/>
      <c r="B273" s="14"/>
      <c r="C273" s="14"/>
      <c r="D273" s="14"/>
      <c r="E273" s="14"/>
      <c r="F273" s="53"/>
      <c r="G273" s="54"/>
      <c r="H273" s="54"/>
      <c r="I273" s="7"/>
      <c r="J273" s="9"/>
      <c r="K273" s="21"/>
      <c r="L273" s="21"/>
      <c r="M273" s="21"/>
      <c r="N273" s="21"/>
      <c r="O273" s="9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51"/>
      <c r="B274" s="14"/>
      <c r="C274" s="14"/>
      <c r="D274" s="14"/>
      <c r="E274" s="14"/>
      <c r="F274" s="53"/>
      <c r="G274" s="54"/>
      <c r="H274" s="54"/>
      <c r="I274" s="7"/>
      <c r="J274" s="9"/>
      <c r="K274" s="21"/>
      <c r="L274" s="21"/>
      <c r="M274" s="21"/>
      <c r="N274" s="21"/>
      <c r="O274" s="9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51"/>
      <c r="B275" s="14"/>
      <c r="C275" s="14"/>
      <c r="D275" s="14"/>
      <c r="E275" s="14"/>
      <c r="F275" s="53"/>
      <c r="G275" s="54"/>
      <c r="H275" s="54"/>
      <c r="I275" s="7"/>
      <c r="J275" s="9"/>
      <c r="K275" s="21"/>
      <c r="L275" s="21"/>
      <c r="M275" s="21"/>
      <c r="N275" s="21"/>
      <c r="O275" s="9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51"/>
      <c r="B276" s="14"/>
      <c r="C276" s="14"/>
      <c r="D276" s="14"/>
      <c r="E276" s="14"/>
      <c r="F276" s="53"/>
      <c r="G276" s="54"/>
      <c r="H276" s="54"/>
      <c r="I276" s="7"/>
      <c r="J276" s="9"/>
      <c r="K276" s="21"/>
      <c r="L276" s="21"/>
      <c r="M276" s="21"/>
      <c r="N276" s="21"/>
      <c r="O276" s="9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51"/>
      <c r="B277" s="14"/>
      <c r="C277" s="14"/>
      <c r="D277" s="14"/>
      <c r="E277" s="14"/>
      <c r="F277" s="53"/>
      <c r="G277" s="54"/>
      <c r="H277" s="54"/>
      <c r="I277" s="7"/>
      <c r="J277" s="9"/>
      <c r="K277" s="21"/>
      <c r="L277" s="21"/>
      <c r="M277" s="21"/>
      <c r="N277" s="21"/>
      <c r="O277" s="9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51"/>
      <c r="B278" s="14"/>
      <c r="C278" s="14"/>
      <c r="D278" s="14"/>
      <c r="E278" s="14"/>
      <c r="F278" s="53"/>
      <c r="G278" s="54"/>
      <c r="H278" s="54"/>
      <c r="I278" s="7"/>
      <c r="J278" s="9"/>
      <c r="K278" s="21"/>
      <c r="L278" s="21"/>
      <c r="M278" s="21"/>
      <c r="N278" s="21"/>
      <c r="O278" s="9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51"/>
      <c r="B279" s="14"/>
      <c r="C279" s="14"/>
      <c r="D279" s="14"/>
      <c r="E279" s="14"/>
      <c r="F279" s="53"/>
      <c r="G279" s="54"/>
      <c r="H279" s="54"/>
      <c r="I279" s="7"/>
      <c r="J279" s="9"/>
      <c r="K279" s="21"/>
      <c r="L279" s="21"/>
      <c r="M279" s="21"/>
      <c r="N279" s="21"/>
      <c r="O279" s="9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51"/>
      <c r="B280" s="14"/>
      <c r="C280" s="14"/>
      <c r="D280" s="14"/>
      <c r="E280" s="14"/>
      <c r="F280" s="53"/>
      <c r="G280" s="54"/>
      <c r="H280" s="54"/>
      <c r="I280" s="7"/>
      <c r="J280" s="9"/>
      <c r="K280" s="21"/>
      <c r="L280" s="21"/>
      <c r="M280" s="21"/>
      <c r="N280" s="21"/>
      <c r="O280" s="9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51"/>
      <c r="B281" s="14"/>
      <c r="C281" s="14"/>
      <c r="D281" s="14"/>
      <c r="E281" s="14"/>
      <c r="F281" s="53"/>
      <c r="G281" s="54"/>
      <c r="H281" s="54"/>
      <c r="I281" s="7"/>
      <c r="J281" s="9"/>
      <c r="K281" s="21"/>
      <c r="L281" s="21"/>
      <c r="M281" s="21"/>
      <c r="N281" s="21"/>
      <c r="O281" s="9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51"/>
      <c r="B282" s="14"/>
      <c r="C282" s="14"/>
      <c r="D282" s="14"/>
      <c r="E282" s="14"/>
      <c r="F282" s="53"/>
      <c r="G282" s="54"/>
      <c r="H282" s="54"/>
      <c r="I282" s="7"/>
      <c r="J282" s="9"/>
      <c r="K282" s="21"/>
      <c r="L282" s="21"/>
      <c r="M282" s="21"/>
      <c r="N282" s="21"/>
      <c r="O282" s="9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51"/>
      <c r="B283" s="14"/>
      <c r="C283" s="14"/>
      <c r="D283" s="14"/>
      <c r="E283" s="14"/>
      <c r="F283" s="53"/>
      <c r="G283" s="54"/>
      <c r="H283" s="54"/>
      <c r="I283" s="7"/>
      <c r="J283" s="9"/>
      <c r="K283" s="21"/>
      <c r="L283" s="21"/>
      <c r="M283" s="21"/>
      <c r="N283" s="21"/>
      <c r="O283" s="9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51"/>
      <c r="B284" s="14"/>
      <c r="C284" s="14"/>
      <c r="D284" s="14"/>
      <c r="E284" s="14"/>
      <c r="F284" s="53"/>
      <c r="G284" s="54"/>
      <c r="H284" s="54"/>
      <c r="I284" s="7"/>
      <c r="J284" s="9"/>
      <c r="K284" s="9"/>
      <c r="L284" s="9"/>
      <c r="M284" s="9"/>
      <c r="N284" s="9"/>
      <c r="O284" s="9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51"/>
      <c r="B285" s="14"/>
      <c r="C285" s="14"/>
      <c r="D285" s="14"/>
      <c r="E285" s="14"/>
      <c r="F285" s="53"/>
      <c r="G285" s="54"/>
      <c r="H285" s="54"/>
      <c r="I285" s="7"/>
      <c r="J285" s="9"/>
      <c r="K285" s="21"/>
      <c r="L285" s="21"/>
      <c r="M285" s="21"/>
      <c r="N285" s="21"/>
      <c r="O285" s="9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51"/>
      <c r="B286" s="14"/>
      <c r="C286" s="14"/>
      <c r="D286" s="14"/>
      <c r="E286" s="14"/>
      <c r="F286" s="53"/>
      <c r="G286" s="54"/>
      <c r="H286" s="54"/>
      <c r="I286" s="7"/>
      <c r="J286" s="9"/>
      <c r="K286" s="21"/>
      <c r="L286" s="21"/>
      <c r="M286" s="21"/>
      <c r="N286" s="21"/>
      <c r="O286" s="9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51"/>
      <c r="B287" s="14"/>
      <c r="C287" s="14"/>
      <c r="D287" s="14"/>
      <c r="E287" s="14"/>
      <c r="F287" s="53"/>
      <c r="G287" s="54"/>
      <c r="H287" s="54"/>
      <c r="I287" s="7"/>
      <c r="J287" s="9"/>
      <c r="K287" s="21"/>
      <c r="L287" s="21"/>
      <c r="M287" s="21"/>
      <c r="N287" s="21"/>
      <c r="O287" s="9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51"/>
      <c r="B288" s="14"/>
      <c r="C288" s="14"/>
      <c r="D288" s="14"/>
      <c r="E288" s="14"/>
      <c r="F288" s="53"/>
      <c r="G288" s="54"/>
      <c r="H288" s="54"/>
      <c r="I288" s="7"/>
      <c r="J288" s="9"/>
      <c r="K288" s="21"/>
      <c r="L288" s="21"/>
      <c r="M288" s="21"/>
      <c r="N288" s="21"/>
      <c r="O288" s="9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51"/>
      <c r="B289" s="14"/>
      <c r="C289" s="14"/>
      <c r="D289" s="14"/>
      <c r="E289" s="14"/>
      <c r="F289" s="53"/>
      <c r="G289" s="54"/>
      <c r="H289" s="54"/>
      <c r="I289" s="7"/>
      <c r="J289" s="9"/>
      <c r="K289" s="21"/>
      <c r="L289" s="21"/>
      <c r="M289" s="21"/>
      <c r="N289" s="21"/>
      <c r="O289" s="9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51"/>
      <c r="B290" s="14"/>
      <c r="C290" s="14"/>
      <c r="D290" s="14"/>
      <c r="E290" s="14"/>
      <c r="F290" s="53"/>
      <c r="G290" s="54"/>
      <c r="H290" s="54"/>
      <c r="I290" s="7"/>
      <c r="J290" s="9"/>
      <c r="K290" s="21"/>
      <c r="L290" s="21"/>
      <c r="M290" s="21"/>
      <c r="N290" s="21"/>
      <c r="O290" s="9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51"/>
      <c r="B291" s="14"/>
      <c r="C291" s="14"/>
      <c r="D291" s="14"/>
      <c r="E291" s="14"/>
      <c r="F291" s="53"/>
      <c r="G291" s="54"/>
      <c r="H291" s="54"/>
      <c r="I291" s="7"/>
      <c r="J291" s="9"/>
      <c r="K291" s="21"/>
      <c r="L291" s="21"/>
      <c r="M291" s="21"/>
      <c r="N291" s="21"/>
      <c r="O291" s="9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51"/>
      <c r="B292" s="14"/>
      <c r="C292" s="14"/>
      <c r="D292" s="14"/>
      <c r="E292" s="14"/>
      <c r="F292" s="53"/>
      <c r="G292" s="54"/>
      <c r="H292" s="54"/>
      <c r="I292" s="7"/>
      <c r="J292" s="9"/>
      <c r="K292" s="21"/>
      <c r="L292" s="21"/>
      <c r="M292" s="21"/>
      <c r="N292" s="21"/>
      <c r="O292" s="9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51"/>
      <c r="B293" s="14"/>
      <c r="C293" s="14"/>
      <c r="D293" s="14"/>
      <c r="E293" s="14"/>
      <c r="F293" s="53"/>
      <c r="G293" s="54"/>
      <c r="H293" s="54"/>
      <c r="I293" s="7"/>
      <c r="J293" s="9"/>
      <c r="K293" s="21"/>
      <c r="L293" s="21"/>
      <c r="M293" s="21"/>
      <c r="N293" s="21"/>
      <c r="O293" s="9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51"/>
      <c r="B294" s="14"/>
      <c r="C294" s="14"/>
      <c r="D294" s="14"/>
      <c r="E294" s="14"/>
      <c r="F294" s="53"/>
      <c r="G294" s="54"/>
      <c r="H294" s="54"/>
      <c r="I294" s="7"/>
      <c r="J294" s="9"/>
      <c r="K294" s="21"/>
      <c r="L294" s="21"/>
      <c r="M294" s="21"/>
      <c r="N294" s="21"/>
      <c r="O294" s="9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51"/>
      <c r="B295" s="14"/>
      <c r="C295" s="14"/>
      <c r="D295" s="14"/>
      <c r="E295" s="14"/>
      <c r="F295" s="53"/>
      <c r="G295" s="54"/>
      <c r="H295" s="54"/>
      <c r="I295" s="7"/>
      <c r="J295" s="9"/>
      <c r="K295" s="21"/>
      <c r="L295" s="21"/>
      <c r="M295" s="21"/>
      <c r="N295" s="21"/>
      <c r="O295" s="9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51"/>
      <c r="B296" s="14"/>
      <c r="C296" s="14"/>
      <c r="D296" s="14"/>
      <c r="E296" s="14"/>
      <c r="F296" s="53"/>
      <c r="G296" s="54"/>
      <c r="H296" s="54"/>
      <c r="I296" s="7"/>
      <c r="J296" s="9"/>
      <c r="K296" s="21"/>
      <c r="L296" s="21"/>
      <c r="M296" s="21"/>
      <c r="N296" s="21"/>
      <c r="O296" s="9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51"/>
      <c r="B297" s="14"/>
      <c r="C297" s="14"/>
      <c r="D297" s="14"/>
      <c r="E297" s="14"/>
      <c r="F297" s="53"/>
      <c r="G297" s="54"/>
      <c r="H297" s="54"/>
      <c r="I297" s="7"/>
      <c r="J297" s="9"/>
      <c r="K297" s="21"/>
      <c r="L297" s="21"/>
      <c r="M297" s="21"/>
      <c r="N297" s="21"/>
      <c r="O297" s="9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51"/>
      <c r="B298" s="14"/>
      <c r="C298" s="14"/>
      <c r="D298" s="14"/>
      <c r="E298" s="14"/>
      <c r="F298" s="53"/>
      <c r="G298" s="54"/>
      <c r="H298" s="54"/>
      <c r="I298" s="7"/>
      <c r="J298" s="9"/>
      <c r="K298" s="21"/>
      <c r="L298" s="21"/>
      <c r="M298" s="21"/>
      <c r="N298" s="21"/>
      <c r="O298" s="9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51"/>
      <c r="B299" s="14"/>
      <c r="C299" s="14"/>
      <c r="D299" s="14"/>
      <c r="E299" s="14"/>
      <c r="F299" s="53"/>
      <c r="G299" s="54"/>
      <c r="H299" s="54"/>
      <c r="I299" s="7"/>
      <c r="J299" s="9"/>
      <c r="K299" s="21"/>
      <c r="L299" s="21"/>
      <c r="M299" s="21"/>
      <c r="N299" s="21"/>
      <c r="O299" s="9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51"/>
      <c r="B300" s="14"/>
      <c r="C300" s="14"/>
      <c r="D300" s="14"/>
      <c r="E300" s="14"/>
      <c r="F300" s="53"/>
      <c r="G300" s="54"/>
      <c r="H300" s="54"/>
      <c r="I300" s="7"/>
      <c r="J300" s="9"/>
      <c r="K300" s="21"/>
      <c r="L300" s="21"/>
      <c r="M300" s="21"/>
      <c r="N300" s="21"/>
      <c r="O300" s="9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51"/>
      <c r="B301" s="14"/>
      <c r="C301" s="14"/>
      <c r="D301" s="14"/>
      <c r="E301" s="14"/>
      <c r="F301" s="53"/>
      <c r="G301" s="54"/>
      <c r="H301" s="54"/>
      <c r="I301" s="7"/>
      <c r="J301" s="9"/>
      <c r="K301" s="21"/>
      <c r="L301" s="21"/>
      <c r="M301" s="21"/>
      <c r="N301" s="21"/>
      <c r="O301" s="9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51"/>
      <c r="B302" s="14"/>
      <c r="C302" s="14"/>
      <c r="D302" s="14"/>
      <c r="E302" s="14"/>
      <c r="F302" s="53"/>
      <c r="G302" s="54"/>
      <c r="H302" s="54"/>
      <c r="I302" s="7"/>
      <c r="J302" s="9"/>
      <c r="K302" s="21"/>
      <c r="L302" s="21"/>
      <c r="M302" s="21"/>
      <c r="N302" s="21"/>
      <c r="O302" s="9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51"/>
      <c r="B303" s="14"/>
      <c r="C303" s="14"/>
      <c r="D303" s="14"/>
      <c r="E303" s="14"/>
      <c r="F303" s="53"/>
      <c r="G303" s="54"/>
      <c r="H303" s="54"/>
      <c r="I303" s="7"/>
      <c r="J303" s="9"/>
      <c r="K303" s="21"/>
      <c r="L303" s="21"/>
      <c r="M303" s="21"/>
      <c r="N303" s="21"/>
      <c r="O303" s="9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51"/>
      <c r="B304" s="14"/>
      <c r="C304" s="14"/>
      <c r="D304" s="14"/>
      <c r="E304" s="14"/>
      <c r="F304" s="53"/>
      <c r="G304" s="54"/>
      <c r="H304" s="54"/>
      <c r="I304" s="7"/>
      <c r="J304" s="9"/>
      <c r="K304" s="21"/>
      <c r="L304" s="21"/>
      <c r="M304" s="21"/>
      <c r="N304" s="21"/>
      <c r="O304" s="9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51"/>
      <c r="B305" s="14"/>
      <c r="C305" s="14"/>
      <c r="D305" s="14"/>
      <c r="E305" s="14"/>
      <c r="F305" s="53"/>
      <c r="G305" s="54"/>
      <c r="H305" s="54"/>
      <c r="I305" s="7"/>
      <c r="J305" s="9"/>
      <c r="K305" s="21"/>
      <c r="L305" s="21"/>
      <c r="M305" s="21"/>
      <c r="N305" s="21"/>
      <c r="O305" s="9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51"/>
      <c r="B306" s="14"/>
      <c r="C306" s="14"/>
      <c r="D306" s="14"/>
      <c r="E306" s="14"/>
      <c r="F306" s="53"/>
      <c r="G306" s="54"/>
      <c r="H306" s="54"/>
      <c r="I306" s="7"/>
      <c r="J306" s="9"/>
      <c r="K306" s="21"/>
      <c r="L306" s="21"/>
      <c r="M306" s="21"/>
      <c r="N306" s="21"/>
      <c r="O306" s="9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51"/>
      <c r="B307" s="14"/>
      <c r="C307" s="14"/>
      <c r="D307" s="14"/>
      <c r="E307" s="14"/>
      <c r="F307" s="53"/>
      <c r="G307" s="54"/>
      <c r="H307" s="54"/>
      <c r="I307" s="7"/>
      <c r="J307" s="9"/>
      <c r="K307" s="21"/>
      <c r="L307" s="21"/>
      <c r="M307" s="21"/>
      <c r="N307" s="21"/>
      <c r="O307" s="9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51"/>
      <c r="B308" s="14"/>
      <c r="C308" s="14"/>
      <c r="D308" s="14"/>
      <c r="E308" s="14"/>
      <c r="F308" s="53"/>
      <c r="G308" s="54"/>
      <c r="H308" s="54"/>
      <c r="I308" s="7"/>
      <c r="J308" s="9"/>
      <c r="K308" s="21"/>
      <c r="L308" s="21"/>
      <c r="M308" s="21"/>
      <c r="N308" s="21"/>
      <c r="O308" s="9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51"/>
      <c r="B309" s="14"/>
      <c r="C309" s="14"/>
      <c r="D309" s="14"/>
      <c r="E309" s="14"/>
      <c r="F309" s="53"/>
      <c r="G309" s="54"/>
      <c r="H309" s="54"/>
      <c r="I309" s="7"/>
      <c r="J309" s="9"/>
      <c r="K309" s="21"/>
      <c r="L309" s="21"/>
      <c r="M309" s="21"/>
      <c r="N309" s="21"/>
      <c r="O309" s="9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51"/>
      <c r="B310" s="14"/>
      <c r="C310" s="14"/>
      <c r="D310" s="14"/>
      <c r="E310" s="14"/>
      <c r="F310" s="53"/>
      <c r="G310" s="54"/>
      <c r="H310" s="54"/>
      <c r="I310" s="7"/>
      <c r="J310" s="9"/>
      <c r="K310" s="21"/>
      <c r="L310" s="21"/>
      <c r="M310" s="21"/>
      <c r="N310" s="21"/>
      <c r="O310" s="9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51"/>
      <c r="B311" s="14"/>
      <c r="C311" s="14"/>
      <c r="D311" s="14"/>
      <c r="E311" s="14"/>
      <c r="F311" s="53"/>
      <c r="G311" s="54"/>
      <c r="H311" s="54"/>
      <c r="I311" s="7"/>
      <c r="J311" s="9"/>
      <c r="K311" s="21"/>
      <c r="L311" s="21"/>
      <c r="M311" s="21"/>
      <c r="N311" s="21"/>
      <c r="O311" s="9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51"/>
      <c r="B312" s="14"/>
      <c r="C312" s="14"/>
      <c r="D312" s="14"/>
      <c r="E312" s="14"/>
      <c r="F312" s="53"/>
      <c r="G312" s="54"/>
      <c r="H312" s="54"/>
      <c r="I312" s="7"/>
      <c r="J312" s="9"/>
      <c r="K312" s="21"/>
      <c r="L312" s="21"/>
      <c r="M312" s="21"/>
      <c r="N312" s="21"/>
      <c r="O312" s="9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51"/>
      <c r="B313" s="14"/>
      <c r="C313" s="14"/>
      <c r="D313" s="14"/>
      <c r="E313" s="14"/>
      <c r="F313" s="53"/>
      <c r="G313" s="54"/>
      <c r="H313" s="54"/>
      <c r="I313" s="7"/>
      <c r="J313" s="9"/>
      <c r="K313" s="21"/>
      <c r="L313" s="21"/>
      <c r="M313" s="21"/>
      <c r="N313" s="21"/>
      <c r="O313" s="9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51"/>
      <c r="B314" s="14"/>
      <c r="C314" s="14"/>
      <c r="D314" s="14"/>
      <c r="E314" s="14"/>
      <c r="F314" s="53"/>
      <c r="G314" s="54"/>
      <c r="H314" s="54"/>
      <c r="I314" s="7"/>
      <c r="J314" s="9"/>
      <c r="K314" s="21"/>
      <c r="L314" s="21"/>
      <c r="M314" s="21"/>
      <c r="N314" s="21"/>
      <c r="O314" s="9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51"/>
      <c r="B315" s="14"/>
      <c r="C315" s="14"/>
      <c r="D315" s="14"/>
      <c r="E315" s="14"/>
      <c r="F315" s="53"/>
      <c r="G315" s="54"/>
      <c r="H315" s="54"/>
      <c r="I315" s="7"/>
      <c r="J315" s="9"/>
      <c r="K315" s="21"/>
      <c r="L315" s="21"/>
      <c r="M315" s="21"/>
      <c r="N315" s="21"/>
      <c r="O315" s="9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51"/>
      <c r="B316" s="14"/>
      <c r="C316" s="14"/>
      <c r="D316" s="14"/>
      <c r="E316" s="14"/>
      <c r="F316" s="53"/>
      <c r="G316" s="54"/>
      <c r="H316" s="54"/>
      <c r="I316" s="7"/>
      <c r="J316" s="9"/>
      <c r="K316" s="21"/>
      <c r="L316" s="21"/>
      <c r="M316" s="21"/>
      <c r="N316" s="21"/>
      <c r="O316" s="9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51"/>
      <c r="B317" s="14"/>
      <c r="C317" s="14"/>
      <c r="D317" s="14"/>
      <c r="E317" s="14"/>
      <c r="F317" s="53"/>
      <c r="G317" s="54"/>
      <c r="H317" s="54"/>
      <c r="I317" s="7"/>
      <c r="J317" s="9"/>
      <c r="K317" s="21"/>
      <c r="L317" s="21"/>
      <c r="M317" s="21"/>
      <c r="N317" s="21"/>
      <c r="O317" s="9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51"/>
      <c r="B318" s="14"/>
      <c r="C318" s="14"/>
      <c r="D318" s="14"/>
      <c r="E318" s="14"/>
      <c r="F318" s="53"/>
      <c r="G318" s="54"/>
      <c r="H318" s="54"/>
      <c r="I318" s="7"/>
      <c r="J318" s="9"/>
      <c r="K318" s="21"/>
      <c r="L318" s="21"/>
      <c r="M318" s="21"/>
      <c r="N318" s="21"/>
      <c r="O318" s="9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51"/>
      <c r="B319" s="14"/>
      <c r="C319" s="14"/>
      <c r="D319" s="14"/>
      <c r="E319" s="14"/>
      <c r="F319" s="53"/>
      <c r="G319" s="54"/>
      <c r="H319" s="54"/>
      <c r="I319" s="7"/>
      <c r="J319" s="9"/>
      <c r="K319" s="21"/>
      <c r="L319" s="21"/>
      <c r="M319" s="21"/>
      <c r="N319" s="21"/>
      <c r="O319" s="9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51"/>
      <c r="B320" s="14"/>
      <c r="C320" s="14"/>
      <c r="D320" s="14"/>
      <c r="E320" s="14"/>
      <c r="F320" s="53"/>
      <c r="G320" s="54"/>
      <c r="H320" s="54"/>
      <c r="I320" s="7"/>
      <c r="J320" s="9"/>
      <c r="K320" s="21"/>
      <c r="L320" s="21"/>
      <c r="M320" s="21"/>
      <c r="N320" s="21"/>
      <c r="O320" s="9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51"/>
      <c r="B321" s="14"/>
      <c r="C321" s="14"/>
      <c r="D321" s="14"/>
      <c r="E321" s="14"/>
      <c r="F321" s="53"/>
      <c r="G321" s="54"/>
      <c r="H321" s="54"/>
      <c r="I321" s="7"/>
      <c r="J321" s="9"/>
      <c r="K321" s="21"/>
      <c r="L321" s="21"/>
      <c r="M321" s="21"/>
      <c r="N321" s="21"/>
      <c r="O321" s="9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51"/>
      <c r="B322" s="14"/>
      <c r="C322" s="14"/>
      <c r="D322" s="14"/>
      <c r="E322" s="14"/>
      <c r="F322" s="53"/>
      <c r="G322" s="54"/>
      <c r="H322" s="54"/>
      <c r="I322" s="7"/>
      <c r="J322" s="9"/>
      <c r="K322" s="21"/>
      <c r="L322" s="21"/>
      <c r="M322" s="21"/>
      <c r="N322" s="21"/>
      <c r="O322" s="9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51"/>
      <c r="B323" s="14"/>
      <c r="C323" s="14"/>
      <c r="D323" s="14"/>
      <c r="E323" s="14"/>
      <c r="F323" s="53"/>
      <c r="G323" s="54"/>
      <c r="H323" s="54"/>
      <c r="I323" s="7"/>
      <c r="J323" s="9"/>
      <c r="K323" s="21"/>
      <c r="L323" s="21"/>
      <c r="M323" s="21"/>
      <c r="N323" s="21"/>
      <c r="O323" s="9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51"/>
      <c r="B324" s="14"/>
      <c r="C324" s="14"/>
      <c r="D324" s="14"/>
      <c r="E324" s="14"/>
      <c r="F324" s="53"/>
      <c r="G324" s="54"/>
      <c r="H324" s="54"/>
      <c r="I324" s="7"/>
      <c r="J324" s="9"/>
      <c r="K324" s="21"/>
      <c r="L324" s="21"/>
      <c r="M324" s="21"/>
      <c r="N324" s="21"/>
      <c r="O324" s="9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51"/>
      <c r="B325" s="14"/>
      <c r="C325" s="14"/>
      <c r="D325" s="14"/>
      <c r="E325" s="14"/>
      <c r="F325" s="53"/>
      <c r="G325" s="54"/>
      <c r="H325" s="54"/>
      <c r="I325" s="7"/>
      <c r="J325" s="9"/>
      <c r="K325" s="21"/>
      <c r="L325" s="21"/>
      <c r="M325" s="21"/>
      <c r="N325" s="21"/>
      <c r="O325" s="9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51"/>
      <c r="B326" s="14"/>
      <c r="C326" s="14"/>
      <c r="D326" s="14"/>
      <c r="E326" s="14"/>
      <c r="F326" s="53"/>
      <c r="G326" s="54"/>
      <c r="H326" s="54"/>
      <c r="I326" s="7"/>
      <c r="J326" s="9"/>
      <c r="K326" s="21"/>
      <c r="L326" s="21"/>
      <c r="M326" s="21"/>
      <c r="N326" s="21"/>
      <c r="O326" s="9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51"/>
      <c r="B327" s="14"/>
      <c r="C327" s="14"/>
      <c r="D327" s="14"/>
      <c r="E327" s="14"/>
      <c r="F327" s="53"/>
      <c r="G327" s="54"/>
      <c r="H327" s="54"/>
      <c r="I327" s="7"/>
      <c r="J327" s="9"/>
      <c r="K327" s="21"/>
      <c r="L327" s="21"/>
      <c r="M327" s="21"/>
      <c r="N327" s="21"/>
      <c r="O327" s="9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51"/>
      <c r="B328" s="14"/>
      <c r="C328" s="14"/>
      <c r="D328" s="14"/>
      <c r="E328" s="14"/>
      <c r="F328" s="53"/>
      <c r="G328" s="54"/>
      <c r="H328" s="54"/>
      <c r="I328" s="7"/>
      <c r="J328" s="9"/>
      <c r="K328" s="21"/>
      <c r="L328" s="21"/>
      <c r="M328" s="21"/>
      <c r="N328" s="21"/>
      <c r="O328" s="9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51"/>
      <c r="B329" s="14"/>
      <c r="C329" s="14"/>
      <c r="D329" s="14"/>
      <c r="E329" s="14"/>
      <c r="F329" s="53"/>
      <c r="G329" s="54"/>
      <c r="H329" s="54"/>
      <c r="I329" s="7"/>
      <c r="J329" s="9"/>
      <c r="K329" s="21"/>
      <c r="L329" s="21"/>
      <c r="M329" s="21"/>
      <c r="N329" s="21"/>
      <c r="O329" s="9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51"/>
      <c r="B330" s="14"/>
      <c r="C330" s="14"/>
      <c r="D330" s="14"/>
      <c r="E330" s="14"/>
      <c r="F330" s="53"/>
      <c r="G330" s="54"/>
      <c r="H330" s="54"/>
      <c r="I330" s="7"/>
      <c r="J330" s="9"/>
      <c r="K330" s="21"/>
      <c r="L330" s="21"/>
      <c r="M330" s="21"/>
      <c r="N330" s="21"/>
      <c r="O330" s="9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51"/>
      <c r="B331" s="14"/>
      <c r="C331" s="14"/>
      <c r="D331" s="14"/>
      <c r="E331" s="14"/>
      <c r="F331" s="53"/>
      <c r="G331" s="54"/>
      <c r="H331" s="54"/>
      <c r="I331" s="7"/>
      <c r="J331" s="9"/>
      <c r="K331" s="21"/>
      <c r="L331" s="21"/>
      <c r="M331" s="21"/>
      <c r="N331" s="21"/>
      <c r="O331" s="9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51"/>
      <c r="B332" s="14"/>
      <c r="C332" s="14"/>
      <c r="D332" s="14"/>
      <c r="E332" s="14"/>
      <c r="F332" s="53"/>
      <c r="G332" s="54"/>
      <c r="H332" s="54"/>
      <c r="I332" s="7"/>
      <c r="J332" s="9"/>
      <c r="K332" s="21"/>
      <c r="L332" s="21"/>
      <c r="M332" s="21"/>
      <c r="N332" s="21"/>
      <c r="O332" s="9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51"/>
      <c r="B333" s="14"/>
      <c r="C333" s="14"/>
      <c r="D333" s="14"/>
      <c r="E333" s="14"/>
      <c r="F333" s="53"/>
      <c r="G333" s="54"/>
      <c r="H333" s="54"/>
      <c r="I333" s="7"/>
      <c r="J333" s="9"/>
      <c r="K333" s="21"/>
      <c r="L333" s="21"/>
      <c r="M333" s="21"/>
      <c r="N333" s="21"/>
      <c r="O333" s="9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51"/>
      <c r="B334" s="14"/>
      <c r="C334" s="14"/>
      <c r="D334" s="14"/>
      <c r="E334" s="14"/>
      <c r="F334" s="53"/>
      <c r="G334" s="54"/>
      <c r="H334" s="54"/>
      <c r="I334" s="7"/>
      <c r="J334" s="9"/>
      <c r="K334" s="21"/>
      <c r="L334" s="21"/>
      <c r="M334" s="21"/>
      <c r="N334" s="21"/>
      <c r="O334" s="9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51"/>
      <c r="B335" s="14"/>
      <c r="C335" s="14"/>
      <c r="D335" s="14"/>
      <c r="E335" s="14"/>
      <c r="F335" s="53"/>
      <c r="G335" s="54"/>
      <c r="H335" s="54"/>
      <c r="I335" s="7"/>
      <c r="J335" s="9"/>
      <c r="K335" s="21"/>
      <c r="L335" s="21"/>
      <c r="M335" s="21"/>
      <c r="N335" s="21"/>
      <c r="O335" s="9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51"/>
      <c r="B336" s="14"/>
      <c r="C336" s="14"/>
      <c r="D336" s="14"/>
      <c r="E336" s="14"/>
      <c r="F336" s="53"/>
      <c r="G336" s="54"/>
      <c r="H336" s="54"/>
      <c r="I336" s="7"/>
      <c r="J336" s="9"/>
      <c r="K336" s="21"/>
      <c r="L336" s="21"/>
      <c r="M336" s="21"/>
      <c r="N336" s="21"/>
      <c r="O336" s="9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51"/>
      <c r="B337" s="14"/>
      <c r="C337" s="14"/>
      <c r="D337" s="14"/>
      <c r="E337" s="14"/>
      <c r="F337" s="53"/>
      <c r="G337" s="54"/>
      <c r="H337" s="54"/>
      <c r="I337" s="7"/>
      <c r="J337" s="9"/>
      <c r="K337" s="21"/>
      <c r="L337" s="21"/>
      <c r="M337" s="21"/>
      <c r="N337" s="21"/>
      <c r="O337" s="9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51"/>
      <c r="B338" s="14"/>
      <c r="C338" s="14"/>
      <c r="D338" s="14"/>
      <c r="E338" s="14"/>
      <c r="F338" s="53"/>
      <c r="G338" s="54"/>
      <c r="H338" s="54"/>
      <c r="I338" s="7"/>
      <c r="J338" s="9"/>
      <c r="K338" s="21"/>
      <c r="L338" s="21"/>
      <c r="M338" s="21"/>
      <c r="N338" s="21"/>
      <c r="O338" s="9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51"/>
      <c r="B339" s="14"/>
      <c r="C339" s="14"/>
      <c r="D339" s="14"/>
      <c r="E339" s="14"/>
      <c r="F339" s="53"/>
      <c r="G339" s="54"/>
      <c r="H339" s="54"/>
      <c r="I339" s="7"/>
      <c r="J339" s="9"/>
      <c r="K339" s="21"/>
      <c r="L339" s="21"/>
      <c r="M339" s="21"/>
      <c r="N339" s="21"/>
      <c r="O339" s="9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51"/>
      <c r="B340" s="14"/>
      <c r="C340" s="14"/>
      <c r="D340" s="14"/>
      <c r="E340" s="14"/>
      <c r="F340" s="53"/>
      <c r="G340" s="54"/>
      <c r="H340" s="54"/>
      <c r="I340" s="7"/>
      <c r="J340" s="9"/>
      <c r="K340" s="21"/>
      <c r="L340" s="21"/>
      <c r="M340" s="21"/>
      <c r="N340" s="21"/>
      <c r="O340" s="9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51"/>
      <c r="B341" s="14"/>
      <c r="C341" s="14"/>
      <c r="D341" s="14"/>
      <c r="E341" s="14"/>
      <c r="F341" s="53"/>
      <c r="G341" s="54"/>
      <c r="H341" s="54"/>
      <c r="I341" s="7"/>
      <c r="J341" s="9"/>
      <c r="K341" s="21"/>
      <c r="L341" s="21"/>
      <c r="M341" s="21"/>
      <c r="N341" s="21"/>
      <c r="O341" s="9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51"/>
      <c r="B342" s="14"/>
      <c r="C342" s="14"/>
      <c r="D342" s="14"/>
      <c r="E342" s="14"/>
      <c r="F342" s="53"/>
      <c r="G342" s="54"/>
      <c r="H342" s="54"/>
      <c r="I342" s="7"/>
      <c r="J342" s="9"/>
      <c r="K342" s="21"/>
      <c r="L342" s="21"/>
      <c r="M342" s="21"/>
      <c r="N342" s="21"/>
      <c r="O342" s="9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51"/>
      <c r="B343" s="14"/>
      <c r="C343" s="14"/>
      <c r="D343" s="14"/>
      <c r="E343" s="14"/>
      <c r="F343" s="53"/>
      <c r="G343" s="54"/>
      <c r="H343" s="54"/>
      <c r="I343" s="7"/>
      <c r="J343" s="9"/>
      <c r="K343" s="21"/>
      <c r="L343" s="21"/>
      <c r="M343" s="21"/>
      <c r="N343" s="21"/>
      <c r="O343" s="9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51"/>
      <c r="B344" s="14"/>
      <c r="C344" s="14"/>
      <c r="D344" s="14"/>
      <c r="E344" s="14"/>
      <c r="F344" s="53"/>
      <c r="G344" s="54"/>
      <c r="H344" s="54"/>
      <c r="I344" s="7"/>
      <c r="J344" s="9"/>
      <c r="K344" s="21"/>
      <c r="L344" s="21"/>
      <c r="M344" s="21"/>
      <c r="N344" s="21"/>
      <c r="O344" s="9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51"/>
      <c r="B345" s="14"/>
      <c r="C345" s="14"/>
      <c r="D345" s="14"/>
      <c r="E345" s="14"/>
      <c r="F345" s="53"/>
      <c r="G345" s="54"/>
      <c r="H345" s="54"/>
      <c r="I345" s="7"/>
      <c r="J345" s="9"/>
      <c r="K345" s="21"/>
      <c r="L345" s="21"/>
      <c r="M345" s="21"/>
      <c r="N345" s="21"/>
      <c r="O345" s="9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51"/>
      <c r="B346" s="14"/>
      <c r="C346" s="14"/>
      <c r="D346" s="14"/>
      <c r="E346" s="14"/>
      <c r="F346" s="53"/>
      <c r="G346" s="54"/>
      <c r="H346" s="54"/>
      <c r="I346" s="7"/>
      <c r="J346" s="9"/>
      <c r="K346" s="21"/>
      <c r="L346" s="21"/>
      <c r="M346" s="21"/>
      <c r="N346" s="21"/>
      <c r="O346" s="9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51"/>
      <c r="B347" s="14"/>
      <c r="C347" s="14"/>
      <c r="D347" s="14"/>
      <c r="E347" s="14"/>
      <c r="F347" s="53"/>
      <c r="G347" s="54"/>
      <c r="H347" s="54"/>
      <c r="I347" s="7"/>
      <c r="J347" s="9"/>
      <c r="K347" s="21"/>
      <c r="L347" s="21"/>
      <c r="M347" s="21"/>
      <c r="N347" s="21"/>
      <c r="O347" s="9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51"/>
      <c r="B348" s="14"/>
      <c r="C348" s="14"/>
      <c r="D348" s="14"/>
      <c r="E348" s="14"/>
      <c r="F348" s="53"/>
      <c r="G348" s="54"/>
      <c r="H348" s="54"/>
      <c r="I348" s="7"/>
      <c r="J348" s="9"/>
      <c r="K348" s="21"/>
      <c r="L348" s="21"/>
      <c r="M348" s="21"/>
      <c r="N348" s="21"/>
      <c r="O348" s="9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51"/>
      <c r="B349" s="14"/>
      <c r="C349" s="14"/>
      <c r="D349" s="14"/>
      <c r="E349" s="14"/>
      <c r="F349" s="53"/>
      <c r="G349" s="54"/>
      <c r="H349" s="54"/>
      <c r="I349" s="7"/>
      <c r="J349" s="9"/>
      <c r="K349" s="21"/>
      <c r="L349" s="21"/>
      <c r="M349" s="21"/>
      <c r="N349" s="21"/>
      <c r="O349" s="9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51"/>
      <c r="B350" s="14"/>
      <c r="C350" s="14"/>
      <c r="D350" s="14"/>
      <c r="E350" s="14"/>
      <c r="F350" s="53"/>
      <c r="G350" s="54"/>
      <c r="H350" s="54"/>
      <c r="I350" s="7"/>
      <c r="J350" s="9"/>
      <c r="K350" s="21"/>
      <c r="L350" s="21"/>
      <c r="M350" s="21"/>
      <c r="N350" s="21"/>
      <c r="O350" s="9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51"/>
      <c r="B351" s="14"/>
      <c r="C351" s="14"/>
      <c r="D351" s="14"/>
      <c r="E351" s="14"/>
      <c r="F351" s="53"/>
      <c r="G351" s="54"/>
      <c r="H351" s="54"/>
      <c r="I351" s="7"/>
      <c r="J351" s="9"/>
      <c r="K351" s="21"/>
      <c r="L351" s="21"/>
      <c r="M351" s="21"/>
      <c r="N351" s="21"/>
      <c r="O351" s="9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51"/>
      <c r="B352" s="14"/>
      <c r="C352" s="14"/>
      <c r="D352" s="14"/>
      <c r="E352" s="14"/>
      <c r="F352" s="53"/>
      <c r="G352" s="54"/>
      <c r="H352" s="54"/>
      <c r="I352" s="7"/>
      <c r="J352" s="9"/>
      <c r="K352" s="21"/>
      <c r="L352" s="21"/>
      <c r="M352" s="21"/>
      <c r="N352" s="21"/>
      <c r="O352" s="9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51"/>
      <c r="B353" s="14"/>
      <c r="C353" s="14"/>
      <c r="D353" s="14"/>
      <c r="E353" s="14"/>
      <c r="F353" s="53"/>
      <c r="G353" s="54"/>
      <c r="H353" s="54"/>
      <c r="I353" s="7"/>
      <c r="J353" s="9"/>
      <c r="K353" s="21"/>
      <c r="L353" s="21"/>
      <c r="M353" s="21"/>
      <c r="N353" s="21"/>
      <c r="O353" s="9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51"/>
      <c r="B354" s="14"/>
      <c r="C354" s="14"/>
      <c r="D354" s="14"/>
      <c r="E354" s="14"/>
      <c r="F354" s="53"/>
      <c r="G354" s="54"/>
      <c r="H354" s="54"/>
      <c r="I354" s="7"/>
      <c r="J354" s="9"/>
      <c r="K354" s="21"/>
      <c r="L354" s="21"/>
      <c r="M354" s="21"/>
      <c r="N354" s="21"/>
      <c r="O354" s="9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51"/>
      <c r="B355" s="14"/>
      <c r="C355" s="14"/>
      <c r="D355" s="14"/>
      <c r="E355" s="14"/>
      <c r="F355" s="53"/>
      <c r="G355" s="54"/>
      <c r="H355" s="54"/>
      <c r="I355" s="7"/>
      <c r="J355" s="9"/>
      <c r="K355" s="21"/>
      <c r="L355" s="21"/>
      <c r="M355" s="21"/>
      <c r="N355" s="21"/>
      <c r="O355" s="9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51"/>
      <c r="B356" s="14"/>
      <c r="C356" s="14"/>
      <c r="D356" s="14"/>
      <c r="E356" s="14"/>
      <c r="F356" s="53"/>
      <c r="G356" s="54"/>
      <c r="H356" s="54"/>
      <c r="I356" s="7"/>
      <c r="J356" s="9"/>
      <c r="K356" s="21"/>
      <c r="L356" s="21"/>
      <c r="M356" s="21"/>
      <c r="N356" s="21"/>
      <c r="O356" s="9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51"/>
      <c r="B357" s="14"/>
      <c r="C357" s="14"/>
      <c r="D357" s="14"/>
      <c r="E357" s="14"/>
      <c r="F357" s="53"/>
      <c r="G357" s="54"/>
      <c r="H357" s="54"/>
      <c r="I357" s="7"/>
      <c r="J357" s="9"/>
      <c r="K357" s="21"/>
      <c r="L357" s="21"/>
      <c r="M357" s="21"/>
      <c r="N357" s="21"/>
      <c r="O357" s="9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51"/>
      <c r="B358" s="14"/>
      <c r="C358" s="14"/>
      <c r="D358" s="14"/>
      <c r="E358" s="14"/>
      <c r="F358" s="53"/>
      <c r="G358" s="54"/>
      <c r="H358" s="54"/>
      <c r="I358" s="7"/>
      <c r="J358" s="9"/>
      <c r="K358" s="21"/>
      <c r="L358" s="21"/>
      <c r="M358" s="21"/>
      <c r="N358" s="21"/>
      <c r="O358" s="9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51"/>
      <c r="B359" s="14"/>
      <c r="C359" s="14"/>
      <c r="D359" s="14"/>
      <c r="E359" s="14"/>
      <c r="F359" s="53"/>
      <c r="G359" s="54"/>
      <c r="H359" s="54"/>
      <c r="I359" s="7"/>
      <c r="J359" s="9"/>
      <c r="K359" s="21"/>
      <c r="L359" s="21"/>
      <c r="M359" s="21"/>
      <c r="N359" s="21"/>
      <c r="O359" s="9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51"/>
      <c r="B360" s="14"/>
      <c r="C360" s="14"/>
      <c r="D360" s="14"/>
      <c r="E360" s="14"/>
      <c r="F360" s="53"/>
      <c r="G360" s="54"/>
      <c r="H360" s="54"/>
      <c r="I360" s="7"/>
      <c r="J360" s="9"/>
      <c r="K360" s="21"/>
      <c r="L360" s="21"/>
      <c r="M360" s="21"/>
      <c r="N360" s="21"/>
      <c r="O360" s="9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51"/>
      <c r="B361" s="14"/>
      <c r="C361" s="14"/>
      <c r="D361" s="14"/>
      <c r="E361" s="14"/>
      <c r="F361" s="53"/>
      <c r="G361" s="54"/>
      <c r="H361" s="54"/>
      <c r="I361" s="7"/>
      <c r="J361" s="9"/>
      <c r="K361" s="21"/>
      <c r="L361" s="21"/>
      <c r="M361" s="21"/>
      <c r="N361" s="21"/>
      <c r="O361" s="9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51"/>
      <c r="B362" s="14"/>
      <c r="C362" s="14"/>
      <c r="D362" s="14"/>
      <c r="E362" s="14"/>
      <c r="F362" s="53"/>
      <c r="G362" s="54"/>
      <c r="H362" s="54"/>
      <c r="I362" s="7"/>
      <c r="J362" s="9"/>
      <c r="K362" s="21"/>
      <c r="L362" s="21"/>
      <c r="M362" s="21"/>
      <c r="N362" s="21"/>
      <c r="O362" s="9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51"/>
      <c r="B363" s="14"/>
      <c r="C363" s="14"/>
      <c r="D363" s="14"/>
      <c r="E363" s="14"/>
      <c r="F363" s="53"/>
      <c r="G363" s="54"/>
      <c r="H363" s="54"/>
      <c r="I363" s="7"/>
      <c r="J363" s="9"/>
      <c r="K363" s="21"/>
      <c r="L363" s="21"/>
      <c r="M363" s="21"/>
      <c r="N363" s="21"/>
      <c r="O363" s="9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51"/>
      <c r="B364" s="14"/>
      <c r="C364" s="14"/>
      <c r="D364" s="14"/>
      <c r="E364" s="14"/>
      <c r="F364" s="53"/>
      <c r="G364" s="54"/>
      <c r="H364" s="54"/>
      <c r="I364" s="7"/>
      <c r="J364" s="9"/>
      <c r="K364" s="21"/>
      <c r="L364" s="21"/>
      <c r="M364" s="21"/>
      <c r="N364" s="21"/>
      <c r="O364" s="9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51"/>
      <c r="B365" s="14"/>
      <c r="C365" s="14"/>
      <c r="D365" s="14"/>
      <c r="E365" s="14"/>
      <c r="F365" s="53"/>
      <c r="G365" s="54"/>
      <c r="H365" s="54"/>
      <c r="I365" s="7"/>
      <c r="J365" s="9"/>
      <c r="K365" s="21"/>
      <c r="L365" s="21"/>
      <c r="M365" s="21"/>
      <c r="N365" s="21"/>
      <c r="O365" s="9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51"/>
      <c r="B366" s="14"/>
      <c r="C366" s="14"/>
      <c r="D366" s="14"/>
      <c r="E366" s="14"/>
      <c r="F366" s="53"/>
      <c r="G366" s="54"/>
      <c r="H366" s="54"/>
      <c r="I366" s="7"/>
      <c r="J366" s="9"/>
      <c r="K366" s="21"/>
      <c r="L366" s="21"/>
      <c r="M366" s="21"/>
      <c r="N366" s="21"/>
      <c r="O366" s="9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51"/>
      <c r="B367" s="14"/>
      <c r="C367" s="14"/>
      <c r="D367" s="14"/>
      <c r="E367" s="14"/>
      <c r="F367" s="53"/>
      <c r="G367" s="54"/>
      <c r="H367" s="54"/>
      <c r="I367" s="7"/>
      <c r="J367" s="9"/>
      <c r="K367" s="21"/>
      <c r="L367" s="21"/>
      <c r="M367" s="21"/>
      <c r="N367" s="21"/>
      <c r="O367" s="9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51"/>
      <c r="B368" s="14"/>
      <c r="C368" s="14"/>
      <c r="D368" s="14"/>
      <c r="E368" s="14"/>
      <c r="F368" s="53"/>
      <c r="G368" s="54"/>
      <c r="H368" s="54"/>
      <c r="I368" s="7"/>
      <c r="J368" s="9"/>
      <c r="K368" s="21"/>
      <c r="L368" s="21"/>
      <c r="M368" s="21"/>
      <c r="N368" s="21"/>
      <c r="O368" s="9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51"/>
      <c r="B369" s="14"/>
      <c r="C369" s="14"/>
      <c r="D369" s="14"/>
      <c r="E369" s="14"/>
      <c r="F369" s="53"/>
      <c r="G369" s="54"/>
      <c r="H369" s="54"/>
      <c r="I369" s="7"/>
      <c r="J369" s="9"/>
      <c r="K369" s="21"/>
      <c r="L369" s="21"/>
      <c r="M369" s="21"/>
      <c r="N369" s="21"/>
      <c r="O369" s="9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51"/>
      <c r="B370" s="14"/>
      <c r="C370" s="14"/>
      <c r="D370" s="14"/>
      <c r="E370" s="14"/>
      <c r="F370" s="53"/>
      <c r="G370" s="54"/>
      <c r="H370" s="54"/>
      <c r="I370" s="7"/>
      <c r="J370" s="9"/>
      <c r="K370" s="21"/>
      <c r="L370" s="21"/>
      <c r="M370" s="21"/>
      <c r="N370" s="21"/>
      <c r="O370" s="9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51"/>
      <c r="B371" s="14"/>
      <c r="C371" s="14"/>
      <c r="D371" s="14"/>
      <c r="E371" s="14"/>
      <c r="F371" s="53"/>
      <c r="G371" s="54"/>
      <c r="H371" s="54"/>
      <c r="I371" s="7"/>
      <c r="J371" s="9"/>
      <c r="K371" s="21"/>
      <c r="L371" s="21"/>
      <c r="M371" s="21"/>
      <c r="N371" s="21"/>
      <c r="O371" s="9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51"/>
      <c r="B372" s="14"/>
      <c r="C372" s="14"/>
      <c r="D372" s="14"/>
      <c r="E372" s="14"/>
      <c r="F372" s="53"/>
      <c r="G372" s="54"/>
      <c r="H372" s="54"/>
      <c r="I372" s="7"/>
      <c r="J372" s="9"/>
      <c r="K372" s="21"/>
      <c r="L372" s="21"/>
      <c r="M372" s="21"/>
      <c r="N372" s="21"/>
      <c r="O372" s="9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51"/>
      <c r="B373" s="14"/>
      <c r="C373" s="14"/>
      <c r="D373" s="14"/>
      <c r="E373" s="14"/>
      <c r="F373" s="53"/>
      <c r="G373" s="54"/>
      <c r="H373" s="54"/>
      <c r="I373" s="7"/>
      <c r="J373" s="9"/>
      <c r="K373" s="21"/>
      <c r="L373" s="21"/>
      <c r="M373" s="21"/>
      <c r="N373" s="21"/>
      <c r="O373" s="9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51"/>
      <c r="B374" s="14"/>
      <c r="C374" s="14"/>
      <c r="D374" s="14"/>
      <c r="E374" s="14"/>
      <c r="F374" s="53"/>
      <c r="G374" s="54"/>
      <c r="H374" s="54"/>
      <c r="I374" s="7"/>
      <c r="J374" s="9"/>
      <c r="K374" s="21"/>
      <c r="L374" s="21"/>
      <c r="M374" s="21"/>
      <c r="N374" s="21"/>
      <c r="O374" s="9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51"/>
      <c r="B375" s="14"/>
      <c r="C375" s="14"/>
      <c r="D375" s="14"/>
      <c r="E375" s="14"/>
      <c r="F375" s="53"/>
      <c r="G375" s="54"/>
      <c r="H375" s="54"/>
      <c r="I375" s="7"/>
      <c r="J375" s="9"/>
      <c r="K375" s="21"/>
      <c r="L375" s="21"/>
      <c r="M375" s="21"/>
      <c r="N375" s="21"/>
      <c r="O375" s="9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51"/>
      <c r="B376" s="14"/>
      <c r="C376" s="14"/>
      <c r="D376" s="14"/>
      <c r="E376" s="14"/>
      <c r="F376" s="53"/>
      <c r="G376" s="54"/>
      <c r="H376" s="54"/>
      <c r="I376" s="7"/>
      <c r="J376" s="9"/>
      <c r="K376" s="21"/>
      <c r="L376" s="21"/>
      <c r="M376" s="21"/>
      <c r="N376" s="21"/>
      <c r="O376" s="9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51"/>
      <c r="B377" s="14"/>
      <c r="C377" s="14"/>
      <c r="D377" s="14"/>
      <c r="E377" s="14"/>
      <c r="F377" s="53"/>
      <c r="G377" s="54"/>
      <c r="H377" s="54"/>
      <c r="I377" s="7"/>
      <c r="J377" s="9"/>
      <c r="K377" s="21"/>
      <c r="L377" s="21"/>
      <c r="M377" s="21"/>
      <c r="N377" s="21"/>
      <c r="O377" s="9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51"/>
      <c r="B378" s="14"/>
      <c r="C378" s="14"/>
      <c r="D378" s="14"/>
      <c r="E378" s="14"/>
      <c r="F378" s="53"/>
      <c r="G378" s="54"/>
      <c r="H378" s="54"/>
      <c r="I378" s="7"/>
      <c r="J378" s="9"/>
      <c r="K378" s="21"/>
      <c r="L378" s="21"/>
      <c r="M378" s="21"/>
      <c r="N378" s="21"/>
      <c r="O378" s="9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51"/>
      <c r="B379" s="14"/>
      <c r="C379" s="14"/>
      <c r="D379" s="14"/>
      <c r="E379" s="14"/>
      <c r="F379" s="53"/>
      <c r="G379" s="54"/>
      <c r="H379" s="54"/>
      <c r="I379" s="7"/>
      <c r="J379" s="9"/>
      <c r="K379" s="21"/>
      <c r="L379" s="21"/>
      <c r="M379" s="21"/>
      <c r="N379" s="21"/>
      <c r="O379" s="9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51"/>
      <c r="B380" s="14"/>
      <c r="C380" s="14"/>
      <c r="D380" s="14"/>
      <c r="E380" s="14"/>
      <c r="F380" s="53"/>
      <c r="G380" s="54"/>
      <c r="H380" s="54"/>
      <c r="I380" s="7"/>
      <c r="J380" s="9"/>
      <c r="K380" s="21"/>
      <c r="L380" s="21"/>
      <c r="M380" s="21"/>
      <c r="N380" s="21"/>
      <c r="O380" s="9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51"/>
      <c r="B381" s="14"/>
      <c r="C381" s="14"/>
      <c r="D381" s="14"/>
      <c r="E381" s="14"/>
      <c r="F381" s="53"/>
      <c r="G381" s="54"/>
      <c r="H381" s="54"/>
      <c r="I381" s="7"/>
      <c r="J381" s="9"/>
      <c r="K381" s="21"/>
      <c r="L381" s="21"/>
      <c r="M381" s="21"/>
      <c r="N381" s="21"/>
      <c r="O381" s="9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51"/>
      <c r="B382" s="14"/>
      <c r="C382" s="14"/>
      <c r="D382" s="14"/>
      <c r="E382" s="14"/>
      <c r="F382" s="53"/>
      <c r="G382" s="54"/>
      <c r="H382" s="54"/>
      <c r="I382" s="7"/>
      <c r="J382" s="9"/>
      <c r="K382" s="21"/>
      <c r="L382" s="21"/>
      <c r="M382" s="21"/>
      <c r="N382" s="21"/>
      <c r="O382" s="9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51"/>
      <c r="B383" s="14"/>
      <c r="C383" s="14"/>
      <c r="D383" s="14"/>
      <c r="E383" s="14"/>
      <c r="F383" s="53"/>
      <c r="G383" s="54"/>
      <c r="H383" s="54"/>
      <c r="I383" s="7"/>
      <c r="J383" s="9"/>
      <c r="K383" s="21"/>
      <c r="L383" s="21"/>
      <c r="M383" s="21"/>
      <c r="N383" s="21"/>
      <c r="O383" s="9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51"/>
      <c r="B384" s="14"/>
      <c r="C384" s="14"/>
      <c r="D384" s="14"/>
      <c r="E384" s="14"/>
      <c r="F384" s="53"/>
      <c r="G384" s="54"/>
      <c r="H384" s="54"/>
      <c r="I384" s="7"/>
      <c r="J384" s="9"/>
      <c r="K384" s="21"/>
      <c r="L384" s="21"/>
      <c r="M384" s="21"/>
      <c r="N384" s="21"/>
      <c r="O384" s="9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51"/>
      <c r="B385" s="14"/>
      <c r="C385" s="14"/>
      <c r="D385" s="14"/>
      <c r="E385" s="14"/>
      <c r="F385" s="53"/>
      <c r="G385" s="54"/>
      <c r="H385" s="54"/>
      <c r="I385" s="7"/>
      <c r="J385" s="9"/>
      <c r="K385" s="21"/>
      <c r="L385" s="21"/>
      <c r="M385" s="21"/>
      <c r="N385" s="21"/>
      <c r="O385" s="9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51"/>
      <c r="B386" s="14"/>
      <c r="C386" s="14"/>
      <c r="D386" s="14"/>
      <c r="E386" s="14"/>
      <c r="F386" s="53"/>
      <c r="G386" s="54"/>
      <c r="H386" s="54"/>
      <c r="I386" s="7"/>
      <c r="J386" s="9"/>
      <c r="K386" s="21"/>
      <c r="L386" s="21"/>
      <c r="M386" s="21"/>
      <c r="N386" s="21"/>
      <c r="O386" s="9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51"/>
      <c r="B387" s="14"/>
      <c r="C387" s="14"/>
      <c r="D387" s="14"/>
      <c r="E387" s="14"/>
      <c r="F387" s="53"/>
      <c r="G387" s="54"/>
      <c r="H387" s="54"/>
      <c r="I387" s="7"/>
      <c r="J387" s="9"/>
      <c r="K387" s="21"/>
      <c r="L387" s="21"/>
      <c r="M387" s="21"/>
      <c r="N387" s="21"/>
      <c r="O387" s="9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51"/>
      <c r="B388" s="14"/>
      <c r="C388" s="14"/>
      <c r="D388" s="14"/>
      <c r="E388" s="14"/>
      <c r="F388" s="53"/>
      <c r="G388" s="54"/>
      <c r="H388" s="54"/>
      <c r="I388" s="7"/>
      <c r="J388" s="9"/>
      <c r="K388" s="21"/>
      <c r="L388" s="21"/>
      <c r="M388" s="21"/>
      <c r="N388" s="21"/>
      <c r="O388" s="9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51"/>
      <c r="B389" s="14"/>
      <c r="C389" s="14"/>
      <c r="D389" s="14"/>
      <c r="E389" s="14"/>
      <c r="F389" s="53"/>
      <c r="G389" s="54"/>
      <c r="H389" s="54"/>
      <c r="I389" s="7"/>
      <c r="J389" s="9"/>
      <c r="K389" s="21"/>
      <c r="L389" s="21"/>
      <c r="M389" s="21"/>
      <c r="N389" s="21"/>
      <c r="O389" s="9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51"/>
      <c r="B390" s="14"/>
      <c r="C390" s="14"/>
      <c r="D390" s="14"/>
      <c r="E390" s="14"/>
      <c r="F390" s="53"/>
      <c r="G390" s="54"/>
      <c r="H390" s="54"/>
      <c r="I390" s="7"/>
      <c r="J390" s="9"/>
      <c r="K390" s="21"/>
      <c r="L390" s="21"/>
      <c r="M390" s="21"/>
      <c r="N390" s="21"/>
      <c r="O390" s="9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51"/>
      <c r="B391" s="14"/>
      <c r="C391" s="14"/>
      <c r="D391" s="14"/>
      <c r="E391" s="14"/>
      <c r="F391" s="53"/>
      <c r="G391" s="54"/>
      <c r="H391" s="54"/>
      <c r="I391" s="7"/>
      <c r="J391" s="9"/>
      <c r="K391" s="21"/>
      <c r="L391" s="21"/>
      <c r="M391" s="21"/>
      <c r="N391" s="21"/>
      <c r="O391" s="9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51"/>
      <c r="B392" s="14"/>
      <c r="C392" s="14"/>
      <c r="D392" s="14"/>
      <c r="E392" s="14"/>
      <c r="F392" s="53"/>
      <c r="G392" s="54"/>
      <c r="H392" s="54"/>
      <c r="I392" s="7"/>
      <c r="J392" s="9"/>
      <c r="K392" s="21"/>
      <c r="L392" s="21"/>
      <c r="M392" s="21"/>
      <c r="N392" s="21"/>
      <c r="O392" s="9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51"/>
      <c r="B393" s="14"/>
      <c r="C393" s="14"/>
      <c r="D393" s="14"/>
      <c r="E393" s="14"/>
      <c r="F393" s="53"/>
      <c r="G393" s="54"/>
      <c r="H393" s="54"/>
      <c r="I393" s="7"/>
      <c r="J393" s="9"/>
      <c r="K393" s="21"/>
      <c r="L393" s="21"/>
      <c r="M393" s="21"/>
      <c r="N393" s="21"/>
      <c r="O393" s="9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51"/>
      <c r="B394" s="14"/>
      <c r="C394" s="14"/>
      <c r="D394" s="14"/>
      <c r="E394" s="14"/>
      <c r="F394" s="53"/>
      <c r="G394" s="54"/>
      <c r="H394" s="54"/>
      <c r="I394" s="7"/>
      <c r="J394" s="9"/>
      <c r="K394" s="21"/>
      <c r="L394" s="21"/>
      <c r="M394" s="21"/>
      <c r="N394" s="21"/>
      <c r="O394" s="9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51"/>
      <c r="B395" s="14"/>
      <c r="C395" s="14"/>
      <c r="D395" s="14"/>
      <c r="E395" s="14"/>
      <c r="F395" s="53"/>
      <c r="G395" s="54"/>
      <c r="H395" s="54"/>
      <c r="I395" s="7"/>
      <c r="J395" s="9"/>
      <c r="K395" s="21"/>
      <c r="L395" s="21"/>
      <c r="M395" s="21"/>
      <c r="N395" s="21"/>
      <c r="O395" s="9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51"/>
      <c r="B396" s="14"/>
      <c r="C396" s="14"/>
      <c r="D396" s="14"/>
      <c r="E396" s="14"/>
      <c r="F396" s="53"/>
      <c r="G396" s="54"/>
      <c r="H396" s="54"/>
      <c r="I396" s="7"/>
      <c r="J396" s="9"/>
      <c r="K396" s="21"/>
      <c r="L396" s="21"/>
      <c r="M396" s="21"/>
      <c r="N396" s="21"/>
      <c r="O396" s="9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51"/>
      <c r="B397" s="14"/>
      <c r="C397" s="14"/>
      <c r="D397" s="14"/>
      <c r="E397" s="14"/>
      <c r="F397" s="53"/>
      <c r="G397" s="54"/>
      <c r="H397" s="54"/>
      <c r="I397" s="7"/>
      <c r="J397" s="9"/>
      <c r="K397" s="21"/>
      <c r="L397" s="21"/>
      <c r="M397" s="21"/>
      <c r="N397" s="21"/>
      <c r="O397" s="9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51"/>
      <c r="B398" s="14"/>
      <c r="C398" s="14"/>
      <c r="D398" s="14"/>
      <c r="E398" s="14"/>
      <c r="F398" s="53"/>
      <c r="G398" s="54"/>
      <c r="H398" s="54"/>
      <c r="I398" s="7"/>
      <c r="J398" s="9"/>
      <c r="K398" s="21"/>
      <c r="L398" s="21"/>
      <c r="M398" s="21"/>
      <c r="N398" s="21"/>
      <c r="O398" s="9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51"/>
      <c r="B399" s="14"/>
      <c r="C399" s="14"/>
      <c r="D399" s="14"/>
      <c r="E399" s="14"/>
      <c r="F399" s="53"/>
      <c r="G399" s="54"/>
      <c r="H399" s="54"/>
      <c r="I399" s="7"/>
      <c r="J399" s="9"/>
      <c r="K399" s="21"/>
      <c r="L399" s="21"/>
      <c r="M399" s="21"/>
      <c r="N399" s="21"/>
      <c r="O399" s="9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51"/>
      <c r="B400" s="14"/>
      <c r="C400" s="14"/>
      <c r="D400" s="14"/>
      <c r="E400" s="14"/>
      <c r="F400" s="53"/>
      <c r="G400" s="54"/>
      <c r="H400" s="54"/>
      <c r="I400" s="7"/>
      <c r="J400" s="9"/>
      <c r="K400" s="21"/>
      <c r="L400" s="21"/>
      <c r="M400" s="21"/>
      <c r="N400" s="21"/>
      <c r="O400" s="9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51"/>
      <c r="B401" s="14"/>
      <c r="C401" s="14"/>
      <c r="D401" s="14"/>
      <c r="E401" s="14"/>
      <c r="F401" s="53"/>
      <c r="G401" s="54"/>
      <c r="H401" s="54"/>
      <c r="I401" s="7"/>
      <c r="J401" s="9"/>
      <c r="K401" s="21"/>
      <c r="L401" s="21"/>
      <c r="M401" s="21"/>
      <c r="N401" s="21"/>
      <c r="O401" s="9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51"/>
      <c r="B402" s="14"/>
      <c r="C402" s="14"/>
      <c r="D402" s="14"/>
      <c r="E402" s="14"/>
      <c r="F402" s="53"/>
      <c r="G402" s="54"/>
      <c r="H402" s="54"/>
      <c r="I402" s="7"/>
      <c r="J402" s="9"/>
      <c r="K402" s="21"/>
      <c r="L402" s="21"/>
      <c r="M402" s="21"/>
      <c r="N402" s="21"/>
      <c r="O402" s="9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51"/>
      <c r="B403" s="14"/>
      <c r="C403" s="14"/>
      <c r="D403" s="14"/>
      <c r="E403" s="14"/>
      <c r="F403" s="53"/>
      <c r="G403" s="54"/>
      <c r="H403" s="54"/>
      <c r="I403" s="7"/>
      <c r="J403" s="9"/>
      <c r="K403" s="21"/>
      <c r="L403" s="21"/>
      <c r="M403" s="21"/>
      <c r="N403" s="21"/>
      <c r="O403" s="9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51"/>
      <c r="B404" s="14"/>
      <c r="C404" s="14"/>
      <c r="D404" s="14"/>
      <c r="E404" s="14"/>
      <c r="F404" s="53"/>
      <c r="G404" s="54"/>
      <c r="H404" s="54"/>
      <c r="I404" s="7"/>
      <c r="J404" s="9"/>
      <c r="K404" s="21"/>
      <c r="L404" s="21"/>
      <c r="M404" s="21"/>
      <c r="N404" s="21"/>
      <c r="O404" s="9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51"/>
      <c r="B405" s="14"/>
      <c r="C405" s="14"/>
      <c r="D405" s="14"/>
      <c r="E405" s="14"/>
      <c r="F405" s="53"/>
      <c r="G405" s="54"/>
      <c r="H405" s="54"/>
      <c r="I405" s="7"/>
      <c r="J405" s="9"/>
      <c r="K405" s="21"/>
      <c r="L405" s="21"/>
      <c r="M405" s="21"/>
      <c r="N405" s="21"/>
      <c r="O405" s="9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51"/>
      <c r="B406" s="14"/>
      <c r="C406" s="14"/>
      <c r="D406" s="14"/>
      <c r="E406" s="14"/>
      <c r="F406" s="53"/>
      <c r="G406" s="54"/>
      <c r="H406" s="54"/>
      <c r="I406" s="7"/>
      <c r="J406" s="9"/>
      <c r="K406" s="21"/>
      <c r="L406" s="21"/>
      <c r="M406" s="21"/>
      <c r="N406" s="21"/>
      <c r="O406" s="9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51"/>
      <c r="B407" s="14"/>
      <c r="C407" s="14"/>
      <c r="D407" s="14"/>
      <c r="E407" s="14"/>
      <c r="F407" s="53"/>
      <c r="G407" s="54"/>
      <c r="H407" s="54"/>
      <c r="I407" s="7"/>
      <c r="J407" s="9"/>
      <c r="K407" s="21"/>
      <c r="L407" s="21"/>
      <c r="M407" s="21"/>
      <c r="N407" s="21"/>
      <c r="O407" s="9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51"/>
      <c r="B408" s="14"/>
      <c r="C408" s="14"/>
      <c r="D408" s="14"/>
      <c r="E408" s="14"/>
      <c r="F408" s="53"/>
      <c r="G408" s="54"/>
      <c r="H408" s="54"/>
      <c r="I408" s="7"/>
      <c r="J408" s="9"/>
      <c r="K408" s="21"/>
      <c r="L408" s="21"/>
      <c r="M408" s="21"/>
      <c r="N408" s="21"/>
      <c r="O408" s="9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51"/>
      <c r="B409" s="14"/>
      <c r="C409" s="14"/>
      <c r="D409" s="14"/>
      <c r="E409" s="14"/>
      <c r="F409" s="53"/>
      <c r="G409" s="54"/>
      <c r="H409" s="54"/>
      <c r="I409" s="7"/>
      <c r="J409" s="9"/>
      <c r="K409" s="21"/>
      <c r="L409" s="21"/>
      <c r="M409" s="21"/>
      <c r="N409" s="21"/>
      <c r="O409" s="9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51"/>
      <c r="B410" s="14"/>
      <c r="C410" s="14"/>
      <c r="D410" s="14"/>
      <c r="E410" s="14"/>
      <c r="F410" s="53"/>
      <c r="G410" s="54"/>
      <c r="H410" s="54"/>
      <c r="I410" s="7"/>
      <c r="J410" s="9"/>
      <c r="K410" s="21"/>
      <c r="L410" s="21"/>
      <c r="M410" s="21"/>
      <c r="N410" s="21"/>
      <c r="O410" s="9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51"/>
      <c r="B411" s="14"/>
      <c r="C411" s="14"/>
      <c r="D411" s="14"/>
      <c r="E411" s="14"/>
      <c r="F411" s="53"/>
      <c r="G411" s="54"/>
      <c r="H411" s="54"/>
      <c r="I411" s="7"/>
      <c r="J411" s="9"/>
      <c r="K411" s="21"/>
      <c r="L411" s="21"/>
      <c r="M411" s="21"/>
      <c r="N411" s="21"/>
      <c r="O411" s="9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51"/>
      <c r="B412" s="14"/>
      <c r="C412" s="14"/>
      <c r="D412" s="14"/>
      <c r="E412" s="14"/>
      <c r="F412" s="53"/>
      <c r="G412" s="54"/>
      <c r="H412" s="54"/>
      <c r="I412" s="7"/>
      <c r="J412" s="9"/>
      <c r="K412" s="21"/>
      <c r="L412" s="21"/>
      <c r="M412" s="21"/>
      <c r="N412" s="21"/>
      <c r="O412" s="9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51"/>
      <c r="B413" s="14"/>
      <c r="C413" s="14"/>
      <c r="D413" s="14"/>
      <c r="E413" s="14"/>
      <c r="F413" s="53"/>
      <c r="G413" s="54"/>
      <c r="H413" s="54"/>
      <c r="I413" s="7"/>
      <c r="J413" s="9"/>
      <c r="K413" s="21"/>
      <c r="L413" s="21"/>
      <c r="M413" s="21"/>
      <c r="N413" s="21"/>
      <c r="O413" s="9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51"/>
      <c r="B414" s="14"/>
      <c r="C414" s="14"/>
      <c r="D414" s="14"/>
      <c r="E414" s="14"/>
      <c r="F414" s="53"/>
      <c r="G414" s="54"/>
      <c r="H414" s="54"/>
      <c r="I414" s="7"/>
      <c r="J414" s="9"/>
      <c r="K414" s="21"/>
      <c r="L414" s="21"/>
      <c r="M414" s="21"/>
      <c r="N414" s="21"/>
      <c r="O414" s="9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51"/>
      <c r="B415" s="14"/>
      <c r="C415" s="14"/>
      <c r="D415" s="14"/>
      <c r="E415" s="14"/>
      <c r="F415" s="53"/>
      <c r="G415" s="54"/>
      <c r="H415" s="54"/>
      <c r="I415" s="7"/>
      <c r="J415" s="9"/>
      <c r="K415" s="21"/>
      <c r="L415" s="21"/>
      <c r="M415" s="21"/>
      <c r="N415" s="21"/>
      <c r="O415" s="9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51"/>
      <c r="B416" s="14"/>
      <c r="C416" s="14"/>
      <c r="D416" s="14"/>
      <c r="E416" s="14"/>
      <c r="F416" s="53"/>
      <c r="G416" s="54"/>
      <c r="H416" s="54"/>
      <c r="I416" s="7"/>
      <c r="J416" s="9"/>
      <c r="K416" s="21"/>
      <c r="L416" s="21"/>
      <c r="M416" s="21"/>
      <c r="N416" s="21"/>
      <c r="O416" s="9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51"/>
      <c r="B417" s="14"/>
      <c r="C417" s="14"/>
      <c r="D417" s="14"/>
      <c r="E417" s="14"/>
      <c r="F417" s="53"/>
      <c r="G417" s="54"/>
      <c r="H417" s="54"/>
      <c r="I417" s="7"/>
      <c r="J417" s="9"/>
      <c r="K417" s="21"/>
      <c r="L417" s="21"/>
      <c r="M417" s="21"/>
      <c r="N417" s="21"/>
      <c r="O417" s="9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51"/>
      <c r="B418" s="14"/>
      <c r="C418" s="14"/>
      <c r="D418" s="14"/>
      <c r="E418" s="14"/>
      <c r="F418" s="53"/>
      <c r="G418" s="54"/>
      <c r="H418" s="54"/>
      <c r="I418" s="7"/>
      <c r="J418" s="9"/>
      <c r="K418" s="21"/>
      <c r="L418" s="21"/>
      <c r="M418" s="21"/>
      <c r="N418" s="21"/>
      <c r="O418" s="9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51"/>
      <c r="B419" s="14"/>
      <c r="C419" s="14"/>
      <c r="D419" s="14"/>
      <c r="E419" s="14"/>
      <c r="F419" s="53"/>
      <c r="G419" s="54"/>
      <c r="H419" s="54"/>
      <c r="I419" s="7"/>
      <c r="J419" s="9"/>
      <c r="K419" s="21"/>
      <c r="L419" s="21"/>
      <c r="M419" s="21"/>
      <c r="N419" s="21"/>
      <c r="O419" s="9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51"/>
      <c r="B420" s="14"/>
      <c r="C420" s="14"/>
      <c r="D420" s="14"/>
      <c r="E420" s="14"/>
      <c r="F420" s="53"/>
      <c r="G420" s="54"/>
      <c r="H420" s="54"/>
      <c r="I420" s="7"/>
      <c r="J420" s="9"/>
      <c r="K420" s="21"/>
      <c r="L420" s="21"/>
      <c r="M420" s="21"/>
      <c r="N420" s="21"/>
      <c r="O420" s="9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51"/>
      <c r="B421" s="14"/>
      <c r="C421" s="14"/>
      <c r="D421" s="14"/>
      <c r="E421" s="14"/>
      <c r="F421" s="53"/>
      <c r="G421" s="54"/>
      <c r="H421" s="54"/>
      <c r="I421" s="7"/>
      <c r="J421" s="9"/>
      <c r="K421" s="21"/>
      <c r="L421" s="21"/>
      <c r="M421" s="21"/>
      <c r="N421" s="21"/>
      <c r="O421" s="9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51"/>
      <c r="B422" s="14"/>
      <c r="C422" s="14"/>
      <c r="D422" s="14"/>
      <c r="E422" s="14"/>
      <c r="F422" s="53"/>
      <c r="G422" s="54"/>
      <c r="H422" s="54"/>
      <c r="I422" s="7"/>
      <c r="J422" s="9"/>
      <c r="K422" s="21"/>
      <c r="L422" s="21"/>
      <c r="M422" s="21"/>
      <c r="N422" s="21"/>
      <c r="O422" s="9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51"/>
      <c r="B423" s="14"/>
      <c r="C423" s="14"/>
      <c r="D423" s="14"/>
      <c r="E423" s="14"/>
      <c r="F423" s="53"/>
      <c r="G423" s="54"/>
      <c r="H423" s="54"/>
      <c r="I423" s="7"/>
      <c r="J423" s="9"/>
      <c r="K423" s="21"/>
      <c r="L423" s="21"/>
      <c r="M423" s="21"/>
      <c r="N423" s="21"/>
      <c r="O423" s="9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51"/>
      <c r="B424" s="14"/>
      <c r="C424" s="14"/>
      <c r="D424" s="14"/>
      <c r="E424" s="14"/>
      <c r="F424" s="53"/>
      <c r="G424" s="54"/>
      <c r="H424" s="54"/>
      <c r="I424" s="7"/>
      <c r="J424" s="9"/>
      <c r="K424" s="21"/>
      <c r="L424" s="21"/>
      <c r="M424" s="21"/>
      <c r="N424" s="21"/>
      <c r="O424" s="9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51"/>
      <c r="B425" s="14"/>
      <c r="C425" s="14"/>
      <c r="D425" s="14"/>
      <c r="E425" s="14"/>
      <c r="F425" s="53"/>
      <c r="G425" s="54"/>
      <c r="H425" s="54"/>
      <c r="I425" s="7"/>
      <c r="J425" s="9"/>
      <c r="K425" s="21"/>
      <c r="L425" s="21"/>
      <c r="M425" s="21"/>
      <c r="N425" s="21"/>
      <c r="O425" s="9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51"/>
      <c r="B426" s="14"/>
      <c r="C426" s="14"/>
      <c r="D426" s="14"/>
      <c r="E426" s="14"/>
      <c r="F426" s="53"/>
      <c r="G426" s="54"/>
      <c r="H426" s="54"/>
      <c r="I426" s="7"/>
      <c r="J426" s="9"/>
      <c r="K426" s="21"/>
      <c r="L426" s="21"/>
      <c r="M426" s="21"/>
      <c r="N426" s="21"/>
      <c r="O426" s="9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51"/>
      <c r="B427" s="14"/>
      <c r="C427" s="14"/>
      <c r="D427" s="14"/>
      <c r="E427" s="14"/>
      <c r="F427" s="53"/>
      <c r="G427" s="54"/>
      <c r="H427" s="54"/>
      <c r="I427" s="7"/>
      <c r="J427" s="9"/>
      <c r="K427" s="21"/>
      <c r="L427" s="21"/>
      <c r="M427" s="21"/>
      <c r="N427" s="21"/>
      <c r="O427" s="9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51"/>
      <c r="B428" s="14"/>
      <c r="C428" s="14"/>
      <c r="D428" s="14"/>
      <c r="E428" s="14"/>
      <c r="F428" s="53"/>
      <c r="G428" s="54"/>
      <c r="H428" s="54"/>
      <c r="I428" s="7"/>
      <c r="J428" s="9"/>
      <c r="K428" s="21"/>
      <c r="L428" s="21"/>
      <c r="M428" s="21"/>
      <c r="N428" s="21"/>
      <c r="O428" s="9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51"/>
      <c r="B429" s="14"/>
      <c r="C429" s="14"/>
      <c r="D429" s="14"/>
      <c r="E429" s="14"/>
      <c r="F429" s="53"/>
      <c r="G429" s="54"/>
      <c r="H429" s="54"/>
      <c r="I429" s="7"/>
      <c r="J429" s="9"/>
      <c r="K429" s="21"/>
      <c r="L429" s="21"/>
      <c r="M429" s="21"/>
      <c r="N429" s="21"/>
      <c r="O429" s="9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51"/>
      <c r="B430" s="14"/>
      <c r="C430" s="14"/>
      <c r="D430" s="14"/>
      <c r="E430" s="14"/>
      <c r="F430" s="53"/>
      <c r="G430" s="54"/>
      <c r="H430" s="54"/>
      <c r="I430" s="7"/>
      <c r="J430" s="9"/>
      <c r="K430" s="21"/>
      <c r="L430" s="21"/>
      <c r="M430" s="21"/>
      <c r="N430" s="21"/>
      <c r="O430" s="9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51"/>
      <c r="B431" s="14"/>
      <c r="C431" s="14"/>
      <c r="D431" s="14"/>
      <c r="E431" s="14"/>
      <c r="F431" s="53"/>
      <c r="G431" s="54"/>
      <c r="H431" s="54"/>
      <c r="I431" s="7"/>
      <c r="J431" s="9"/>
      <c r="K431" s="21"/>
      <c r="L431" s="21"/>
      <c r="M431" s="21"/>
      <c r="N431" s="21"/>
      <c r="O431" s="9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51"/>
      <c r="B432" s="14"/>
      <c r="C432" s="14"/>
      <c r="D432" s="14"/>
      <c r="E432" s="14"/>
      <c r="F432" s="53"/>
      <c r="G432" s="54"/>
      <c r="H432" s="54"/>
      <c r="I432" s="7"/>
      <c r="J432" s="9"/>
      <c r="K432" s="21"/>
      <c r="L432" s="21"/>
      <c r="M432" s="21"/>
      <c r="N432" s="21"/>
      <c r="O432" s="9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51"/>
      <c r="B433" s="14"/>
      <c r="C433" s="14"/>
      <c r="D433" s="14"/>
      <c r="E433" s="14"/>
      <c r="F433" s="53"/>
      <c r="G433" s="54"/>
      <c r="H433" s="54"/>
      <c r="I433" s="7"/>
      <c r="J433" s="9"/>
      <c r="K433" s="21"/>
      <c r="L433" s="21"/>
      <c r="M433" s="21"/>
      <c r="N433" s="21"/>
      <c r="O433" s="9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51"/>
      <c r="B434" s="14"/>
      <c r="C434" s="14"/>
      <c r="D434" s="14"/>
      <c r="E434" s="14"/>
      <c r="F434" s="53"/>
      <c r="G434" s="54"/>
      <c r="H434" s="54"/>
      <c r="I434" s="7"/>
      <c r="J434" s="9"/>
      <c r="K434" s="21"/>
      <c r="L434" s="21"/>
      <c r="M434" s="21"/>
      <c r="N434" s="21"/>
      <c r="O434" s="9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51"/>
      <c r="B435" s="14"/>
      <c r="C435" s="14"/>
      <c r="D435" s="14"/>
      <c r="E435" s="14"/>
      <c r="F435" s="53"/>
      <c r="G435" s="54"/>
      <c r="H435" s="54"/>
      <c r="I435" s="7"/>
      <c r="J435" s="9"/>
      <c r="K435" s="21"/>
      <c r="L435" s="21"/>
      <c r="M435" s="21"/>
      <c r="N435" s="21"/>
      <c r="O435" s="9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51"/>
      <c r="B436" s="14"/>
      <c r="C436" s="14"/>
      <c r="D436" s="14"/>
      <c r="E436" s="14"/>
      <c r="F436" s="53"/>
      <c r="G436" s="54"/>
      <c r="H436" s="54"/>
      <c r="I436" s="7"/>
      <c r="J436" s="9"/>
      <c r="K436" s="21"/>
      <c r="L436" s="21"/>
      <c r="M436" s="21"/>
      <c r="N436" s="21"/>
      <c r="O436" s="9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51"/>
      <c r="B437" s="14"/>
      <c r="C437" s="14"/>
      <c r="D437" s="14"/>
      <c r="E437" s="14"/>
      <c r="F437" s="53"/>
      <c r="G437" s="54"/>
      <c r="H437" s="54"/>
      <c r="I437" s="7"/>
      <c r="J437" s="9"/>
      <c r="K437" s="21"/>
      <c r="L437" s="21"/>
      <c r="M437" s="21"/>
      <c r="N437" s="21"/>
      <c r="O437" s="9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51"/>
      <c r="B438" s="14"/>
      <c r="C438" s="14"/>
      <c r="D438" s="14"/>
      <c r="E438" s="14"/>
      <c r="F438" s="53"/>
      <c r="G438" s="54"/>
      <c r="H438" s="54"/>
      <c r="I438" s="7"/>
      <c r="J438" s="9"/>
      <c r="K438" s="21"/>
      <c r="L438" s="21"/>
      <c r="M438" s="21"/>
      <c r="N438" s="21"/>
      <c r="O438" s="9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51"/>
      <c r="B439" s="14"/>
      <c r="C439" s="14"/>
      <c r="D439" s="14"/>
      <c r="E439" s="14"/>
      <c r="F439" s="53"/>
      <c r="G439" s="54"/>
      <c r="H439" s="54"/>
      <c r="I439" s="7"/>
      <c r="J439" s="9"/>
      <c r="K439" s="21"/>
      <c r="L439" s="21"/>
      <c r="M439" s="21"/>
      <c r="N439" s="21"/>
      <c r="O439" s="9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51"/>
      <c r="B440" s="14"/>
      <c r="C440" s="14"/>
      <c r="D440" s="14"/>
      <c r="E440" s="14"/>
      <c r="F440" s="53"/>
      <c r="G440" s="54"/>
      <c r="H440" s="54"/>
      <c r="I440" s="7"/>
      <c r="J440" s="9"/>
      <c r="K440" s="21"/>
      <c r="L440" s="21"/>
      <c r="M440" s="21"/>
      <c r="N440" s="21"/>
      <c r="O440" s="9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51"/>
      <c r="B441" s="14"/>
      <c r="C441" s="14"/>
      <c r="D441" s="14"/>
      <c r="E441" s="14"/>
      <c r="F441" s="53"/>
      <c r="G441" s="54"/>
      <c r="H441" s="54"/>
      <c r="I441" s="7"/>
      <c r="J441" s="9"/>
      <c r="K441" s="21"/>
      <c r="L441" s="21"/>
      <c r="M441" s="21"/>
      <c r="N441" s="21"/>
      <c r="O441" s="9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51"/>
      <c r="B442" s="14"/>
      <c r="C442" s="14"/>
      <c r="D442" s="14"/>
      <c r="E442" s="14"/>
      <c r="F442" s="53"/>
      <c r="G442" s="54"/>
      <c r="H442" s="54"/>
      <c r="I442" s="7"/>
      <c r="J442" s="9"/>
      <c r="K442" s="21"/>
      <c r="L442" s="21"/>
      <c r="M442" s="21"/>
      <c r="N442" s="21"/>
      <c r="O442" s="9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51"/>
      <c r="B443" s="14"/>
      <c r="C443" s="14"/>
      <c r="D443" s="14"/>
      <c r="E443" s="14"/>
      <c r="F443" s="53"/>
      <c r="G443" s="54"/>
      <c r="H443" s="54"/>
      <c r="I443" s="7"/>
      <c r="J443" s="9"/>
      <c r="K443" s="21"/>
      <c r="L443" s="21"/>
      <c r="M443" s="21"/>
      <c r="N443" s="21"/>
      <c r="O443" s="9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51"/>
      <c r="B444" s="14"/>
      <c r="C444" s="14"/>
      <c r="D444" s="14"/>
      <c r="E444" s="14"/>
      <c r="F444" s="53"/>
      <c r="G444" s="54"/>
      <c r="H444" s="54"/>
      <c r="I444" s="7"/>
      <c r="J444" s="9"/>
      <c r="K444" s="21"/>
      <c r="L444" s="21"/>
      <c r="M444" s="21"/>
      <c r="N444" s="21"/>
      <c r="O444" s="9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51"/>
      <c r="B445" s="14"/>
      <c r="C445" s="14"/>
      <c r="D445" s="14"/>
      <c r="E445" s="14"/>
      <c r="F445" s="53"/>
      <c r="G445" s="54"/>
      <c r="H445" s="54"/>
      <c r="I445" s="7"/>
      <c r="J445" s="9"/>
      <c r="K445" s="21"/>
      <c r="L445" s="21"/>
      <c r="M445" s="21"/>
      <c r="N445" s="21"/>
      <c r="O445" s="9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51"/>
      <c r="B446" s="14"/>
      <c r="C446" s="14"/>
      <c r="D446" s="14"/>
      <c r="E446" s="14"/>
      <c r="F446" s="53"/>
      <c r="G446" s="54"/>
      <c r="H446" s="54"/>
      <c r="I446" s="7"/>
      <c r="J446" s="9"/>
      <c r="K446" s="21"/>
      <c r="L446" s="21"/>
      <c r="M446" s="21"/>
      <c r="N446" s="21"/>
      <c r="O446" s="9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51"/>
      <c r="B447" s="14"/>
      <c r="C447" s="14"/>
      <c r="D447" s="14"/>
      <c r="E447" s="14"/>
      <c r="F447" s="53"/>
      <c r="G447" s="54"/>
      <c r="H447" s="54"/>
      <c r="I447" s="7"/>
      <c r="J447" s="9"/>
      <c r="K447" s="21"/>
      <c r="L447" s="21"/>
      <c r="M447" s="21"/>
      <c r="N447" s="21"/>
      <c r="O447" s="9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51"/>
      <c r="B448" s="14"/>
      <c r="C448" s="14"/>
      <c r="D448" s="14"/>
      <c r="E448" s="14"/>
      <c r="F448" s="53"/>
      <c r="G448" s="54"/>
      <c r="H448" s="54"/>
      <c r="I448" s="7"/>
      <c r="J448" s="9"/>
      <c r="K448" s="21"/>
      <c r="L448" s="21"/>
      <c r="M448" s="21"/>
      <c r="N448" s="21"/>
      <c r="O448" s="9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51"/>
      <c r="B449" s="14"/>
      <c r="C449" s="14"/>
      <c r="D449" s="14"/>
      <c r="E449" s="14"/>
      <c r="F449" s="53"/>
      <c r="G449" s="54"/>
      <c r="H449" s="54"/>
      <c r="I449" s="7"/>
      <c r="J449" s="9"/>
      <c r="K449" s="21"/>
      <c r="L449" s="21"/>
      <c r="M449" s="21"/>
      <c r="N449" s="21"/>
      <c r="O449" s="9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51"/>
      <c r="B450" s="14"/>
      <c r="C450" s="14"/>
      <c r="D450" s="14"/>
      <c r="E450" s="14"/>
      <c r="F450" s="53"/>
      <c r="G450" s="54"/>
      <c r="H450" s="54"/>
      <c r="I450" s="7"/>
      <c r="J450" s="9"/>
      <c r="K450" s="21"/>
      <c r="L450" s="21"/>
      <c r="M450" s="21"/>
      <c r="N450" s="21"/>
      <c r="O450" s="9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51"/>
      <c r="B451" s="14"/>
      <c r="C451" s="14"/>
      <c r="D451" s="14"/>
      <c r="E451" s="14"/>
      <c r="F451" s="53"/>
      <c r="G451" s="54"/>
      <c r="H451" s="54"/>
      <c r="I451" s="7"/>
      <c r="J451" s="9"/>
      <c r="K451" s="21"/>
      <c r="L451" s="21"/>
      <c r="M451" s="21"/>
      <c r="N451" s="21"/>
      <c r="O451" s="9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51"/>
      <c r="B452" s="14"/>
      <c r="C452" s="14"/>
      <c r="D452" s="14"/>
      <c r="E452" s="14"/>
      <c r="F452" s="53"/>
      <c r="G452" s="54"/>
      <c r="H452" s="54"/>
      <c r="I452" s="7"/>
      <c r="J452" s="9"/>
      <c r="K452" s="21"/>
      <c r="L452" s="21"/>
      <c r="M452" s="21"/>
      <c r="N452" s="21"/>
      <c r="O452" s="9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51"/>
      <c r="B453" s="14"/>
      <c r="C453" s="14"/>
      <c r="D453" s="14"/>
      <c r="E453" s="14"/>
      <c r="F453" s="53"/>
      <c r="G453" s="54"/>
      <c r="H453" s="54"/>
      <c r="I453" s="7"/>
      <c r="J453" s="9"/>
      <c r="K453" s="21"/>
      <c r="L453" s="21"/>
      <c r="M453" s="21"/>
      <c r="N453" s="21"/>
      <c r="O453" s="9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51"/>
      <c r="B454" s="14"/>
      <c r="C454" s="14"/>
      <c r="D454" s="14"/>
      <c r="E454" s="14"/>
      <c r="F454" s="53"/>
      <c r="G454" s="54"/>
      <c r="H454" s="54"/>
      <c r="I454" s="7"/>
      <c r="J454" s="9"/>
      <c r="K454" s="21"/>
      <c r="L454" s="21"/>
      <c r="M454" s="21"/>
      <c r="N454" s="21"/>
      <c r="O454" s="9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51"/>
      <c r="B455" s="14"/>
      <c r="C455" s="14"/>
      <c r="D455" s="14"/>
      <c r="E455" s="14"/>
      <c r="F455" s="53"/>
      <c r="G455" s="54"/>
      <c r="H455" s="54"/>
      <c r="I455" s="7"/>
      <c r="J455" s="9"/>
      <c r="K455" s="21"/>
      <c r="L455" s="21"/>
      <c r="M455" s="21"/>
      <c r="N455" s="21"/>
      <c r="O455" s="9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51"/>
      <c r="B456" s="14"/>
      <c r="C456" s="14"/>
      <c r="D456" s="14"/>
      <c r="E456" s="14"/>
      <c r="F456" s="53"/>
      <c r="G456" s="54"/>
      <c r="H456" s="54"/>
      <c r="I456" s="7"/>
      <c r="J456" s="9"/>
      <c r="K456" s="21"/>
      <c r="L456" s="21"/>
      <c r="M456" s="21"/>
      <c r="N456" s="21"/>
      <c r="O456" s="9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51"/>
      <c r="B457" s="14"/>
      <c r="C457" s="14"/>
      <c r="D457" s="14"/>
      <c r="E457" s="14"/>
      <c r="F457" s="53"/>
      <c r="G457" s="54"/>
      <c r="H457" s="54"/>
      <c r="I457" s="7"/>
      <c r="J457" s="9"/>
      <c r="K457" s="21"/>
      <c r="L457" s="21"/>
      <c r="M457" s="21"/>
      <c r="N457" s="21"/>
      <c r="O457" s="9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51"/>
      <c r="B458" s="14"/>
      <c r="C458" s="14"/>
      <c r="D458" s="14"/>
      <c r="E458" s="14"/>
      <c r="F458" s="53"/>
      <c r="G458" s="54"/>
      <c r="H458" s="54"/>
      <c r="I458" s="7"/>
      <c r="J458" s="9"/>
      <c r="K458" s="21"/>
      <c r="L458" s="21"/>
      <c r="M458" s="21"/>
      <c r="N458" s="21"/>
      <c r="O458" s="9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51"/>
      <c r="B459" s="14"/>
      <c r="C459" s="14"/>
      <c r="D459" s="14"/>
      <c r="E459" s="14"/>
      <c r="F459" s="53"/>
      <c r="G459" s="54"/>
      <c r="H459" s="54"/>
      <c r="I459" s="7"/>
      <c r="J459" s="9"/>
      <c r="K459" s="21"/>
      <c r="L459" s="21"/>
      <c r="M459" s="21"/>
      <c r="N459" s="21"/>
      <c r="O459" s="9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51"/>
      <c r="B460" s="14"/>
      <c r="C460" s="14"/>
      <c r="D460" s="14"/>
      <c r="E460" s="14"/>
      <c r="F460" s="53"/>
      <c r="G460" s="54"/>
      <c r="H460" s="54"/>
      <c r="I460" s="7"/>
      <c r="J460" s="9"/>
      <c r="K460" s="21"/>
      <c r="L460" s="21"/>
      <c r="M460" s="21"/>
      <c r="N460" s="21"/>
      <c r="O460" s="9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51"/>
      <c r="B461" s="14"/>
      <c r="C461" s="14"/>
      <c r="D461" s="14"/>
      <c r="E461" s="14"/>
      <c r="F461" s="53"/>
      <c r="G461" s="54"/>
      <c r="H461" s="54"/>
      <c r="I461" s="7"/>
      <c r="J461" s="9"/>
      <c r="K461" s="21"/>
      <c r="L461" s="21"/>
      <c r="M461" s="21"/>
      <c r="N461" s="21"/>
      <c r="O461" s="9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51"/>
      <c r="B462" s="14"/>
      <c r="C462" s="14"/>
      <c r="D462" s="14"/>
      <c r="E462" s="14"/>
      <c r="F462" s="53"/>
      <c r="G462" s="54"/>
      <c r="H462" s="54"/>
      <c r="I462" s="7"/>
      <c r="J462" s="9"/>
      <c r="K462" s="21"/>
      <c r="L462" s="21"/>
      <c r="M462" s="21"/>
      <c r="N462" s="21"/>
      <c r="O462" s="9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51"/>
      <c r="B463" s="14"/>
      <c r="C463" s="14"/>
      <c r="D463" s="14"/>
      <c r="E463" s="14"/>
      <c r="F463" s="53"/>
      <c r="G463" s="54"/>
      <c r="H463" s="54"/>
      <c r="I463" s="7"/>
      <c r="J463" s="9"/>
      <c r="K463" s="21"/>
      <c r="L463" s="21"/>
      <c r="M463" s="21"/>
      <c r="N463" s="21"/>
      <c r="O463" s="9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51"/>
      <c r="B464" s="14"/>
      <c r="C464" s="14"/>
      <c r="D464" s="14"/>
      <c r="E464" s="14"/>
      <c r="F464" s="53"/>
      <c r="G464" s="54"/>
      <c r="H464" s="54"/>
      <c r="I464" s="7"/>
      <c r="J464" s="9"/>
      <c r="K464" s="21"/>
      <c r="L464" s="21"/>
      <c r="M464" s="21"/>
      <c r="N464" s="21"/>
      <c r="O464" s="9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51"/>
      <c r="B465" s="14"/>
      <c r="C465" s="14"/>
      <c r="D465" s="14"/>
      <c r="E465" s="14"/>
      <c r="F465" s="53"/>
      <c r="G465" s="54"/>
      <c r="H465" s="54"/>
      <c r="I465" s="7"/>
      <c r="J465" s="9"/>
      <c r="K465" s="21"/>
      <c r="L465" s="21"/>
      <c r="M465" s="21"/>
      <c r="N465" s="21"/>
      <c r="O465" s="9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51"/>
      <c r="B466" s="14"/>
      <c r="C466" s="14"/>
      <c r="D466" s="14"/>
      <c r="E466" s="14"/>
      <c r="F466" s="53"/>
      <c r="G466" s="54"/>
      <c r="H466" s="54"/>
      <c r="I466" s="7"/>
      <c r="J466" s="9"/>
      <c r="K466" s="21"/>
      <c r="L466" s="21"/>
      <c r="M466" s="21"/>
      <c r="N466" s="21"/>
      <c r="O466" s="9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51"/>
      <c r="B467" s="14"/>
      <c r="C467" s="14"/>
      <c r="D467" s="14"/>
      <c r="E467" s="14"/>
      <c r="F467" s="53"/>
      <c r="G467" s="54"/>
      <c r="H467" s="54"/>
      <c r="I467" s="7"/>
      <c r="J467" s="9"/>
      <c r="K467" s="21"/>
      <c r="L467" s="21"/>
      <c r="M467" s="21"/>
      <c r="N467" s="21"/>
      <c r="O467" s="9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51"/>
      <c r="B468" s="14"/>
      <c r="C468" s="14"/>
      <c r="D468" s="14"/>
      <c r="E468" s="14"/>
      <c r="F468" s="53"/>
      <c r="G468" s="54"/>
      <c r="H468" s="54"/>
      <c r="I468" s="7"/>
      <c r="J468" s="9"/>
      <c r="K468" s="21"/>
      <c r="L468" s="21"/>
      <c r="M468" s="21"/>
      <c r="N468" s="21"/>
      <c r="O468" s="9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51"/>
      <c r="B469" s="14"/>
      <c r="C469" s="14"/>
      <c r="D469" s="14"/>
      <c r="E469" s="14"/>
      <c r="F469" s="53"/>
      <c r="G469" s="54"/>
      <c r="H469" s="54"/>
      <c r="I469" s="7"/>
      <c r="J469" s="9"/>
      <c r="K469" s="21"/>
      <c r="L469" s="21"/>
      <c r="M469" s="21"/>
      <c r="N469" s="21"/>
      <c r="O469" s="9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51"/>
      <c r="B470" s="14"/>
      <c r="C470" s="14"/>
      <c r="D470" s="14"/>
      <c r="E470" s="14"/>
      <c r="F470" s="53"/>
      <c r="G470" s="54"/>
      <c r="H470" s="54"/>
      <c r="I470" s="7"/>
      <c r="J470" s="9"/>
      <c r="K470" s="21"/>
      <c r="L470" s="21"/>
      <c r="M470" s="21"/>
      <c r="N470" s="21"/>
      <c r="O470" s="9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51"/>
      <c r="B471" s="14"/>
      <c r="C471" s="14"/>
      <c r="D471" s="14"/>
      <c r="E471" s="14"/>
      <c r="F471" s="53"/>
      <c r="G471" s="54"/>
      <c r="H471" s="54"/>
      <c r="I471" s="7"/>
      <c r="J471" s="9"/>
      <c r="K471" s="21"/>
      <c r="L471" s="21"/>
      <c r="M471" s="21"/>
      <c r="N471" s="21"/>
      <c r="O471" s="9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51"/>
      <c r="B472" s="14"/>
      <c r="C472" s="14"/>
      <c r="D472" s="14"/>
      <c r="E472" s="14"/>
      <c r="F472" s="53"/>
      <c r="G472" s="54"/>
      <c r="H472" s="54"/>
      <c r="I472" s="7"/>
      <c r="J472" s="9"/>
      <c r="K472" s="21"/>
      <c r="L472" s="21"/>
      <c r="M472" s="21"/>
      <c r="N472" s="21"/>
      <c r="O472" s="9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51"/>
      <c r="B473" s="14"/>
      <c r="C473" s="14"/>
      <c r="D473" s="14"/>
      <c r="E473" s="14"/>
      <c r="F473" s="53"/>
      <c r="G473" s="54"/>
      <c r="H473" s="54"/>
      <c r="I473" s="7"/>
      <c r="J473" s="9"/>
      <c r="K473" s="21"/>
      <c r="L473" s="21"/>
      <c r="M473" s="21"/>
      <c r="N473" s="21"/>
      <c r="O473" s="9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51"/>
      <c r="B474" s="14"/>
      <c r="C474" s="14"/>
      <c r="D474" s="14"/>
      <c r="E474" s="14"/>
      <c r="F474" s="53"/>
      <c r="G474" s="54"/>
      <c r="H474" s="54"/>
      <c r="I474" s="7"/>
      <c r="J474" s="9"/>
      <c r="K474" s="21"/>
      <c r="L474" s="21"/>
      <c r="M474" s="21"/>
      <c r="N474" s="21"/>
      <c r="O474" s="9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51"/>
      <c r="B475" s="14"/>
      <c r="C475" s="14"/>
      <c r="D475" s="14"/>
      <c r="E475" s="14"/>
      <c r="F475" s="53"/>
      <c r="G475" s="54"/>
      <c r="H475" s="54"/>
      <c r="I475" s="7"/>
      <c r="J475" s="9"/>
      <c r="K475" s="21"/>
      <c r="L475" s="21"/>
      <c r="M475" s="21"/>
      <c r="N475" s="21"/>
      <c r="O475" s="9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51"/>
      <c r="B476" s="14"/>
      <c r="C476" s="14"/>
      <c r="D476" s="14"/>
      <c r="E476" s="14"/>
      <c r="F476" s="53"/>
      <c r="G476" s="54"/>
      <c r="H476" s="54"/>
      <c r="I476" s="7"/>
      <c r="J476" s="9"/>
      <c r="K476" s="21"/>
      <c r="L476" s="21"/>
      <c r="M476" s="21"/>
      <c r="N476" s="21"/>
      <c r="O476" s="9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51"/>
      <c r="B477" s="14"/>
      <c r="C477" s="14"/>
      <c r="D477" s="14"/>
      <c r="E477" s="14"/>
      <c r="F477" s="53"/>
      <c r="G477" s="54"/>
      <c r="H477" s="54"/>
      <c r="I477" s="7"/>
      <c r="J477" s="9"/>
      <c r="K477" s="21"/>
      <c r="L477" s="21"/>
      <c r="M477" s="21"/>
      <c r="N477" s="21"/>
      <c r="O477" s="9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51"/>
      <c r="B478" s="14"/>
      <c r="C478" s="14"/>
      <c r="D478" s="14"/>
      <c r="E478" s="14"/>
      <c r="F478" s="53"/>
      <c r="G478" s="54"/>
      <c r="H478" s="54"/>
      <c r="I478" s="7"/>
      <c r="J478" s="9"/>
      <c r="K478" s="21"/>
      <c r="L478" s="21"/>
      <c r="M478" s="21"/>
      <c r="N478" s="21"/>
      <c r="O478" s="9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51"/>
      <c r="B479" s="14"/>
      <c r="C479" s="14"/>
      <c r="D479" s="14"/>
      <c r="E479" s="14"/>
      <c r="F479" s="53"/>
      <c r="G479" s="54"/>
      <c r="H479" s="54"/>
      <c r="I479" s="7"/>
      <c r="J479" s="9"/>
      <c r="K479" s="21"/>
      <c r="L479" s="21"/>
      <c r="M479" s="21"/>
      <c r="N479" s="21"/>
      <c r="O479" s="9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51"/>
      <c r="B480" s="14"/>
      <c r="C480" s="14"/>
      <c r="D480" s="14"/>
      <c r="E480" s="14"/>
      <c r="F480" s="53"/>
      <c r="G480" s="54"/>
      <c r="H480" s="54"/>
      <c r="I480" s="7"/>
      <c r="J480" s="9"/>
      <c r="K480" s="21"/>
      <c r="L480" s="21"/>
      <c r="M480" s="21"/>
      <c r="N480" s="21"/>
      <c r="O480" s="9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51"/>
      <c r="B481" s="14"/>
      <c r="C481" s="14"/>
      <c r="D481" s="14"/>
      <c r="E481" s="14"/>
      <c r="F481" s="53"/>
      <c r="G481" s="54"/>
      <c r="H481" s="54"/>
      <c r="I481" s="7"/>
      <c r="J481" s="9"/>
      <c r="K481" s="21"/>
      <c r="L481" s="21"/>
      <c r="M481" s="21"/>
      <c r="N481" s="21"/>
      <c r="O481" s="9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51"/>
      <c r="B482" s="14"/>
      <c r="C482" s="14"/>
      <c r="D482" s="14"/>
      <c r="E482" s="14"/>
      <c r="F482" s="53"/>
      <c r="G482" s="54"/>
      <c r="H482" s="54"/>
      <c r="I482" s="7"/>
      <c r="J482" s="9"/>
      <c r="K482" s="21"/>
      <c r="L482" s="21"/>
      <c r="M482" s="21"/>
      <c r="N482" s="21"/>
      <c r="O482" s="9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51"/>
      <c r="B483" s="14"/>
      <c r="C483" s="14"/>
      <c r="D483" s="14"/>
      <c r="E483" s="14"/>
      <c r="F483" s="53"/>
      <c r="G483" s="54"/>
      <c r="H483" s="54"/>
      <c r="I483" s="7"/>
      <c r="J483" s="9"/>
      <c r="K483" s="21"/>
      <c r="L483" s="21"/>
      <c r="M483" s="21"/>
      <c r="N483" s="21"/>
      <c r="O483" s="9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51"/>
      <c r="B484" s="14"/>
      <c r="C484" s="14"/>
      <c r="D484" s="14"/>
      <c r="E484" s="14"/>
      <c r="F484" s="53"/>
      <c r="G484" s="54"/>
      <c r="H484" s="54"/>
      <c r="I484" s="7"/>
      <c r="J484" s="9"/>
      <c r="K484" s="21"/>
      <c r="L484" s="21"/>
      <c r="M484" s="21"/>
      <c r="N484" s="21"/>
      <c r="O484" s="9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51"/>
      <c r="B485" s="14"/>
      <c r="C485" s="14"/>
      <c r="D485" s="14"/>
      <c r="E485" s="14"/>
      <c r="F485" s="53"/>
      <c r="G485" s="54"/>
      <c r="H485" s="54"/>
      <c r="I485" s="7"/>
      <c r="J485" s="9"/>
      <c r="K485" s="21"/>
      <c r="L485" s="21"/>
      <c r="M485" s="21"/>
      <c r="N485" s="21"/>
      <c r="O485" s="9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51"/>
      <c r="B486" s="14"/>
      <c r="C486" s="14"/>
      <c r="D486" s="14"/>
      <c r="E486" s="14"/>
      <c r="F486" s="53"/>
      <c r="G486" s="54"/>
      <c r="H486" s="54"/>
      <c r="I486" s="7"/>
      <c r="J486" s="9"/>
      <c r="K486" s="21"/>
      <c r="L486" s="21"/>
      <c r="M486" s="21"/>
      <c r="N486" s="21"/>
      <c r="O486" s="9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51"/>
      <c r="B487" s="14"/>
      <c r="C487" s="14"/>
      <c r="D487" s="14"/>
      <c r="E487" s="14"/>
      <c r="F487" s="53"/>
      <c r="G487" s="54"/>
      <c r="H487" s="54"/>
      <c r="I487" s="7"/>
      <c r="J487" s="9"/>
      <c r="K487" s="21"/>
      <c r="L487" s="21"/>
      <c r="M487" s="21"/>
      <c r="N487" s="21"/>
      <c r="O487" s="9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51"/>
      <c r="B488" s="14"/>
      <c r="C488" s="14"/>
      <c r="D488" s="14"/>
      <c r="E488" s="14"/>
      <c r="F488" s="53"/>
      <c r="G488" s="54"/>
      <c r="H488" s="54"/>
      <c r="I488" s="7"/>
      <c r="J488" s="9"/>
      <c r="K488" s="21"/>
      <c r="L488" s="21"/>
      <c r="M488" s="21"/>
      <c r="N488" s="21"/>
      <c r="O488" s="9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51"/>
      <c r="B489" s="14"/>
      <c r="C489" s="14"/>
      <c r="D489" s="14"/>
      <c r="E489" s="14"/>
      <c r="F489" s="53"/>
      <c r="G489" s="54"/>
      <c r="H489" s="54"/>
      <c r="I489" s="7"/>
      <c r="J489" s="9"/>
      <c r="K489" s="21"/>
      <c r="L489" s="21"/>
      <c r="M489" s="21"/>
      <c r="N489" s="21"/>
      <c r="O489" s="9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51"/>
      <c r="B490" s="14"/>
      <c r="C490" s="14"/>
      <c r="D490" s="14"/>
      <c r="E490" s="14"/>
      <c r="F490" s="53"/>
      <c r="G490" s="54"/>
      <c r="H490" s="54"/>
      <c r="I490" s="7"/>
      <c r="J490" s="9"/>
      <c r="K490" s="21"/>
      <c r="L490" s="21"/>
      <c r="M490" s="21"/>
      <c r="N490" s="21"/>
      <c r="O490" s="9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51"/>
      <c r="B491" s="14"/>
      <c r="C491" s="14"/>
      <c r="D491" s="14"/>
      <c r="E491" s="14"/>
      <c r="F491" s="53"/>
      <c r="G491" s="54"/>
      <c r="H491" s="54"/>
      <c r="I491" s="7"/>
      <c r="J491" s="9"/>
      <c r="K491" s="21"/>
      <c r="L491" s="21"/>
      <c r="M491" s="21"/>
      <c r="N491" s="21"/>
      <c r="O491" s="9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51"/>
      <c r="B492" s="14"/>
      <c r="C492" s="14"/>
      <c r="D492" s="14"/>
      <c r="E492" s="14"/>
      <c r="F492" s="53"/>
      <c r="G492" s="54"/>
      <c r="H492" s="54"/>
      <c r="I492" s="7"/>
      <c r="J492" s="9"/>
      <c r="K492" s="21"/>
      <c r="L492" s="21"/>
      <c r="M492" s="21"/>
      <c r="N492" s="21"/>
      <c r="O492" s="9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51"/>
      <c r="B493" s="14"/>
      <c r="C493" s="14"/>
      <c r="D493" s="14"/>
      <c r="E493" s="14"/>
      <c r="F493" s="53"/>
      <c r="G493" s="54"/>
      <c r="H493" s="54"/>
      <c r="I493" s="7"/>
      <c r="J493" s="9"/>
      <c r="K493" s="21"/>
      <c r="L493" s="21"/>
      <c r="M493" s="21"/>
      <c r="N493" s="21"/>
      <c r="O493" s="9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51"/>
      <c r="B494" s="14"/>
      <c r="C494" s="14"/>
      <c r="D494" s="14"/>
      <c r="E494" s="14"/>
      <c r="F494" s="53"/>
      <c r="G494" s="54"/>
      <c r="H494" s="54"/>
      <c r="I494" s="7"/>
      <c r="J494" s="9"/>
      <c r="K494" s="21"/>
      <c r="L494" s="21"/>
      <c r="M494" s="21"/>
      <c r="N494" s="21"/>
      <c r="O494" s="9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51"/>
      <c r="B495" s="14"/>
      <c r="C495" s="14"/>
      <c r="D495" s="14"/>
      <c r="E495" s="14"/>
      <c r="F495" s="53"/>
      <c r="G495" s="54"/>
      <c r="H495" s="54"/>
      <c r="I495" s="7"/>
      <c r="J495" s="9"/>
      <c r="K495" s="21"/>
      <c r="L495" s="21"/>
      <c r="M495" s="21"/>
      <c r="N495" s="21"/>
      <c r="O495" s="9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51"/>
      <c r="B496" s="14"/>
      <c r="C496" s="14"/>
      <c r="D496" s="14"/>
      <c r="E496" s="14"/>
      <c r="F496" s="53"/>
      <c r="G496" s="54"/>
      <c r="H496" s="54"/>
      <c r="I496" s="7"/>
      <c r="J496" s="9"/>
      <c r="K496" s="21"/>
      <c r="L496" s="21"/>
      <c r="M496" s="21"/>
      <c r="N496" s="21"/>
      <c r="O496" s="9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51"/>
      <c r="B497" s="14"/>
      <c r="C497" s="14"/>
      <c r="D497" s="14"/>
      <c r="E497" s="14"/>
      <c r="F497" s="53"/>
      <c r="G497" s="54"/>
      <c r="H497" s="54"/>
      <c r="I497" s="7"/>
      <c r="J497" s="9"/>
      <c r="K497" s="21"/>
      <c r="L497" s="21"/>
      <c r="M497" s="21"/>
      <c r="N497" s="21"/>
      <c r="O497" s="9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51"/>
      <c r="B498" s="14"/>
      <c r="C498" s="14"/>
      <c r="D498" s="14"/>
      <c r="E498" s="14"/>
      <c r="F498" s="53"/>
      <c r="G498" s="54"/>
      <c r="H498" s="54"/>
      <c r="I498" s="7"/>
      <c r="J498" s="9"/>
      <c r="K498" s="21"/>
      <c r="L498" s="21"/>
      <c r="M498" s="21"/>
      <c r="N498" s="21"/>
      <c r="O498" s="9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51"/>
      <c r="B499" s="14"/>
      <c r="C499" s="14"/>
      <c r="D499" s="14"/>
      <c r="E499" s="14"/>
      <c r="F499" s="53"/>
      <c r="G499" s="54"/>
      <c r="H499" s="54"/>
      <c r="I499" s="7"/>
      <c r="J499" s="9"/>
      <c r="K499" s="21"/>
      <c r="L499" s="21"/>
      <c r="M499" s="21"/>
      <c r="N499" s="21"/>
      <c r="O499" s="9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51"/>
      <c r="B500" s="14"/>
      <c r="C500" s="14"/>
      <c r="D500" s="14"/>
      <c r="E500" s="14"/>
      <c r="F500" s="53"/>
      <c r="G500" s="54"/>
      <c r="H500" s="54"/>
      <c r="I500" s="7"/>
      <c r="J500" s="9"/>
      <c r="K500" s="21"/>
      <c r="L500" s="21"/>
      <c r="M500" s="21"/>
      <c r="N500" s="21"/>
      <c r="O500" s="9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51"/>
      <c r="B501" s="14"/>
      <c r="C501" s="14"/>
      <c r="D501" s="14"/>
      <c r="E501" s="14"/>
      <c r="F501" s="53"/>
      <c r="G501" s="54"/>
      <c r="H501" s="54"/>
      <c r="I501" s="7"/>
      <c r="J501" s="9"/>
      <c r="K501" s="21"/>
      <c r="L501" s="21"/>
      <c r="M501" s="21"/>
      <c r="N501" s="21"/>
      <c r="O501" s="9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51"/>
      <c r="B502" s="14"/>
      <c r="C502" s="14"/>
      <c r="D502" s="14"/>
      <c r="E502" s="14"/>
      <c r="F502" s="53"/>
      <c r="G502" s="54"/>
      <c r="H502" s="54"/>
      <c r="I502" s="7"/>
      <c r="J502" s="9"/>
      <c r="K502" s="21"/>
      <c r="L502" s="21"/>
      <c r="M502" s="21"/>
      <c r="N502" s="21"/>
      <c r="O502" s="9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51"/>
      <c r="B503" s="14"/>
      <c r="C503" s="14"/>
      <c r="D503" s="14"/>
      <c r="E503" s="14"/>
      <c r="F503" s="53"/>
      <c r="G503" s="54"/>
      <c r="H503" s="54"/>
      <c r="I503" s="7"/>
      <c r="J503" s="9"/>
      <c r="K503" s="21"/>
      <c r="L503" s="21"/>
      <c r="M503" s="21"/>
      <c r="N503" s="21"/>
      <c r="O503" s="9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51"/>
      <c r="B504" s="14"/>
      <c r="C504" s="14"/>
      <c r="D504" s="14"/>
      <c r="E504" s="14"/>
      <c r="F504" s="53"/>
      <c r="G504" s="54"/>
      <c r="H504" s="54"/>
      <c r="I504" s="7"/>
      <c r="J504" s="9"/>
      <c r="K504" s="21"/>
      <c r="L504" s="21"/>
      <c r="M504" s="21"/>
      <c r="N504" s="21"/>
      <c r="O504" s="9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51"/>
      <c r="B505" s="14"/>
      <c r="C505" s="14"/>
      <c r="D505" s="14"/>
      <c r="E505" s="14"/>
      <c r="F505" s="53"/>
      <c r="G505" s="54"/>
      <c r="H505" s="54"/>
      <c r="I505" s="7"/>
      <c r="J505" s="9"/>
      <c r="K505" s="21"/>
      <c r="L505" s="21"/>
      <c r="M505" s="21"/>
      <c r="N505" s="21"/>
      <c r="O505" s="9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51"/>
      <c r="B506" s="14"/>
      <c r="C506" s="14"/>
      <c r="D506" s="14"/>
      <c r="E506" s="14"/>
      <c r="F506" s="53"/>
      <c r="G506" s="54"/>
      <c r="H506" s="54"/>
      <c r="I506" s="7"/>
      <c r="J506" s="9"/>
      <c r="K506" s="21"/>
      <c r="L506" s="21"/>
      <c r="M506" s="21"/>
      <c r="N506" s="21"/>
      <c r="O506" s="9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51"/>
      <c r="B507" s="14"/>
      <c r="C507" s="14"/>
      <c r="D507" s="14"/>
      <c r="E507" s="14"/>
      <c r="F507" s="53"/>
      <c r="G507" s="54"/>
      <c r="H507" s="54"/>
      <c r="I507" s="7"/>
      <c r="J507" s="9"/>
      <c r="K507" s="21"/>
      <c r="L507" s="21"/>
      <c r="M507" s="21"/>
      <c r="N507" s="21"/>
      <c r="O507" s="9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51"/>
      <c r="B508" s="14"/>
      <c r="C508" s="14"/>
      <c r="D508" s="14"/>
      <c r="E508" s="14"/>
      <c r="F508" s="53"/>
      <c r="G508" s="54"/>
      <c r="H508" s="54"/>
      <c r="I508" s="7"/>
      <c r="J508" s="9"/>
      <c r="K508" s="21"/>
      <c r="L508" s="21"/>
      <c r="M508" s="21"/>
      <c r="N508" s="21"/>
      <c r="O508" s="9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51"/>
      <c r="B509" s="14"/>
      <c r="C509" s="14"/>
      <c r="D509" s="14"/>
      <c r="E509" s="14"/>
      <c r="F509" s="53"/>
      <c r="G509" s="54"/>
      <c r="H509" s="54"/>
      <c r="I509" s="7"/>
      <c r="J509" s="9"/>
      <c r="K509" s="21"/>
      <c r="L509" s="21"/>
      <c r="M509" s="21"/>
      <c r="N509" s="21"/>
      <c r="O509" s="9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51"/>
      <c r="B510" s="14"/>
      <c r="C510" s="14"/>
      <c r="D510" s="14"/>
      <c r="E510" s="14"/>
      <c r="F510" s="53"/>
      <c r="G510" s="54"/>
      <c r="H510" s="54"/>
      <c r="I510" s="7"/>
      <c r="J510" s="9"/>
      <c r="K510" s="21"/>
      <c r="L510" s="21"/>
      <c r="M510" s="21"/>
      <c r="N510" s="21"/>
      <c r="O510" s="9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51"/>
      <c r="B511" s="14"/>
      <c r="C511" s="14"/>
      <c r="D511" s="14"/>
      <c r="E511" s="14"/>
      <c r="F511" s="53"/>
      <c r="G511" s="54"/>
      <c r="H511" s="54"/>
      <c r="I511" s="7"/>
      <c r="J511" s="9"/>
      <c r="K511" s="21"/>
      <c r="L511" s="21"/>
      <c r="M511" s="21"/>
      <c r="N511" s="21"/>
      <c r="O511" s="9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51"/>
      <c r="B512" s="14"/>
      <c r="C512" s="14"/>
      <c r="D512" s="14"/>
      <c r="E512" s="14"/>
      <c r="F512" s="53"/>
      <c r="G512" s="54"/>
      <c r="H512" s="54"/>
      <c r="I512" s="7"/>
      <c r="J512" s="9"/>
      <c r="K512" s="21"/>
      <c r="L512" s="21"/>
      <c r="M512" s="21"/>
      <c r="N512" s="21"/>
      <c r="O512" s="9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51"/>
      <c r="B513" s="14"/>
      <c r="C513" s="14"/>
      <c r="D513" s="14"/>
      <c r="E513" s="14"/>
      <c r="F513" s="53"/>
      <c r="G513" s="54"/>
      <c r="H513" s="54"/>
      <c r="I513" s="7"/>
      <c r="J513" s="9"/>
      <c r="K513" s="21"/>
      <c r="L513" s="21"/>
      <c r="M513" s="21"/>
      <c r="N513" s="21"/>
      <c r="O513" s="9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51"/>
      <c r="B514" s="14"/>
      <c r="C514" s="14"/>
      <c r="D514" s="14"/>
      <c r="E514" s="14"/>
      <c r="F514" s="53"/>
      <c r="G514" s="54"/>
      <c r="H514" s="54"/>
      <c r="I514" s="7"/>
      <c r="J514" s="9"/>
      <c r="K514" s="21"/>
      <c r="L514" s="21"/>
      <c r="M514" s="21"/>
      <c r="N514" s="21"/>
      <c r="O514" s="9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51"/>
      <c r="B515" s="14"/>
      <c r="C515" s="14"/>
      <c r="D515" s="14"/>
      <c r="E515" s="14"/>
      <c r="F515" s="53"/>
      <c r="G515" s="54"/>
      <c r="H515" s="54"/>
      <c r="I515" s="7"/>
      <c r="J515" s="9"/>
      <c r="K515" s="21"/>
      <c r="L515" s="21"/>
      <c r="M515" s="21"/>
      <c r="N515" s="21"/>
      <c r="O515" s="9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51"/>
      <c r="B516" s="14"/>
      <c r="C516" s="14"/>
      <c r="D516" s="14"/>
      <c r="E516" s="14"/>
      <c r="F516" s="53"/>
      <c r="G516" s="54"/>
      <c r="H516" s="54"/>
      <c r="I516" s="7"/>
      <c r="J516" s="9"/>
      <c r="K516" s="21"/>
      <c r="L516" s="21"/>
      <c r="M516" s="21"/>
      <c r="N516" s="21"/>
      <c r="O516" s="9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51"/>
      <c r="B517" s="14"/>
      <c r="C517" s="14"/>
      <c r="D517" s="14"/>
      <c r="E517" s="14"/>
      <c r="F517" s="53"/>
      <c r="G517" s="54"/>
      <c r="H517" s="54"/>
      <c r="I517" s="7"/>
      <c r="J517" s="9"/>
      <c r="K517" s="21"/>
      <c r="L517" s="21"/>
      <c r="M517" s="21"/>
      <c r="N517" s="21"/>
      <c r="O517" s="9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51"/>
      <c r="B518" s="14"/>
      <c r="C518" s="14"/>
      <c r="D518" s="14"/>
      <c r="E518" s="14"/>
      <c r="F518" s="53"/>
      <c r="G518" s="54"/>
      <c r="H518" s="54"/>
      <c r="I518" s="7"/>
      <c r="J518" s="9"/>
      <c r="K518" s="21"/>
      <c r="L518" s="21"/>
      <c r="M518" s="21"/>
      <c r="N518" s="21"/>
      <c r="O518" s="9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51"/>
      <c r="B519" s="14"/>
      <c r="C519" s="14"/>
      <c r="D519" s="14"/>
      <c r="E519" s="14"/>
      <c r="F519" s="53"/>
      <c r="G519" s="54"/>
      <c r="H519" s="54"/>
      <c r="I519" s="7"/>
      <c r="J519" s="9"/>
      <c r="K519" s="21"/>
      <c r="L519" s="21"/>
      <c r="M519" s="21"/>
      <c r="N519" s="21"/>
      <c r="O519" s="9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51"/>
      <c r="B520" s="14"/>
      <c r="C520" s="14"/>
      <c r="D520" s="14"/>
      <c r="E520" s="14"/>
      <c r="F520" s="53"/>
      <c r="G520" s="54"/>
      <c r="H520" s="54"/>
      <c r="I520" s="7"/>
      <c r="J520" s="9"/>
      <c r="K520" s="21"/>
      <c r="L520" s="21"/>
      <c r="M520" s="21"/>
      <c r="N520" s="21"/>
      <c r="O520" s="9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51"/>
      <c r="B521" s="14"/>
      <c r="C521" s="14"/>
      <c r="D521" s="14"/>
      <c r="E521" s="14"/>
      <c r="F521" s="53"/>
      <c r="G521" s="54"/>
      <c r="H521" s="54"/>
      <c r="I521" s="7"/>
      <c r="J521" s="9"/>
      <c r="K521" s="21"/>
      <c r="L521" s="21"/>
      <c r="M521" s="21"/>
      <c r="N521" s="21"/>
      <c r="O521" s="9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51"/>
      <c r="B522" s="14"/>
      <c r="C522" s="14"/>
      <c r="D522" s="14"/>
      <c r="E522" s="14"/>
      <c r="F522" s="53"/>
      <c r="G522" s="54"/>
      <c r="H522" s="54"/>
      <c r="I522" s="7"/>
      <c r="J522" s="9"/>
      <c r="K522" s="21"/>
      <c r="L522" s="21"/>
      <c r="M522" s="21"/>
      <c r="N522" s="21"/>
      <c r="O522" s="9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51"/>
      <c r="B523" s="14"/>
      <c r="C523" s="14"/>
      <c r="D523" s="14"/>
      <c r="E523" s="14"/>
      <c r="F523" s="53"/>
      <c r="G523" s="54"/>
      <c r="H523" s="54"/>
      <c r="I523" s="7"/>
      <c r="J523" s="9"/>
      <c r="K523" s="21"/>
      <c r="L523" s="21"/>
      <c r="M523" s="21"/>
      <c r="N523" s="21"/>
      <c r="O523" s="9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51"/>
      <c r="B524" s="14"/>
      <c r="C524" s="14"/>
      <c r="D524" s="14"/>
      <c r="E524" s="14"/>
      <c r="F524" s="53"/>
      <c r="G524" s="54"/>
      <c r="H524" s="54"/>
      <c r="I524" s="7"/>
      <c r="J524" s="9"/>
      <c r="K524" s="21"/>
      <c r="L524" s="21"/>
      <c r="M524" s="21"/>
      <c r="N524" s="21"/>
      <c r="O524" s="9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51"/>
      <c r="B525" s="14"/>
      <c r="C525" s="14"/>
      <c r="D525" s="14"/>
      <c r="E525" s="14"/>
      <c r="F525" s="53"/>
      <c r="G525" s="54"/>
      <c r="H525" s="54"/>
      <c r="I525" s="7"/>
      <c r="J525" s="9"/>
      <c r="K525" s="21"/>
      <c r="L525" s="21"/>
      <c r="M525" s="21"/>
      <c r="N525" s="21"/>
      <c r="O525" s="9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51"/>
      <c r="B526" s="14"/>
      <c r="C526" s="14"/>
      <c r="D526" s="14"/>
      <c r="E526" s="14"/>
      <c r="F526" s="53"/>
      <c r="G526" s="54"/>
      <c r="H526" s="54"/>
      <c r="I526" s="7"/>
      <c r="J526" s="9"/>
      <c r="K526" s="21"/>
      <c r="L526" s="21"/>
      <c r="M526" s="21"/>
      <c r="N526" s="21"/>
      <c r="O526" s="9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51"/>
      <c r="B527" s="14"/>
      <c r="C527" s="14"/>
      <c r="D527" s="14"/>
      <c r="E527" s="14"/>
      <c r="F527" s="53"/>
      <c r="G527" s="54"/>
      <c r="H527" s="54"/>
      <c r="I527" s="7"/>
      <c r="J527" s="9"/>
      <c r="K527" s="21"/>
      <c r="L527" s="21"/>
      <c r="M527" s="21"/>
      <c r="N527" s="21"/>
      <c r="O527" s="9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51"/>
      <c r="B528" s="14"/>
      <c r="C528" s="14"/>
      <c r="D528" s="14"/>
      <c r="E528" s="14"/>
      <c r="F528" s="53"/>
      <c r="G528" s="54"/>
      <c r="H528" s="54"/>
      <c r="I528" s="7"/>
      <c r="J528" s="9"/>
      <c r="K528" s="21"/>
      <c r="L528" s="21"/>
      <c r="M528" s="21"/>
      <c r="N528" s="21"/>
      <c r="O528" s="9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51"/>
      <c r="B529" s="14"/>
      <c r="C529" s="14"/>
      <c r="D529" s="14"/>
      <c r="E529" s="14"/>
      <c r="F529" s="53"/>
      <c r="G529" s="54"/>
      <c r="H529" s="54"/>
      <c r="I529" s="7"/>
      <c r="J529" s="9"/>
      <c r="K529" s="21"/>
      <c r="L529" s="21"/>
      <c r="M529" s="21"/>
      <c r="N529" s="21"/>
      <c r="O529" s="9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51"/>
      <c r="B530" s="14"/>
      <c r="C530" s="14"/>
      <c r="D530" s="14"/>
      <c r="E530" s="14"/>
      <c r="F530" s="53"/>
      <c r="G530" s="54"/>
      <c r="H530" s="54"/>
      <c r="I530" s="7"/>
      <c r="J530" s="9"/>
      <c r="K530" s="21"/>
      <c r="L530" s="21"/>
      <c r="M530" s="21"/>
      <c r="N530" s="21"/>
      <c r="O530" s="9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51"/>
      <c r="B531" s="14"/>
      <c r="C531" s="14"/>
      <c r="D531" s="14"/>
      <c r="E531" s="14"/>
      <c r="F531" s="53"/>
      <c r="G531" s="54"/>
      <c r="H531" s="54"/>
      <c r="I531" s="7"/>
      <c r="J531" s="9"/>
      <c r="K531" s="21"/>
      <c r="L531" s="21"/>
      <c r="M531" s="21"/>
      <c r="N531" s="21"/>
      <c r="O531" s="9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51"/>
      <c r="B532" s="14"/>
      <c r="C532" s="14"/>
      <c r="D532" s="14"/>
      <c r="E532" s="14"/>
      <c r="F532" s="53"/>
      <c r="G532" s="54"/>
      <c r="H532" s="54"/>
      <c r="I532" s="7"/>
      <c r="J532" s="9"/>
      <c r="K532" s="21"/>
      <c r="L532" s="21"/>
      <c r="M532" s="21"/>
      <c r="N532" s="21"/>
      <c r="O532" s="9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51"/>
      <c r="B533" s="14"/>
      <c r="C533" s="14"/>
      <c r="D533" s="14"/>
      <c r="E533" s="14"/>
      <c r="F533" s="53"/>
      <c r="G533" s="54"/>
      <c r="H533" s="54"/>
      <c r="I533" s="7"/>
      <c r="J533" s="9"/>
      <c r="K533" s="21"/>
      <c r="L533" s="21"/>
      <c r="M533" s="21"/>
      <c r="N533" s="21"/>
      <c r="O533" s="9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51"/>
      <c r="B534" s="14"/>
      <c r="C534" s="14"/>
      <c r="D534" s="14"/>
      <c r="E534" s="14"/>
      <c r="F534" s="53"/>
      <c r="G534" s="54"/>
      <c r="H534" s="54"/>
      <c r="I534" s="7"/>
      <c r="J534" s="9"/>
      <c r="K534" s="21"/>
      <c r="L534" s="21"/>
      <c r="M534" s="21"/>
      <c r="N534" s="21"/>
      <c r="O534" s="9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51"/>
      <c r="B535" s="14"/>
      <c r="C535" s="14"/>
      <c r="D535" s="14"/>
      <c r="E535" s="14"/>
      <c r="F535" s="53"/>
      <c r="G535" s="54"/>
      <c r="H535" s="54"/>
      <c r="I535" s="7"/>
      <c r="J535" s="9"/>
      <c r="K535" s="21"/>
      <c r="L535" s="21"/>
      <c r="M535" s="21"/>
      <c r="N535" s="21"/>
      <c r="O535" s="9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51"/>
      <c r="B536" s="14"/>
      <c r="C536" s="14"/>
      <c r="D536" s="14"/>
      <c r="E536" s="14"/>
      <c r="F536" s="53"/>
      <c r="G536" s="54"/>
      <c r="H536" s="54"/>
      <c r="I536" s="7"/>
      <c r="J536" s="9"/>
      <c r="K536" s="21"/>
      <c r="L536" s="21"/>
      <c r="M536" s="21"/>
      <c r="N536" s="21"/>
      <c r="O536" s="9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51"/>
      <c r="B537" s="14"/>
      <c r="C537" s="14"/>
      <c r="D537" s="14"/>
      <c r="E537" s="14"/>
      <c r="F537" s="53"/>
      <c r="G537" s="54"/>
      <c r="H537" s="54"/>
      <c r="I537" s="7"/>
      <c r="J537" s="9"/>
      <c r="K537" s="21"/>
      <c r="L537" s="21"/>
      <c r="M537" s="21"/>
      <c r="N537" s="21"/>
      <c r="O537" s="9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51"/>
      <c r="B538" s="14"/>
      <c r="C538" s="14"/>
      <c r="D538" s="14"/>
      <c r="E538" s="14"/>
      <c r="F538" s="53"/>
      <c r="G538" s="54"/>
      <c r="H538" s="54"/>
      <c r="I538" s="7"/>
      <c r="J538" s="9"/>
      <c r="K538" s="21"/>
      <c r="L538" s="21"/>
      <c r="M538" s="21"/>
      <c r="N538" s="21"/>
      <c r="O538" s="9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51"/>
      <c r="B539" s="14"/>
      <c r="C539" s="14"/>
      <c r="D539" s="14"/>
      <c r="E539" s="14"/>
      <c r="F539" s="53"/>
      <c r="G539" s="54"/>
      <c r="H539" s="54"/>
      <c r="I539" s="7"/>
      <c r="J539" s="9"/>
      <c r="K539" s="21"/>
      <c r="L539" s="21"/>
      <c r="M539" s="21"/>
      <c r="N539" s="21"/>
      <c r="O539" s="9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51"/>
      <c r="B540" s="14"/>
      <c r="C540" s="14"/>
      <c r="D540" s="14"/>
      <c r="E540" s="14"/>
      <c r="F540" s="53"/>
      <c r="G540" s="54"/>
      <c r="H540" s="54"/>
      <c r="I540" s="7"/>
      <c r="J540" s="9"/>
      <c r="K540" s="21"/>
      <c r="L540" s="21"/>
      <c r="M540" s="21"/>
      <c r="N540" s="21"/>
      <c r="O540" s="9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51"/>
      <c r="B541" s="14"/>
      <c r="C541" s="14"/>
      <c r="D541" s="14"/>
      <c r="E541" s="14"/>
      <c r="F541" s="53"/>
      <c r="G541" s="54"/>
      <c r="H541" s="54"/>
      <c r="I541" s="7"/>
      <c r="J541" s="9"/>
      <c r="K541" s="21"/>
      <c r="L541" s="21"/>
      <c r="M541" s="21"/>
      <c r="N541" s="21"/>
      <c r="O541" s="9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51"/>
      <c r="B542" s="14"/>
      <c r="C542" s="14"/>
      <c r="D542" s="14"/>
      <c r="E542" s="14"/>
      <c r="F542" s="53"/>
      <c r="G542" s="54"/>
      <c r="H542" s="54"/>
      <c r="I542" s="7"/>
      <c r="J542" s="9"/>
      <c r="K542" s="21"/>
      <c r="L542" s="21"/>
      <c r="M542" s="21"/>
      <c r="N542" s="21"/>
      <c r="O542" s="9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51"/>
      <c r="B543" s="14"/>
      <c r="C543" s="14"/>
      <c r="D543" s="14"/>
      <c r="E543" s="14"/>
      <c r="F543" s="53"/>
      <c r="G543" s="54"/>
      <c r="H543" s="54"/>
      <c r="I543" s="7"/>
      <c r="J543" s="9"/>
      <c r="K543" s="21"/>
      <c r="L543" s="21"/>
      <c r="M543" s="21"/>
      <c r="N543" s="21"/>
      <c r="O543" s="9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51"/>
      <c r="B544" s="14"/>
      <c r="C544" s="14"/>
      <c r="D544" s="14"/>
      <c r="E544" s="14"/>
      <c r="F544" s="53"/>
      <c r="G544" s="54"/>
      <c r="H544" s="54"/>
      <c r="I544" s="7"/>
      <c r="J544" s="9"/>
      <c r="K544" s="21"/>
      <c r="L544" s="21"/>
      <c r="M544" s="21"/>
      <c r="N544" s="21"/>
      <c r="O544" s="9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51"/>
      <c r="B545" s="14"/>
      <c r="C545" s="14"/>
      <c r="D545" s="14"/>
      <c r="E545" s="14"/>
      <c r="F545" s="53"/>
      <c r="G545" s="54"/>
      <c r="H545" s="54"/>
      <c r="I545" s="7"/>
      <c r="J545" s="9"/>
      <c r="K545" s="21"/>
      <c r="L545" s="21"/>
      <c r="M545" s="21"/>
      <c r="N545" s="21"/>
      <c r="O545" s="9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51"/>
      <c r="B546" s="14"/>
      <c r="C546" s="14"/>
      <c r="D546" s="14"/>
      <c r="E546" s="14"/>
      <c r="F546" s="53"/>
      <c r="G546" s="54"/>
      <c r="H546" s="54"/>
      <c r="I546" s="7"/>
      <c r="J546" s="9"/>
      <c r="K546" s="21"/>
      <c r="L546" s="21"/>
      <c r="M546" s="21"/>
      <c r="N546" s="21"/>
      <c r="O546" s="9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51"/>
      <c r="B547" s="14"/>
      <c r="C547" s="14"/>
      <c r="D547" s="14"/>
      <c r="E547" s="14"/>
      <c r="F547" s="53"/>
      <c r="G547" s="54"/>
      <c r="H547" s="54"/>
      <c r="I547" s="7"/>
      <c r="J547" s="9"/>
      <c r="K547" s="21"/>
      <c r="L547" s="21"/>
      <c r="M547" s="21"/>
      <c r="N547" s="21"/>
      <c r="O547" s="9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51"/>
      <c r="B548" s="14"/>
      <c r="C548" s="14"/>
      <c r="D548" s="14"/>
      <c r="E548" s="14"/>
      <c r="F548" s="53"/>
      <c r="G548" s="54"/>
      <c r="H548" s="54"/>
      <c r="I548" s="7"/>
      <c r="J548" s="9"/>
      <c r="K548" s="21"/>
      <c r="L548" s="21"/>
      <c r="M548" s="21"/>
      <c r="N548" s="21"/>
      <c r="O548" s="9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51"/>
      <c r="B549" s="14"/>
      <c r="C549" s="14"/>
      <c r="D549" s="14"/>
      <c r="E549" s="14"/>
      <c r="F549" s="53"/>
      <c r="G549" s="54"/>
      <c r="H549" s="54"/>
      <c r="I549" s="7"/>
      <c r="J549" s="9"/>
      <c r="K549" s="21"/>
      <c r="L549" s="21"/>
      <c r="M549" s="21"/>
      <c r="N549" s="21"/>
      <c r="O549" s="9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51"/>
      <c r="B550" s="14"/>
      <c r="C550" s="14"/>
      <c r="D550" s="14"/>
      <c r="E550" s="14"/>
      <c r="F550" s="53"/>
      <c r="G550" s="54"/>
      <c r="H550" s="54"/>
      <c r="I550" s="7"/>
      <c r="J550" s="9"/>
      <c r="K550" s="21"/>
      <c r="L550" s="21"/>
      <c r="M550" s="21"/>
      <c r="N550" s="21"/>
      <c r="O550" s="9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51"/>
      <c r="B551" s="14"/>
      <c r="C551" s="14"/>
      <c r="D551" s="14"/>
      <c r="E551" s="14"/>
      <c r="F551" s="53"/>
      <c r="G551" s="54"/>
      <c r="H551" s="54"/>
      <c r="I551" s="7"/>
      <c r="J551" s="9"/>
      <c r="K551" s="21"/>
      <c r="L551" s="21"/>
      <c r="M551" s="21"/>
      <c r="N551" s="21"/>
      <c r="O551" s="9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51"/>
      <c r="B552" s="14"/>
      <c r="C552" s="14"/>
      <c r="D552" s="14"/>
      <c r="E552" s="14"/>
      <c r="F552" s="53"/>
      <c r="G552" s="54"/>
      <c r="H552" s="54"/>
      <c r="I552" s="7"/>
      <c r="J552" s="9"/>
      <c r="K552" s="21"/>
      <c r="L552" s="21"/>
      <c r="M552" s="21"/>
      <c r="N552" s="21"/>
      <c r="O552" s="9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51"/>
      <c r="B553" s="14"/>
      <c r="C553" s="14"/>
      <c r="D553" s="14"/>
      <c r="E553" s="14"/>
      <c r="F553" s="53"/>
      <c r="G553" s="54"/>
      <c r="H553" s="54"/>
      <c r="I553" s="7"/>
      <c r="J553" s="9"/>
      <c r="K553" s="21"/>
      <c r="L553" s="21"/>
      <c r="M553" s="21"/>
      <c r="N553" s="21"/>
      <c r="O553" s="9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51"/>
      <c r="B554" s="14"/>
      <c r="C554" s="14"/>
      <c r="D554" s="14"/>
      <c r="E554" s="14"/>
      <c r="F554" s="53"/>
      <c r="G554" s="54"/>
      <c r="H554" s="54"/>
      <c r="I554" s="7"/>
      <c r="J554" s="9"/>
      <c r="K554" s="21"/>
      <c r="L554" s="21"/>
      <c r="M554" s="21"/>
      <c r="N554" s="21"/>
      <c r="O554" s="9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51"/>
      <c r="B555" s="14"/>
      <c r="C555" s="14"/>
      <c r="D555" s="14"/>
      <c r="E555" s="14"/>
      <c r="F555" s="53"/>
      <c r="G555" s="54"/>
      <c r="H555" s="54"/>
      <c r="I555" s="7"/>
      <c r="J555" s="9"/>
      <c r="K555" s="21"/>
      <c r="L555" s="21"/>
      <c r="M555" s="21"/>
      <c r="N555" s="21"/>
      <c r="O555" s="9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51"/>
      <c r="B556" s="14"/>
      <c r="C556" s="14"/>
      <c r="D556" s="14"/>
      <c r="E556" s="14"/>
      <c r="F556" s="53"/>
      <c r="G556" s="54"/>
      <c r="H556" s="54"/>
      <c r="I556" s="7"/>
      <c r="J556" s="9"/>
      <c r="K556" s="21"/>
      <c r="L556" s="21"/>
      <c r="M556" s="21"/>
      <c r="N556" s="21"/>
      <c r="O556" s="9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51"/>
      <c r="B557" s="14"/>
      <c r="C557" s="14"/>
      <c r="D557" s="14"/>
      <c r="E557" s="14"/>
      <c r="F557" s="53"/>
      <c r="G557" s="54"/>
      <c r="H557" s="54"/>
      <c r="I557" s="7"/>
      <c r="J557" s="9"/>
      <c r="K557" s="21"/>
      <c r="L557" s="21"/>
      <c r="M557" s="21"/>
      <c r="N557" s="21"/>
      <c r="O557" s="9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51"/>
      <c r="B558" s="14"/>
      <c r="C558" s="14"/>
      <c r="D558" s="14"/>
      <c r="E558" s="14"/>
      <c r="F558" s="53"/>
      <c r="G558" s="54"/>
      <c r="H558" s="54"/>
      <c r="I558" s="7"/>
      <c r="J558" s="9"/>
      <c r="K558" s="21"/>
      <c r="L558" s="21"/>
      <c r="M558" s="21"/>
      <c r="N558" s="21"/>
      <c r="O558" s="9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51"/>
      <c r="B559" s="14"/>
      <c r="C559" s="14"/>
      <c r="D559" s="14"/>
      <c r="E559" s="14"/>
      <c r="F559" s="53"/>
      <c r="G559" s="54"/>
      <c r="H559" s="54"/>
      <c r="I559" s="7"/>
      <c r="J559" s="9"/>
      <c r="K559" s="21"/>
      <c r="L559" s="21"/>
      <c r="M559" s="21"/>
      <c r="N559" s="21"/>
      <c r="O559" s="9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51"/>
      <c r="B560" s="14"/>
      <c r="C560" s="14"/>
      <c r="D560" s="14"/>
      <c r="E560" s="14"/>
      <c r="F560" s="53"/>
      <c r="G560" s="54"/>
      <c r="H560" s="54"/>
      <c r="I560" s="7"/>
      <c r="J560" s="9"/>
      <c r="K560" s="21"/>
      <c r="L560" s="21"/>
      <c r="M560" s="21"/>
      <c r="N560" s="21"/>
      <c r="O560" s="9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51"/>
      <c r="B561" s="14"/>
      <c r="C561" s="14"/>
      <c r="D561" s="14"/>
      <c r="E561" s="14"/>
      <c r="F561" s="53"/>
      <c r="G561" s="54"/>
      <c r="H561" s="54"/>
      <c r="I561" s="7"/>
      <c r="J561" s="9"/>
      <c r="K561" s="21"/>
      <c r="L561" s="21"/>
      <c r="M561" s="21"/>
      <c r="N561" s="21"/>
      <c r="O561" s="9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51"/>
      <c r="B562" s="14"/>
      <c r="C562" s="14"/>
      <c r="D562" s="14"/>
      <c r="E562" s="14"/>
      <c r="F562" s="53"/>
      <c r="G562" s="54"/>
      <c r="H562" s="54"/>
      <c r="I562" s="7"/>
      <c r="J562" s="9"/>
      <c r="K562" s="21"/>
      <c r="L562" s="21"/>
      <c r="M562" s="21"/>
      <c r="N562" s="21"/>
      <c r="O562" s="9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51"/>
      <c r="B563" s="14"/>
      <c r="C563" s="14"/>
      <c r="D563" s="14"/>
      <c r="E563" s="14"/>
      <c r="F563" s="53"/>
      <c r="G563" s="54"/>
      <c r="H563" s="54"/>
      <c r="I563" s="7"/>
      <c r="J563" s="9"/>
      <c r="K563" s="21"/>
      <c r="L563" s="21"/>
      <c r="M563" s="21"/>
      <c r="N563" s="21"/>
      <c r="O563" s="9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51"/>
      <c r="B564" s="14"/>
      <c r="C564" s="14"/>
      <c r="D564" s="14"/>
      <c r="E564" s="14"/>
      <c r="F564" s="53"/>
      <c r="G564" s="54"/>
      <c r="H564" s="54"/>
      <c r="I564" s="7"/>
      <c r="J564" s="9"/>
      <c r="K564" s="21"/>
      <c r="L564" s="21"/>
      <c r="M564" s="21"/>
      <c r="N564" s="21"/>
      <c r="O564" s="9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51"/>
      <c r="B565" s="14"/>
      <c r="C565" s="14"/>
      <c r="D565" s="14"/>
      <c r="E565" s="14"/>
      <c r="F565" s="53"/>
      <c r="G565" s="54"/>
      <c r="H565" s="54"/>
      <c r="I565" s="7"/>
      <c r="J565" s="9"/>
      <c r="K565" s="21"/>
      <c r="L565" s="21"/>
      <c r="M565" s="21"/>
      <c r="N565" s="21"/>
      <c r="O565" s="9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51"/>
      <c r="B566" s="14"/>
      <c r="C566" s="14"/>
      <c r="D566" s="14"/>
      <c r="E566" s="14"/>
      <c r="F566" s="53"/>
      <c r="G566" s="54"/>
      <c r="H566" s="54"/>
      <c r="I566" s="7"/>
      <c r="J566" s="9"/>
      <c r="K566" s="21"/>
      <c r="L566" s="21"/>
      <c r="M566" s="21"/>
      <c r="N566" s="21"/>
      <c r="O566" s="9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51"/>
      <c r="B567" s="14"/>
      <c r="C567" s="14"/>
      <c r="D567" s="14"/>
      <c r="E567" s="14"/>
      <c r="F567" s="53"/>
      <c r="G567" s="54"/>
      <c r="H567" s="54"/>
      <c r="I567" s="7"/>
      <c r="J567" s="9"/>
      <c r="K567" s="21"/>
      <c r="L567" s="21"/>
      <c r="M567" s="21"/>
      <c r="N567" s="21"/>
      <c r="O567" s="9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51"/>
      <c r="B568" s="14"/>
      <c r="C568" s="14"/>
      <c r="D568" s="14"/>
      <c r="E568" s="14"/>
      <c r="F568" s="53"/>
      <c r="G568" s="54"/>
      <c r="H568" s="54"/>
      <c r="I568" s="7"/>
      <c r="J568" s="9"/>
      <c r="K568" s="21"/>
      <c r="L568" s="21"/>
      <c r="M568" s="21"/>
      <c r="N568" s="21"/>
      <c r="O568" s="9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51"/>
      <c r="B569" s="14"/>
      <c r="C569" s="14"/>
      <c r="D569" s="14"/>
      <c r="E569" s="14"/>
      <c r="F569" s="53"/>
      <c r="G569" s="54"/>
      <c r="H569" s="54"/>
      <c r="I569" s="7"/>
      <c r="J569" s="9"/>
      <c r="K569" s="21"/>
      <c r="L569" s="21"/>
      <c r="M569" s="21"/>
      <c r="N569" s="21"/>
      <c r="O569" s="9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51"/>
      <c r="B570" s="14"/>
      <c r="C570" s="14"/>
      <c r="D570" s="14"/>
      <c r="E570" s="14"/>
      <c r="F570" s="53"/>
      <c r="G570" s="54"/>
      <c r="H570" s="54"/>
      <c r="I570" s="7"/>
      <c r="J570" s="9"/>
      <c r="K570" s="21"/>
      <c r="L570" s="21"/>
      <c r="M570" s="21"/>
      <c r="N570" s="21"/>
      <c r="O570" s="9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51"/>
      <c r="B571" s="14"/>
      <c r="C571" s="14"/>
      <c r="D571" s="14"/>
      <c r="E571" s="14"/>
      <c r="F571" s="53"/>
      <c r="G571" s="54"/>
      <c r="H571" s="54"/>
      <c r="I571" s="7"/>
      <c r="J571" s="9"/>
      <c r="K571" s="21"/>
      <c r="L571" s="21"/>
      <c r="M571" s="21"/>
      <c r="N571" s="21"/>
      <c r="O571" s="9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51"/>
      <c r="B572" s="14"/>
      <c r="C572" s="14"/>
      <c r="D572" s="14"/>
      <c r="E572" s="14"/>
      <c r="F572" s="53"/>
      <c r="G572" s="54"/>
      <c r="H572" s="54"/>
      <c r="I572" s="7"/>
      <c r="J572" s="9"/>
      <c r="K572" s="21"/>
      <c r="L572" s="21"/>
      <c r="M572" s="21"/>
      <c r="N572" s="21"/>
      <c r="O572" s="9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51"/>
      <c r="B573" s="14"/>
      <c r="C573" s="14"/>
      <c r="D573" s="14"/>
      <c r="E573" s="14"/>
      <c r="F573" s="53"/>
      <c r="G573" s="54"/>
      <c r="H573" s="54"/>
      <c r="I573" s="7"/>
      <c r="J573" s="9"/>
      <c r="K573" s="21"/>
      <c r="L573" s="21"/>
      <c r="M573" s="21"/>
      <c r="N573" s="21"/>
      <c r="O573" s="9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51"/>
      <c r="B574" s="14"/>
      <c r="C574" s="14"/>
      <c r="D574" s="14"/>
      <c r="E574" s="14"/>
      <c r="F574" s="53"/>
      <c r="G574" s="54"/>
      <c r="H574" s="54"/>
      <c r="I574" s="7"/>
      <c r="J574" s="9"/>
      <c r="K574" s="21"/>
      <c r="L574" s="21"/>
      <c r="M574" s="21"/>
      <c r="N574" s="21"/>
      <c r="O574" s="9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51"/>
      <c r="B575" s="14"/>
      <c r="C575" s="14"/>
      <c r="D575" s="14"/>
      <c r="E575" s="14"/>
      <c r="F575" s="53"/>
      <c r="G575" s="54"/>
      <c r="H575" s="54"/>
      <c r="I575" s="7"/>
      <c r="J575" s="9"/>
      <c r="K575" s="21"/>
      <c r="L575" s="21"/>
      <c r="M575" s="21"/>
      <c r="N575" s="21"/>
      <c r="O575" s="9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51"/>
      <c r="B576" s="14"/>
      <c r="C576" s="14"/>
      <c r="D576" s="14"/>
      <c r="E576" s="14"/>
      <c r="F576" s="53"/>
      <c r="G576" s="54"/>
      <c r="H576" s="54"/>
      <c r="I576" s="7"/>
      <c r="J576" s="9"/>
      <c r="K576" s="21"/>
      <c r="L576" s="21"/>
      <c r="M576" s="21"/>
      <c r="N576" s="21"/>
      <c r="O576" s="9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51"/>
      <c r="B577" s="14"/>
      <c r="C577" s="14"/>
      <c r="D577" s="14"/>
      <c r="E577" s="14"/>
      <c r="F577" s="53"/>
      <c r="G577" s="54"/>
      <c r="H577" s="54"/>
      <c r="I577" s="7"/>
      <c r="J577" s="9"/>
      <c r="K577" s="21"/>
      <c r="L577" s="21"/>
      <c r="M577" s="21"/>
      <c r="N577" s="21"/>
      <c r="O577" s="9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51"/>
      <c r="B578" s="14"/>
      <c r="C578" s="14"/>
      <c r="D578" s="14"/>
      <c r="E578" s="14"/>
      <c r="F578" s="53"/>
      <c r="G578" s="54"/>
      <c r="H578" s="54"/>
      <c r="I578" s="7"/>
      <c r="J578" s="9"/>
      <c r="K578" s="21"/>
      <c r="L578" s="21"/>
      <c r="M578" s="21"/>
      <c r="N578" s="21"/>
      <c r="O578" s="9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51"/>
      <c r="B579" s="14"/>
      <c r="C579" s="14"/>
      <c r="D579" s="14"/>
      <c r="E579" s="14"/>
      <c r="F579" s="53"/>
      <c r="G579" s="54"/>
      <c r="H579" s="54"/>
      <c r="I579" s="7"/>
      <c r="J579" s="9"/>
      <c r="K579" s="21"/>
      <c r="L579" s="21"/>
      <c r="M579" s="21"/>
      <c r="N579" s="21"/>
      <c r="O579" s="9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51"/>
      <c r="B580" s="14"/>
      <c r="C580" s="14"/>
      <c r="D580" s="14"/>
      <c r="E580" s="14"/>
      <c r="F580" s="53"/>
      <c r="G580" s="54"/>
      <c r="H580" s="54"/>
      <c r="I580" s="7"/>
      <c r="J580" s="9"/>
      <c r="K580" s="21"/>
      <c r="L580" s="21"/>
      <c r="M580" s="21"/>
      <c r="N580" s="21"/>
      <c r="O580" s="9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51"/>
      <c r="B581" s="14"/>
      <c r="C581" s="14"/>
      <c r="D581" s="14"/>
      <c r="E581" s="14"/>
      <c r="F581" s="53"/>
      <c r="G581" s="54"/>
      <c r="H581" s="54"/>
      <c r="I581" s="7"/>
      <c r="J581" s="9"/>
      <c r="K581" s="21"/>
      <c r="L581" s="21"/>
      <c r="M581" s="21"/>
      <c r="N581" s="21"/>
      <c r="O581" s="9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51"/>
      <c r="B582" s="14"/>
      <c r="C582" s="14"/>
      <c r="D582" s="14"/>
      <c r="E582" s="14"/>
      <c r="F582" s="53"/>
      <c r="G582" s="54"/>
      <c r="H582" s="54"/>
      <c r="I582" s="7"/>
      <c r="J582" s="9"/>
      <c r="K582" s="21"/>
      <c r="L582" s="21"/>
      <c r="M582" s="21"/>
      <c r="N582" s="21"/>
      <c r="O582" s="9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51"/>
      <c r="B583" s="14"/>
      <c r="C583" s="14"/>
      <c r="D583" s="14"/>
      <c r="E583" s="14"/>
      <c r="F583" s="53"/>
      <c r="G583" s="54"/>
      <c r="H583" s="54"/>
      <c r="I583" s="7"/>
      <c r="J583" s="9"/>
      <c r="K583" s="21"/>
      <c r="L583" s="21"/>
      <c r="M583" s="21"/>
      <c r="N583" s="21"/>
      <c r="O583" s="9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51"/>
      <c r="B584" s="14"/>
      <c r="C584" s="14"/>
      <c r="D584" s="14"/>
      <c r="E584" s="14"/>
      <c r="F584" s="53"/>
      <c r="G584" s="54"/>
      <c r="H584" s="54"/>
      <c r="I584" s="7"/>
      <c r="J584" s="9"/>
      <c r="K584" s="21"/>
      <c r="L584" s="21"/>
      <c r="M584" s="21"/>
      <c r="N584" s="21"/>
      <c r="O584" s="9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51"/>
      <c r="B585" s="14"/>
      <c r="C585" s="14"/>
      <c r="D585" s="14"/>
      <c r="E585" s="14"/>
      <c r="F585" s="53"/>
      <c r="G585" s="54"/>
      <c r="H585" s="54"/>
      <c r="I585" s="7"/>
      <c r="J585" s="9"/>
      <c r="K585" s="21"/>
      <c r="L585" s="21"/>
      <c r="M585" s="21"/>
      <c r="N585" s="21"/>
      <c r="O585" s="9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51"/>
      <c r="B586" s="14"/>
      <c r="C586" s="14"/>
      <c r="D586" s="14"/>
      <c r="E586" s="14"/>
      <c r="F586" s="53"/>
      <c r="G586" s="54"/>
      <c r="H586" s="54"/>
      <c r="I586" s="7"/>
      <c r="J586" s="9"/>
      <c r="K586" s="21"/>
      <c r="L586" s="21"/>
      <c r="M586" s="21"/>
      <c r="N586" s="21"/>
      <c r="O586" s="9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51"/>
      <c r="B587" s="14"/>
      <c r="C587" s="14"/>
      <c r="D587" s="14"/>
      <c r="E587" s="14"/>
      <c r="F587" s="53"/>
      <c r="G587" s="54"/>
      <c r="H587" s="54"/>
      <c r="I587" s="7"/>
      <c r="J587" s="9"/>
      <c r="K587" s="21"/>
      <c r="L587" s="21"/>
      <c r="M587" s="21"/>
      <c r="N587" s="21"/>
      <c r="O587" s="9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51"/>
      <c r="B588" s="14"/>
      <c r="C588" s="14"/>
      <c r="D588" s="14"/>
      <c r="E588" s="14"/>
      <c r="F588" s="53"/>
      <c r="G588" s="54"/>
      <c r="H588" s="54"/>
      <c r="I588" s="7"/>
      <c r="J588" s="9"/>
      <c r="K588" s="21"/>
      <c r="L588" s="21"/>
      <c r="M588" s="21"/>
      <c r="N588" s="21"/>
      <c r="O588" s="9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51"/>
      <c r="B589" s="14"/>
      <c r="C589" s="14"/>
      <c r="D589" s="14"/>
      <c r="E589" s="14"/>
      <c r="F589" s="53"/>
      <c r="G589" s="54"/>
      <c r="H589" s="54"/>
      <c r="I589" s="7"/>
      <c r="J589" s="9"/>
      <c r="K589" s="21"/>
      <c r="L589" s="21"/>
      <c r="M589" s="21"/>
      <c r="N589" s="21"/>
      <c r="O589" s="9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51"/>
      <c r="B590" s="14"/>
      <c r="C590" s="14"/>
      <c r="D590" s="14"/>
      <c r="E590" s="14"/>
      <c r="F590" s="53"/>
      <c r="G590" s="54"/>
      <c r="H590" s="54"/>
      <c r="I590" s="7"/>
      <c r="J590" s="9"/>
      <c r="K590" s="21"/>
      <c r="L590" s="21"/>
      <c r="M590" s="21"/>
      <c r="N590" s="21"/>
      <c r="O590" s="9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51"/>
      <c r="B591" s="14"/>
      <c r="C591" s="14"/>
      <c r="D591" s="14"/>
      <c r="E591" s="14"/>
      <c r="F591" s="53"/>
      <c r="G591" s="54"/>
      <c r="H591" s="54"/>
      <c r="I591" s="7"/>
      <c r="J591" s="9"/>
      <c r="K591" s="21"/>
      <c r="L591" s="21"/>
      <c r="M591" s="21"/>
      <c r="N591" s="21"/>
      <c r="O591" s="9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51"/>
      <c r="B592" s="14"/>
      <c r="C592" s="14"/>
      <c r="D592" s="14"/>
      <c r="E592" s="14"/>
      <c r="F592" s="53"/>
      <c r="G592" s="54"/>
      <c r="H592" s="54"/>
      <c r="I592" s="7"/>
      <c r="J592" s="9"/>
      <c r="K592" s="21"/>
      <c r="L592" s="21"/>
      <c r="M592" s="21"/>
      <c r="N592" s="21"/>
      <c r="O592" s="9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51"/>
      <c r="B593" s="14"/>
      <c r="C593" s="14"/>
      <c r="D593" s="14"/>
      <c r="E593" s="14"/>
      <c r="F593" s="53"/>
      <c r="G593" s="54"/>
      <c r="H593" s="54"/>
      <c r="I593" s="7"/>
      <c r="J593" s="9"/>
      <c r="K593" s="21"/>
      <c r="L593" s="21"/>
      <c r="M593" s="21"/>
      <c r="N593" s="21"/>
      <c r="O593" s="9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51"/>
      <c r="B594" s="14"/>
      <c r="C594" s="14"/>
      <c r="D594" s="14"/>
      <c r="E594" s="14"/>
      <c r="F594" s="53"/>
      <c r="G594" s="54"/>
      <c r="H594" s="54"/>
      <c r="I594" s="7"/>
      <c r="J594" s="9"/>
      <c r="K594" s="21"/>
      <c r="L594" s="21"/>
      <c r="M594" s="21"/>
      <c r="N594" s="21"/>
      <c r="O594" s="9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51"/>
      <c r="B595" s="14"/>
      <c r="C595" s="14"/>
      <c r="D595" s="14"/>
      <c r="E595" s="14"/>
      <c r="F595" s="53"/>
      <c r="G595" s="54"/>
      <c r="H595" s="54"/>
      <c r="I595" s="7"/>
      <c r="J595" s="9"/>
      <c r="K595" s="21"/>
      <c r="L595" s="21"/>
      <c r="M595" s="21"/>
      <c r="N595" s="21"/>
      <c r="O595" s="9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51"/>
      <c r="B596" s="14"/>
      <c r="C596" s="14"/>
      <c r="D596" s="14"/>
      <c r="E596" s="14"/>
      <c r="F596" s="53"/>
      <c r="G596" s="54"/>
      <c r="H596" s="54"/>
      <c r="I596" s="7"/>
      <c r="J596" s="9"/>
      <c r="K596" s="21"/>
      <c r="L596" s="21"/>
      <c r="M596" s="21"/>
      <c r="N596" s="21"/>
      <c r="O596" s="9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51"/>
      <c r="B597" s="14"/>
      <c r="C597" s="14"/>
      <c r="D597" s="14"/>
      <c r="E597" s="14"/>
      <c r="F597" s="53"/>
      <c r="G597" s="54"/>
      <c r="H597" s="54"/>
      <c r="I597" s="7"/>
      <c r="J597" s="9"/>
      <c r="K597" s="21"/>
      <c r="L597" s="21"/>
      <c r="M597" s="21"/>
      <c r="N597" s="21"/>
      <c r="O597" s="9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51"/>
      <c r="B598" s="14"/>
      <c r="C598" s="14"/>
      <c r="D598" s="14"/>
      <c r="E598" s="14"/>
      <c r="F598" s="53"/>
      <c r="G598" s="54"/>
      <c r="H598" s="54"/>
      <c r="I598" s="7"/>
      <c r="J598" s="9"/>
      <c r="K598" s="21"/>
      <c r="L598" s="21"/>
      <c r="M598" s="21"/>
      <c r="N598" s="21"/>
      <c r="O598" s="9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51"/>
      <c r="B599" s="14"/>
      <c r="C599" s="14"/>
      <c r="D599" s="14"/>
      <c r="E599" s="14"/>
      <c r="F599" s="53"/>
      <c r="G599" s="54"/>
      <c r="H599" s="54"/>
      <c r="I599" s="7"/>
      <c r="J599" s="9"/>
      <c r="K599" s="21"/>
      <c r="L599" s="21"/>
      <c r="M599" s="21"/>
      <c r="N599" s="21"/>
      <c r="O599" s="9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51"/>
      <c r="B600" s="14"/>
      <c r="C600" s="14"/>
      <c r="D600" s="14"/>
      <c r="E600" s="14"/>
      <c r="F600" s="53"/>
      <c r="G600" s="54"/>
      <c r="H600" s="54"/>
      <c r="I600" s="7"/>
      <c r="J600" s="9"/>
      <c r="K600" s="21"/>
      <c r="L600" s="21"/>
      <c r="M600" s="21"/>
      <c r="N600" s="21"/>
      <c r="O600" s="9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51"/>
      <c r="B601" s="14"/>
      <c r="C601" s="14"/>
      <c r="D601" s="14"/>
      <c r="E601" s="14"/>
      <c r="F601" s="53"/>
      <c r="G601" s="54"/>
      <c r="H601" s="54"/>
      <c r="I601" s="7"/>
      <c r="J601" s="9"/>
      <c r="K601" s="21"/>
      <c r="L601" s="21"/>
      <c r="M601" s="21"/>
      <c r="N601" s="21"/>
      <c r="O601" s="9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51"/>
      <c r="B602" s="14"/>
      <c r="C602" s="14"/>
      <c r="D602" s="14"/>
      <c r="E602" s="14"/>
      <c r="F602" s="53"/>
      <c r="G602" s="54"/>
      <c r="H602" s="54"/>
      <c r="I602" s="7"/>
      <c r="J602" s="9"/>
      <c r="K602" s="21"/>
      <c r="L602" s="21"/>
      <c r="M602" s="21"/>
      <c r="N602" s="21"/>
      <c r="O602" s="9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51"/>
      <c r="B603" s="14"/>
      <c r="C603" s="14"/>
      <c r="D603" s="14"/>
      <c r="E603" s="14"/>
      <c r="F603" s="53"/>
      <c r="G603" s="54"/>
      <c r="H603" s="54"/>
      <c r="I603" s="7"/>
      <c r="J603" s="9"/>
      <c r="K603" s="21"/>
      <c r="L603" s="21"/>
      <c r="M603" s="21"/>
      <c r="N603" s="21"/>
      <c r="O603" s="9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51"/>
      <c r="B604" s="14"/>
      <c r="C604" s="14"/>
      <c r="D604" s="14"/>
      <c r="E604" s="14"/>
      <c r="F604" s="53"/>
      <c r="G604" s="54"/>
      <c r="H604" s="54"/>
      <c r="I604" s="7"/>
      <c r="J604" s="9"/>
      <c r="K604" s="21"/>
      <c r="L604" s="21"/>
      <c r="M604" s="21"/>
      <c r="N604" s="21"/>
      <c r="O604" s="9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51"/>
      <c r="B605" s="14"/>
      <c r="C605" s="14"/>
      <c r="D605" s="14"/>
      <c r="E605" s="14"/>
      <c r="F605" s="53"/>
      <c r="G605" s="54"/>
      <c r="H605" s="54"/>
      <c r="I605" s="7"/>
      <c r="J605" s="9"/>
      <c r="K605" s="21"/>
      <c r="L605" s="21"/>
      <c r="M605" s="21"/>
      <c r="N605" s="21"/>
      <c r="O605" s="9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51"/>
      <c r="B606" s="14"/>
      <c r="C606" s="14"/>
      <c r="D606" s="14"/>
      <c r="E606" s="14"/>
      <c r="F606" s="53"/>
      <c r="G606" s="54"/>
      <c r="H606" s="54"/>
      <c r="I606" s="7"/>
      <c r="J606" s="9"/>
      <c r="K606" s="21"/>
      <c r="L606" s="21"/>
      <c r="M606" s="21"/>
      <c r="N606" s="21"/>
      <c r="O606" s="9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51"/>
      <c r="B607" s="14"/>
      <c r="C607" s="14"/>
      <c r="D607" s="14"/>
      <c r="E607" s="14"/>
      <c r="F607" s="53"/>
      <c r="G607" s="54"/>
      <c r="H607" s="54"/>
      <c r="I607" s="7"/>
      <c r="J607" s="9"/>
      <c r="K607" s="21"/>
      <c r="L607" s="21"/>
      <c r="M607" s="21"/>
      <c r="N607" s="21"/>
      <c r="O607" s="9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51"/>
      <c r="B608" s="14"/>
      <c r="C608" s="14"/>
      <c r="D608" s="14"/>
      <c r="E608" s="14"/>
      <c r="F608" s="53"/>
      <c r="G608" s="54"/>
      <c r="H608" s="54"/>
      <c r="I608" s="7"/>
      <c r="J608" s="9"/>
      <c r="K608" s="21"/>
      <c r="L608" s="21"/>
      <c r="M608" s="21"/>
      <c r="N608" s="21"/>
      <c r="O608" s="9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51"/>
      <c r="B609" s="14"/>
      <c r="C609" s="14"/>
      <c r="D609" s="14"/>
      <c r="E609" s="14"/>
      <c r="F609" s="53"/>
      <c r="G609" s="54"/>
      <c r="H609" s="54"/>
      <c r="I609" s="7"/>
      <c r="J609" s="9"/>
      <c r="K609" s="21"/>
      <c r="L609" s="21"/>
      <c r="M609" s="21"/>
      <c r="N609" s="21"/>
      <c r="O609" s="9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51"/>
      <c r="B610" s="14"/>
      <c r="C610" s="14"/>
      <c r="D610" s="14"/>
      <c r="E610" s="14"/>
      <c r="F610" s="53"/>
      <c r="G610" s="54"/>
      <c r="H610" s="54"/>
      <c r="I610" s="7"/>
      <c r="J610" s="9"/>
      <c r="K610" s="21"/>
      <c r="L610" s="21"/>
      <c r="M610" s="21"/>
      <c r="N610" s="21"/>
      <c r="O610" s="9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51"/>
      <c r="B611" s="14"/>
      <c r="C611" s="14"/>
      <c r="D611" s="14"/>
      <c r="E611" s="14"/>
      <c r="F611" s="53"/>
      <c r="G611" s="54"/>
      <c r="H611" s="54"/>
      <c r="I611" s="7"/>
      <c r="J611" s="9"/>
      <c r="K611" s="21"/>
      <c r="L611" s="21"/>
      <c r="M611" s="21"/>
      <c r="N611" s="21"/>
      <c r="O611" s="9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51"/>
      <c r="B612" s="14"/>
      <c r="C612" s="14"/>
      <c r="D612" s="14"/>
      <c r="E612" s="14"/>
      <c r="F612" s="53"/>
      <c r="G612" s="54"/>
      <c r="H612" s="54"/>
      <c r="I612" s="7"/>
      <c r="J612" s="9"/>
      <c r="K612" s="21"/>
      <c r="L612" s="21"/>
      <c r="M612" s="21"/>
      <c r="N612" s="21"/>
      <c r="O612" s="9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51"/>
      <c r="B613" s="14"/>
      <c r="C613" s="14"/>
      <c r="D613" s="14"/>
      <c r="E613" s="14"/>
      <c r="F613" s="53"/>
      <c r="G613" s="54"/>
      <c r="H613" s="54"/>
      <c r="I613" s="7"/>
      <c r="J613" s="9"/>
      <c r="K613" s="21"/>
      <c r="L613" s="21"/>
      <c r="M613" s="21"/>
      <c r="N613" s="21"/>
      <c r="O613" s="9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51"/>
      <c r="B614" s="14"/>
      <c r="C614" s="14"/>
      <c r="D614" s="14"/>
      <c r="E614" s="14"/>
      <c r="F614" s="53"/>
      <c r="G614" s="54"/>
      <c r="H614" s="54"/>
      <c r="I614" s="7"/>
      <c r="J614" s="9"/>
      <c r="K614" s="21"/>
      <c r="L614" s="21"/>
      <c r="M614" s="21"/>
      <c r="N614" s="21"/>
      <c r="O614" s="9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51"/>
      <c r="B615" s="14"/>
      <c r="C615" s="14"/>
      <c r="D615" s="14"/>
      <c r="E615" s="14"/>
      <c r="F615" s="53"/>
      <c r="G615" s="54"/>
      <c r="H615" s="54"/>
      <c r="I615" s="7"/>
      <c r="J615" s="9"/>
      <c r="K615" s="21"/>
      <c r="L615" s="21"/>
      <c r="M615" s="21"/>
      <c r="N615" s="21"/>
      <c r="O615" s="9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51"/>
      <c r="B616" s="14"/>
      <c r="C616" s="14"/>
      <c r="D616" s="14"/>
      <c r="E616" s="14"/>
      <c r="F616" s="53"/>
      <c r="G616" s="54"/>
      <c r="H616" s="54"/>
      <c r="I616" s="7"/>
      <c r="J616" s="9"/>
      <c r="K616" s="21"/>
      <c r="L616" s="21"/>
      <c r="M616" s="21"/>
      <c r="N616" s="21"/>
      <c r="O616" s="9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51"/>
      <c r="B617" s="14"/>
      <c r="C617" s="14"/>
      <c r="D617" s="14"/>
      <c r="E617" s="14"/>
      <c r="F617" s="53"/>
      <c r="G617" s="54"/>
      <c r="H617" s="54"/>
      <c r="I617" s="7"/>
      <c r="J617" s="9"/>
      <c r="K617" s="21"/>
      <c r="L617" s="21"/>
      <c r="M617" s="21"/>
      <c r="N617" s="21"/>
      <c r="O617" s="9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51"/>
      <c r="B618" s="14"/>
      <c r="C618" s="14"/>
      <c r="D618" s="14"/>
      <c r="E618" s="14"/>
      <c r="F618" s="53"/>
      <c r="G618" s="54"/>
      <c r="H618" s="54"/>
      <c r="I618" s="7"/>
      <c r="J618" s="9"/>
      <c r="K618" s="21"/>
      <c r="L618" s="21"/>
      <c r="M618" s="21"/>
      <c r="N618" s="21"/>
      <c r="O618" s="9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51"/>
      <c r="B619" s="14"/>
      <c r="C619" s="14"/>
      <c r="D619" s="14"/>
      <c r="E619" s="14"/>
      <c r="F619" s="53"/>
      <c r="G619" s="54"/>
      <c r="H619" s="54"/>
      <c r="I619" s="7"/>
      <c r="J619" s="9"/>
      <c r="K619" s="21"/>
      <c r="L619" s="21"/>
      <c r="M619" s="21"/>
      <c r="N619" s="21"/>
      <c r="O619" s="9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51"/>
      <c r="B620" s="14"/>
      <c r="C620" s="14"/>
      <c r="D620" s="14"/>
      <c r="E620" s="14"/>
      <c r="F620" s="53"/>
      <c r="G620" s="54"/>
      <c r="H620" s="54"/>
      <c r="I620" s="7"/>
      <c r="J620" s="9"/>
      <c r="K620" s="21"/>
      <c r="L620" s="21"/>
      <c r="M620" s="21"/>
      <c r="N620" s="21"/>
      <c r="O620" s="9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51"/>
      <c r="B621" s="14"/>
      <c r="C621" s="14"/>
      <c r="D621" s="14"/>
      <c r="E621" s="14"/>
      <c r="F621" s="53"/>
      <c r="G621" s="54"/>
      <c r="H621" s="54"/>
      <c r="I621" s="7"/>
      <c r="J621" s="9"/>
      <c r="K621" s="21"/>
      <c r="L621" s="21"/>
      <c r="M621" s="21"/>
      <c r="N621" s="21"/>
      <c r="O621" s="9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51"/>
      <c r="B622" s="14"/>
      <c r="C622" s="14"/>
      <c r="D622" s="14"/>
      <c r="E622" s="14"/>
      <c r="F622" s="53"/>
      <c r="G622" s="54"/>
      <c r="H622" s="54"/>
      <c r="I622" s="7"/>
      <c r="J622" s="9"/>
      <c r="K622" s="21"/>
      <c r="L622" s="21"/>
      <c r="M622" s="21"/>
      <c r="N622" s="21"/>
      <c r="O622" s="9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51"/>
      <c r="B623" s="14"/>
      <c r="C623" s="14"/>
      <c r="D623" s="14"/>
      <c r="E623" s="14"/>
      <c r="F623" s="53"/>
      <c r="G623" s="54"/>
      <c r="H623" s="54"/>
      <c r="I623" s="7"/>
      <c r="J623" s="9"/>
      <c r="K623" s="21"/>
      <c r="L623" s="21"/>
      <c r="M623" s="21"/>
      <c r="N623" s="21"/>
      <c r="O623" s="9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51"/>
      <c r="B624" s="14"/>
      <c r="C624" s="14"/>
      <c r="D624" s="14"/>
      <c r="E624" s="14"/>
      <c r="F624" s="53"/>
      <c r="G624" s="54"/>
      <c r="H624" s="54"/>
      <c r="I624" s="7"/>
      <c r="J624" s="9"/>
      <c r="K624" s="21"/>
      <c r="L624" s="21"/>
      <c r="M624" s="21"/>
      <c r="N624" s="21"/>
      <c r="O624" s="9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51"/>
      <c r="B625" s="14"/>
      <c r="C625" s="14"/>
      <c r="D625" s="14"/>
      <c r="E625" s="14"/>
      <c r="F625" s="53"/>
      <c r="G625" s="54"/>
      <c r="H625" s="54"/>
      <c r="I625" s="7"/>
      <c r="J625" s="9"/>
      <c r="K625" s="21"/>
      <c r="L625" s="21"/>
      <c r="M625" s="21"/>
      <c r="N625" s="21"/>
      <c r="O625" s="9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51"/>
      <c r="B626" s="14"/>
      <c r="C626" s="14"/>
      <c r="D626" s="14"/>
      <c r="E626" s="14"/>
      <c r="F626" s="53"/>
      <c r="G626" s="54"/>
      <c r="H626" s="54"/>
      <c r="I626" s="7"/>
      <c r="J626" s="9"/>
      <c r="K626" s="21"/>
      <c r="L626" s="21"/>
      <c r="M626" s="21"/>
      <c r="N626" s="21"/>
      <c r="O626" s="9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51"/>
      <c r="B627" s="14"/>
      <c r="C627" s="14"/>
      <c r="D627" s="14"/>
      <c r="E627" s="14"/>
      <c r="F627" s="53"/>
      <c r="G627" s="54"/>
      <c r="H627" s="54"/>
      <c r="I627" s="7"/>
      <c r="J627" s="9"/>
      <c r="K627" s="21"/>
      <c r="L627" s="21"/>
      <c r="M627" s="21"/>
      <c r="N627" s="21"/>
      <c r="O627" s="9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51"/>
      <c r="B628" s="14"/>
      <c r="C628" s="14"/>
      <c r="D628" s="14"/>
      <c r="E628" s="14"/>
      <c r="F628" s="53"/>
      <c r="G628" s="54"/>
      <c r="H628" s="54"/>
      <c r="I628" s="7"/>
      <c r="J628" s="9"/>
      <c r="K628" s="21"/>
      <c r="L628" s="21"/>
      <c r="M628" s="21"/>
      <c r="N628" s="21"/>
      <c r="O628" s="9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51"/>
      <c r="B629" s="14"/>
      <c r="C629" s="14"/>
      <c r="D629" s="14"/>
      <c r="E629" s="14"/>
      <c r="F629" s="53"/>
      <c r="G629" s="54"/>
      <c r="H629" s="54"/>
      <c r="I629" s="7"/>
      <c r="J629" s="9"/>
      <c r="K629" s="21"/>
      <c r="L629" s="21"/>
      <c r="M629" s="21"/>
      <c r="N629" s="21"/>
      <c r="O629" s="9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51"/>
      <c r="B630" s="14"/>
      <c r="C630" s="14"/>
      <c r="D630" s="14"/>
      <c r="E630" s="14"/>
      <c r="F630" s="53"/>
      <c r="G630" s="54"/>
      <c r="H630" s="54"/>
      <c r="I630" s="7"/>
      <c r="J630" s="9"/>
      <c r="K630" s="21"/>
      <c r="L630" s="21"/>
      <c r="M630" s="21"/>
      <c r="N630" s="21"/>
      <c r="O630" s="9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51"/>
      <c r="B631" s="14"/>
      <c r="C631" s="14"/>
      <c r="D631" s="14"/>
      <c r="E631" s="14"/>
      <c r="F631" s="53"/>
      <c r="G631" s="54"/>
      <c r="H631" s="54"/>
      <c r="I631" s="7"/>
      <c r="J631" s="9"/>
      <c r="K631" s="21"/>
      <c r="L631" s="21"/>
      <c r="M631" s="21"/>
      <c r="N631" s="21"/>
      <c r="O631" s="9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51"/>
      <c r="B632" s="14"/>
      <c r="C632" s="14"/>
      <c r="D632" s="14"/>
      <c r="E632" s="14"/>
      <c r="F632" s="53"/>
      <c r="G632" s="54"/>
      <c r="H632" s="54"/>
      <c r="I632" s="7"/>
      <c r="J632" s="9"/>
      <c r="K632" s="21"/>
      <c r="L632" s="21"/>
      <c r="M632" s="21"/>
      <c r="N632" s="21"/>
      <c r="O632" s="9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51"/>
      <c r="B633" s="14"/>
      <c r="C633" s="14"/>
      <c r="D633" s="14"/>
      <c r="E633" s="14"/>
      <c r="F633" s="53"/>
      <c r="G633" s="54"/>
      <c r="H633" s="54"/>
      <c r="I633" s="7"/>
      <c r="J633" s="9"/>
      <c r="K633" s="21"/>
      <c r="L633" s="21"/>
      <c r="M633" s="21"/>
      <c r="N633" s="21"/>
      <c r="O633" s="9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51"/>
      <c r="B634" s="14"/>
      <c r="C634" s="14"/>
      <c r="D634" s="14"/>
      <c r="E634" s="14"/>
      <c r="F634" s="53"/>
      <c r="G634" s="54"/>
      <c r="H634" s="54"/>
      <c r="I634" s="7"/>
      <c r="J634" s="9"/>
      <c r="K634" s="21"/>
      <c r="L634" s="21"/>
      <c r="M634" s="21"/>
      <c r="N634" s="21"/>
      <c r="O634" s="9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51"/>
      <c r="B635" s="14"/>
      <c r="C635" s="14"/>
      <c r="D635" s="14"/>
      <c r="E635" s="14"/>
      <c r="F635" s="53"/>
      <c r="G635" s="54"/>
      <c r="H635" s="54"/>
      <c r="I635" s="7"/>
      <c r="J635" s="9"/>
      <c r="K635" s="21"/>
      <c r="L635" s="21"/>
      <c r="M635" s="21"/>
      <c r="N635" s="21"/>
      <c r="O635" s="9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51"/>
      <c r="B636" s="14"/>
      <c r="C636" s="14"/>
      <c r="D636" s="14"/>
      <c r="E636" s="14"/>
      <c r="F636" s="53"/>
      <c r="G636" s="54"/>
      <c r="H636" s="54"/>
      <c r="I636" s="7"/>
      <c r="J636" s="9"/>
      <c r="K636" s="21"/>
      <c r="L636" s="21"/>
      <c r="M636" s="21"/>
      <c r="N636" s="21"/>
      <c r="O636" s="9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51"/>
      <c r="B637" s="14"/>
      <c r="C637" s="14"/>
      <c r="D637" s="14"/>
      <c r="E637" s="14"/>
      <c r="F637" s="53"/>
      <c r="G637" s="54"/>
      <c r="H637" s="54"/>
      <c r="I637" s="7"/>
      <c r="J637" s="9"/>
      <c r="K637" s="21"/>
      <c r="L637" s="21"/>
      <c r="M637" s="21"/>
      <c r="N637" s="21"/>
      <c r="O637" s="9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51"/>
      <c r="B638" s="14"/>
      <c r="C638" s="14"/>
      <c r="D638" s="14"/>
      <c r="E638" s="14"/>
      <c r="F638" s="53"/>
      <c r="G638" s="54"/>
      <c r="H638" s="54"/>
      <c r="I638" s="7"/>
      <c r="J638" s="9"/>
      <c r="K638" s="21"/>
      <c r="L638" s="21"/>
      <c r="M638" s="21"/>
      <c r="N638" s="21"/>
      <c r="O638" s="9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51"/>
      <c r="B639" s="14"/>
      <c r="C639" s="14"/>
      <c r="D639" s="14"/>
      <c r="E639" s="14"/>
      <c r="F639" s="53"/>
      <c r="G639" s="54"/>
      <c r="H639" s="54"/>
      <c r="I639" s="7"/>
      <c r="J639" s="9"/>
      <c r="K639" s="21"/>
      <c r="L639" s="21"/>
      <c r="M639" s="21"/>
      <c r="N639" s="21"/>
      <c r="O639" s="9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51"/>
      <c r="B640" s="14"/>
      <c r="C640" s="14"/>
      <c r="D640" s="14"/>
      <c r="E640" s="14"/>
      <c r="F640" s="53"/>
      <c r="G640" s="54"/>
      <c r="H640" s="54"/>
      <c r="I640" s="7"/>
      <c r="J640" s="9"/>
      <c r="K640" s="21"/>
      <c r="L640" s="21"/>
      <c r="M640" s="21"/>
      <c r="N640" s="21"/>
      <c r="O640" s="9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51"/>
      <c r="B641" s="14"/>
      <c r="C641" s="14"/>
      <c r="D641" s="14"/>
      <c r="E641" s="14"/>
      <c r="F641" s="53"/>
      <c r="G641" s="54"/>
      <c r="H641" s="54"/>
      <c r="I641" s="7"/>
      <c r="J641" s="9"/>
      <c r="K641" s="21"/>
      <c r="L641" s="21"/>
      <c r="M641" s="21"/>
      <c r="N641" s="21"/>
      <c r="O641" s="9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51"/>
      <c r="B642" s="14"/>
      <c r="C642" s="14"/>
      <c r="D642" s="14"/>
      <c r="E642" s="14"/>
      <c r="F642" s="53"/>
      <c r="G642" s="54"/>
      <c r="H642" s="54"/>
      <c r="I642" s="7"/>
      <c r="J642" s="9"/>
      <c r="K642" s="21"/>
      <c r="L642" s="21"/>
      <c r="M642" s="21"/>
      <c r="N642" s="21"/>
      <c r="O642" s="9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51"/>
      <c r="B643" s="14"/>
      <c r="C643" s="14"/>
      <c r="D643" s="14"/>
      <c r="E643" s="14"/>
      <c r="F643" s="53"/>
      <c r="G643" s="54"/>
      <c r="H643" s="54"/>
      <c r="I643" s="7"/>
      <c r="J643" s="9"/>
      <c r="K643" s="21"/>
      <c r="L643" s="21"/>
      <c r="M643" s="21"/>
      <c r="N643" s="21"/>
      <c r="O643" s="9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51"/>
      <c r="B644" s="14"/>
      <c r="C644" s="14"/>
      <c r="D644" s="14"/>
      <c r="E644" s="14"/>
      <c r="F644" s="53"/>
      <c r="G644" s="54"/>
      <c r="H644" s="54"/>
      <c r="I644" s="7"/>
      <c r="J644" s="9"/>
      <c r="K644" s="21"/>
      <c r="L644" s="21"/>
      <c r="M644" s="21"/>
      <c r="N644" s="21"/>
      <c r="O644" s="9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51"/>
      <c r="B645" s="14"/>
      <c r="C645" s="14"/>
      <c r="D645" s="14"/>
      <c r="E645" s="14"/>
      <c r="F645" s="53"/>
      <c r="G645" s="54"/>
      <c r="H645" s="54"/>
      <c r="I645" s="7"/>
      <c r="J645" s="9"/>
      <c r="K645" s="21"/>
      <c r="L645" s="21"/>
      <c r="M645" s="21"/>
      <c r="N645" s="21"/>
      <c r="O645" s="9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51"/>
      <c r="B646" s="14"/>
      <c r="C646" s="14"/>
      <c r="D646" s="14"/>
      <c r="E646" s="14"/>
      <c r="F646" s="53"/>
      <c r="G646" s="54"/>
      <c r="H646" s="54"/>
      <c r="I646" s="7"/>
      <c r="J646" s="9"/>
      <c r="K646" s="21"/>
      <c r="L646" s="21"/>
      <c r="M646" s="21"/>
      <c r="N646" s="21"/>
      <c r="O646" s="9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51"/>
      <c r="B647" s="14"/>
      <c r="C647" s="14"/>
      <c r="D647" s="14"/>
      <c r="E647" s="14"/>
      <c r="F647" s="53"/>
      <c r="G647" s="54"/>
      <c r="H647" s="54"/>
      <c r="I647" s="7"/>
      <c r="J647" s="9"/>
      <c r="K647" s="21"/>
      <c r="L647" s="21"/>
      <c r="M647" s="21"/>
      <c r="N647" s="21"/>
      <c r="O647" s="9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51"/>
      <c r="B648" s="14"/>
      <c r="C648" s="14"/>
      <c r="D648" s="14"/>
      <c r="E648" s="14"/>
      <c r="F648" s="53"/>
      <c r="G648" s="54"/>
      <c r="H648" s="54"/>
      <c r="I648" s="7"/>
      <c r="J648" s="9"/>
      <c r="K648" s="21"/>
      <c r="L648" s="21"/>
      <c r="M648" s="21"/>
      <c r="N648" s="21"/>
      <c r="O648" s="9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51"/>
      <c r="B649" s="14"/>
      <c r="C649" s="14"/>
      <c r="D649" s="14"/>
      <c r="E649" s="14"/>
      <c r="F649" s="53"/>
      <c r="G649" s="54"/>
      <c r="H649" s="54"/>
      <c r="I649" s="7"/>
      <c r="J649" s="9"/>
      <c r="K649" s="21"/>
      <c r="L649" s="21"/>
      <c r="M649" s="21"/>
      <c r="N649" s="21"/>
      <c r="O649" s="9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51"/>
      <c r="B650" s="14"/>
      <c r="C650" s="14"/>
      <c r="D650" s="14"/>
      <c r="E650" s="14"/>
      <c r="F650" s="53"/>
      <c r="G650" s="54"/>
      <c r="H650" s="54"/>
      <c r="I650" s="7"/>
      <c r="J650" s="9"/>
      <c r="K650" s="21"/>
      <c r="L650" s="21"/>
      <c r="M650" s="21"/>
      <c r="N650" s="21"/>
      <c r="O650" s="9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51"/>
      <c r="B651" s="14"/>
      <c r="C651" s="14"/>
      <c r="D651" s="14"/>
      <c r="E651" s="14"/>
      <c r="F651" s="53"/>
      <c r="G651" s="54"/>
      <c r="H651" s="54"/>
      <c r="I651" s="7"/>
      <c r="J651" s="9"/>
      <c r="K651" s="21"/>
      <c r="L651" s="21"/>
      <c r="M651" s="21"/>
      <c r="N651" s="21"/>
      <c r="O651" s="9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51"/>
      <c r="B652" s="14"/>
      <c r="C652" s="14"/>
      <c r="D652" s="14"/>
      <c r="E652" s="14"/>
      <c r="F652" s="53"/>
      <c r="G652" s="54"/>
      <c r="H652" s="54"/>
      <c r="I652" s="7"/>
      <c r="J652" s="9"/>
      <c r="K652" s="21"/>
      <c r="L652" s="21"/>
      <c r="M652" s="21"/>
      <c r="N652" s="21"/>
      <c r="O652" s="9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51"/>
      <c r="B653" s="14"/>
      <c r="C653" s="14"/>
      <c r="D653" s="14"/>
      <c r="E653" s="14"/>
      <c r="F653" s="53"/>
      <c r="G653" s="54"/>
      <c r="H653" s="54"/>
      <c r="I653" s="7"/>
      <c r="J653" s="9"/>
      <c r="K653" s="21"/>
      <c r="L653" s="21"/>
      <c r="M653" s="21"/>
      <c r="N653" s="21"/>
      <c r="O653" s="9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51"/>
      <c r="B654" s="14"/>
      <c r="C654" s="14"/>
      <c r="D654" s="14"/>
      <c r="E654" s="14"/>
      <c r="F654" s="53"/>
      <c r="G654" s="54"/>
      <c r="H654" s="54"/>
      <c r="I654" s="7"/>
      <c r="J654" s="9"/>
      <c r="K654" s="21"/>
      <c r="L654" s="21"/>
      <c r="M654" s="21"/>
      <c r="N654" s="21"/>
      <c r="O654" s="9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51"/>
      <c r="B655" s="14"/>
      <c r="C655" s="14"/>
      <c r="D655" s="14"/>
      <c r="E655" s="14"/>
      <c r="F655" s="53"/>
      <c r="G655" s="54"/>
      <c r="H655" s="54"/>
      <c r="I655" s="7"/>
      <c r="J655" s="9"/>
      <c r="K655" s="21"/>
      <c r="L655" s="21"/>
      <c r="M655" s="21"/>
      <c r="N655" s="21"/>
      <c r="O655" s="9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51"/>
      <c r="B656" s="14"/>
      <c r="C656" s="14"/>
      <c r="D656" s="14"/>
      <c r="E656" s="14"/>
      <c r="F656" s="53"/>
      <c r="G656" s="54"/>
      <c r="H656" s="54"/>
      <c r="I656" s="7"/>
      <c r="J656" s="9"/>
      <c r="K656" s="21"/>
      <c r="L656" s="21"/>
      <c r="M656" s="21"/>
      <c r="N656" s="21"/>
      <c r="O656" s="9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51"/>
      <c r="B657" s="14"/>
      <c r="C657" s="14"/>
      <c r="D657" s="14"/>
      <c r="E657" s="14"/>
      <c r="F657" s="53"/>
      <c r="G657" s="54"/>
      <c r="H657" s="54"/>
      <c r="I657" s="7"/>
      <c r="J657" s="9"/>
      <c r="K657" s="21"/>
      <c r="L657" s="21"/>
      <c r="M657" s="21"/>
      <c r="N657" s="21"/>
      <c r="O657" s="9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51"/>
      <c r="B658" s="14"/>
      <c r="C658" s="14"/>
      <c r="D658" s="14"/>
      <c r="E658" s="14"/>
      <c r="F658" s="53"/>
      <c r="G658" s="54"/>
      <c r="H658" s="54"/>
      <c r="I658" s="7"/>
      <c r="J658" s="9"/>
      <c r="K658" s="21"/>
      <c r="L658" s="21"/>
      <c r="M658" s="21"/>
      <c r="N658" s="21"/>
      <c r="O658" s="9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51"/>
      <c r="B659" s="14"/>
      <c r="C659" s="14"/>
      <c r="D659" s="14"/>
      <c r="E659" s="14"/>
      <c r="F659" s="53"/>
      <c r="G659" s="54"/>
      <c r="H659" s="54"/>
      <c r="I659" s="7"/>
      <c r="J659" s="9"/>
      <c r="K659" s="21"/>
      <c r="L659" s="21"/>
      <c r="M659" s="21"/>
      <c r="N659" s="21"/>
      <c r="O659" s="9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51"/>
      <c r="B660" s="14"/>
      <c r="C660" s="14"/>
      <c r="D660" s="14"/>
      <c r="E660" s="14"/>
      <c r="F660" s="53"/>
      <c r="G660" s="54"/>
      <c r="H660" s="54"/>
      <c r="I660" s="7"/>
      <c r="J660" s="9"/>
      <c r="K660" s="21"/>
      <c r="L660" s="21"/>
      <c r="M660" s="21"/>
      <c r="N660" s="21"/>
      <c r="O660" s="9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51"/>
      <c r="B661" s="14"/>
      <c r="C661" s="14"/>
      <c r="D661" s="14"/>
      <c r="E661" s="14"/>
      <c r="F661" s="53"/>
      <c r="G661" s="54"/>
      <c r="H661" s="54"/>
      <c r="I661" s="7"/>
      <c r="J661" s="9"/>
      <c r="K661" s="21"/>
      <c r="L661" s="21"/>
      <c r="M661" s="21"/>
      <c r="N661" s="21"/>
      <c r="O661" s="9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51"/>
      <c r="B662" s="14"/>
      <c r="C662" s="14"/>
      <c r="D662" s="14"/>
      <c r="E662" s="14"/>
      <c r="F662" s="53"/>
      <c r="G662" s="54"/>
      <c r="H662" s="54"/>
      <c r="I662" s="7"/>
      <c r="J662" s="9"/>
      <c r="K662" s="21"/>
      <c r="L662" s="21"/>
      <c r="M662" s="21"/>
      <c r="N662" s="21"/>
      <c r="O662" s="9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51"/>
      <c r="B663" s="14"/>
      <c r="C663" s="14"/>
      <c r="D663" s="14"/>
      <c r="E663" s="14"/>
      <c r="F663" s="53"/>
      <c r="G663" s="54"/>
      <c r="H663" s="54"/>
      <c r="I663" s="7"/>
      <c r="J663" s="9"/>
      <c r="K663" s="21"/>
      <c r="L663" s="21"/>
      <c r="M663" s="21"/>
      <c r="N663" s="21"/>
      <c r="O663" s="9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51"/>
      <c r="B664" s="14"/>
      <c r="C664" s="14"/>
      <c r="D664" s="14"/>
      <c r="E664" s="14"/>
      <c r="F664" s="53"/>
      <c r="G664" s="54"/>
      <c r="H664" s="54"/>
      <c r="I664" s="7"/>
      <c r="J664" s="9"/>
      <c r="K664" s="21"/>
      <c r="L664" s="21"/>
      <c r="M664" s="21"/>
      <c r="N664" s="21"/>
      <c r="O664" s="9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51"/>
      <c r="B665" s="14"/>
      <c r="C665" s="14"/>
      <c r="D665" s="14"/>
      <c r="E665" s="14"/>
      <c r="F665" s="53"/>
      <c r="G665" s="54"/>
      <c r="H665" s="54"/>
      <c r="I665" s="7"/>
      <c r="J665" s="9"/>
      <c r="K665" s="21"/>
      <c r="L665" s="21"/>
      <c r="M665" s="21"/>
      <c r="N665" s="21"/>
      <c r="O665" s="9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51"/>
      <c r="B666" s="14"/>
      <c r="C666" s="14"/>
      <c r="D666" s="14"/>
      <c r="E666" s="14"/>
      <c r="F666" s="53"/>
      <c r="G666" s="54"/>
      <c r="H666" s="54"/>
      <c r="I666" s="7"/>
      <c r="J666" s="9"/>
      <c r="K666" s="21"/>
      <c r="L666" s="21"/>
      <c r="M666" s="21"/>
      <c r="N666" s="21"/>
      <c r="O666" s="9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51"/>
      <c r="B667" s="14"/>
      <c r="C667" s="14"/>
      <c r="D667" s="14"/>
      <c r="E667" s="14"/>
      <c r="F667" s="53"/>
      <c r="G667" s="54"/>
      <c r="H667" s="54"/>
      <c r="I667" s="7"/>
      <c r="J667" s="9"/>
      <c r="K667" s="21"/>
      <c r="L667" s="21"/>
      <c r="M667" s="21"/>
      <c r="N667" s="21"/>
      <c r="O667" s="9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51"/>
      <c r="B668" s="14"/>
      <c r="C668" s="14"/>
      <c r="D668" s="14"/>
      <c r="E668" s="14"/>
      <c r="F668" s="53"/>
      <c r="G668" s="54"/>
      <c r="H668" s="54"/>
      <c r="I668" s="7"/>
      <c r="J668" s="9"/>
      <c r="K668" s="21"/>
      <c r="L668" s="21"/>
      <c r="M668" s="21"/>
      <c r="N668" s="21"/>
      <c r="O668" s="9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51"/>
      <c r="B669" s="14"/>
      <c r="C669" s="14"/>
      <c r="D669" s="14"/>
      <c r="E669" s="14"/>
      <c r="F669" s="53"/>
      <c r="G669" s="54"/>
      <c r="H669" s="54"/>
      <c r="I669" s="7"/>
      <c r="J669" s="9"/>
      <c r="K669" s="21"/>
      <c r="L669" s="21"/>
      <c r="M669" s="21"/>
      <c r="N669" s="21"/>
      <c r="O669" s="9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51"/>
      <c r="B670" s="14"/>
      <c r="C670" s="14"/>
      <c r="D670" s="14"/>
      <c r="E670" s="14"/>
      <c r="F670" s="53"/>
      <c r="G670" s="54"/>
      <c r="H670" s="54"/>
      <c r="I670" s="7"/>
      <c r="J670" s="9"/>
      <c r="K670" s="21"/>
      <c r="L670" s="21"/>
      <c r="M670" s="21"/>
      <c r="N670" s="21"/>
      <c r="O670" s="9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51"/>
      <c r="B671" s="14"/>
      <c r="C671" s="14"/>
      <c r="D671" s="14"/>
      <c r="E671" s="14"/>
      <c r="F671" s="53"/>
      <c r="G671" s="54"/>
      <c r="H671" s="54"/>
      <c r="I671" s="7"/>
      <c r="J671" s="9"/>
      <c r="K671" s="21"/>
      <c r="L671" s="21"/>
      <c r="M671" s="21"/>
      <c r="N671" s="21"/>
      <c r="O671" s="9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51"/>
      <c r="B672" s="14"/>
      <c r="C672" s="14"/>
      <c r="D672" s="14"/>
      <c r="E672" s="14"/>
      <c r="F672" s="53"/>
      <c r="G672" s="54"/>
      <c r="H672" s="54"/>
      <c r="I672" s="7"/>
      <c r="J672" s="9"/>
      <c r="K672" s="21"/>
      <c r="L672" s="21"/>
      <c r="M672" s="21"/>
      <c r="N672" s="21"/>
      <c r="O672" s="9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51"/>
      <c r="B673" s="14"/>
      <c r="C673" s="14"/>
      <c r="D673" s="14"/>
      <c r="E673" s="14"/>
      <c r="F673" s="53"/>
      <c r="G673" s="54"/>
      <c r="H673" s="54"/>
      <c r="I673" s="7"/>
      <c r="J673" s="9"/>
      <c r="K673" s="21"/>
      <c r="L673" s="21"/>
      <c r="M673" s="21"/>
      <c r="N673" s="21"/>
      <c r="O673" s="9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51"/>
      <c r="B674" s="14"/>
      <c r="C674" s="14"/>
      <c r="D674" s="14"/>
      <c r="E674" s="14"/>
      <c r="F674" s="53"/>
      <c r="G674" s="54"/>
      <c r="H674" s="54"/>
      <c r="I674" s="7"/>
      <c r="J674" s="9"/>
      <c r="K674" s="21"/>
      <c r="L674" s="21"/>
      <c r="M674" s="21"/>
      <c r="N674" s="21"/>
      <c r="O674" s="9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51"/>
      <c r="B675" s="14"/>
      <c r="C675" s="14"/>
      <c r="D675" s="14"/>
      <c r="E675" s="14"/>
      <c r="F675" s="53"/>
      <c r="G675" s="54"/>
      <c r="H675" s="54"/>
      <c r="I675" s="7"/>
      <c r="J675" s="9"/>
      <c r="K675" s="21"/>
      <c r="L675" s="21"/>
      <c r="M675" s="21"/>
      <c r="N675" s="21"/>
      <c r="O675" s="9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51"/>
      <c r="B676" s="14"/>
      <c r="C676" s="14"/>
      <c r="D676" s="14"/>
      <c r="E676" s="14"/>
      <c r="F676" s="53"/>
      <c r="G676" s="54"/>
      <c r="H676" s="54"/>
      <c r="I676" s="7"/>
      <c r="J676" s="9"/>
      <c r="K676" s="21"/>
      <c r="L676" s="21"/>
      <c r="M676" s="21"/>
      <c r="N676" s="21"/>
      <c r="O676" s="9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51"/>
      <c r="B677" s="14"/>
      <c r="C677" s="14"/>
      <c r="D677" s="14"/>
      <c r="E677" s="14"/>
      <c r="F677" s="53"/>
      <c r="G677" s="54"/>
      <c r="H677" s="54"/>
      <c r="I677" s="7"/>
      <c r="J677" s="9"/>
      <c r="K677" s="21"/>
      <c r="L677" s="21"/>
      <c r="M677" s="21"/>
      <c r="N677" s="21"/>
      <c r="O677" s="9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51"/>
      <c r="B678" s="14"/>
      <c r="C678" s="14"/>
      <c r="D678" s="14"/>
      <c r="E678" s="14"/>
      <c r="F678" s="53"/>
      <c r="G678" s="54"/>
      <c r="H678" s="54"/>
      <c r="I678" s="7"/>
      <c r="J678" s="9"/>
      <c r="K678" s="21"/>
      <c r="L678" s="21"/>
      <c r="M678" s="21"/>
      <c r="N678" s="21"/>
      <c r="O678" s="9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51"/>
      <c r="B679" s="14"/>
      <c r="C679" s="14"/>
      <c r="D679" s="14"/>
      <c r="E679" s="14"/>
      <c r="F679" s="53"/>
      <c r="G679" s="54"/>
      <c r="H679" s="54"/>
      <c r="I679" s="7"/>
      <c r="J679" s="9"/>
      <c r="K679" s="21"/>
      <c r="L679" s="21"/>
      <c r="M679" s="21"/>
      <c r="N679" s="21"/>
      <c r="O679" s="9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51"/>
      <c r="B680" s="14"/>
      <c r="C680" s="14"/>
      <c r="D680" s="14"/>
      <c r="E680" s="14"/>
      <c r="F680" s="53"/>
      <c r="G680" s="54"/>
      <c r="H680" s="54"/>
      <c r="I680" s="7"/>
      <c r="J680" s="9"/>
      <c r="K680" s="21"/>
      <c r="L680" s="21"/>
      <c r="M680" s="21"/>
      <c r="N680" s="21"/>
      <c r="O680" s="9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51"/>
      <c r="B681" s="14"/>
      <c r="C681" s="14"/>
      <c r="D681" s="14"/>
      <c r="E681" s="14"/>
      <c r="F681" s="53"/>
      <c r="G681" s="54"/>
      <c r="H681" s="54"/>
      <c r="I681" s="7"/>
      <c r="J681" s="9"/>
      <c r="K681" s="21"/>
      <c r="L681" s="21"/>
      <c r="M681" s="21"/>
      <c r="N681" s="21"/>
      <c r="O681" s="9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51"/>
      <c r="B682" s="14"/>
      <c r="C682" s="14"/>
      <c r="D682" s="14"/>
      <c r="E682" s="14"/>
      <c r="F682" s="53"/>
      <c r="G682" s="54"/>
      <c r="H682" s="54"/>
      <c r="I682" s="7"/>
      <c r="J682" s="9"/>
      <c r="K682" s="21"/>
      <c r="L682" s="21"/>
      <c r="M682" s="21"/>
      <c r="N682" s="21"/>
      <c r="O682" s="9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51"/>
      <c r="B683" s="14"/>
      <c r="C683" s="14"/>
      <c r="D683" s="14"/>
      <c r="E683" s="14"/>
      <c r="F683" s="53"/>
      <c r="G683" s="54"/>
      <c r="H683" s="54"/>
      <c r="I683" s="7"/>
      <c r="J683" s="9"/>
      <c r="K683" s="21"/>
      <c r="L683" s="21"/>
      <c r="M683" s="21"/>
      <c r="N683" s="21"/>
      <c r="O683" s="9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51"/>
      <c r="B684" s="14"/>
      <c r="C684" s="14"/>
      <c r="D684" s="14"/>
      <c r="E684" s="14"/>
      <c r="F684" s="53"/>
      <c r="G684" s="54"/>
      <c r="H684" s="54"/>
      <c r="I684" s="7"/>
      <c r="J684" s="9"/>
      <c r="K684" s="21"/>
      <c r="L684" s="21"/>
      <c r="M684" s="21"/>
      <c r="N684" s="21"/>
      <c r="O684" s="9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51"/>
      <c r="B685" s="14"/>
      <c r="C685" s="14"/>
      <c r="D685" s="14"/>
      <c r="E685" s="14"/>
      <c r="F685" s="53"/>
      <c r="G685" s="54"/>
      <c r="H685" s="54"/>
      <c r="I685" s="7"/>
      <c r="J685" s="9"/>
      <c r="K685" s="21"/>
      <c r="L685" s="21"/>
      <c r="M685" s="21"/>
      <c r="N685" s="21"/>
      <c r="O685" s="9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51"/>
      <c r="B686" s="14"/>
      <c r="C686" s="14"/>
      <c r="D686" s="14"/>
      <c r="E686" s="14"/>
      <c r="F686" s="53"/>
      <c r="G686" s="54"/>
      <c r="H686" s="54"/>
      <c r="I686" s="7"/>
      <c r="J686" s="9"/>
      <c r="K686" s="21"/>
      <c r="L686" s="21"/>
      <c r="M686" s="21"/>
      <c r="N686" s="21"/>
      <c r="O686" s="9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51"/>
      <c r="B687" s="14"/>
      <c r="C687" s="14"/>
      <c r="D687" s="14"/>
      <c r="E687" s="14"/>
      <c r="F687" s="53"/>
      <c r="G687" s="54"/>
      <c r="H687" s="54"/>
      <c r="I687" s="7"/>
      <c r="J687" s="9"/>
      <c r="K687" s="21"/>
      <c r="L687" s="21"/>
      <c r="M687" s="21"/>
      <c r="N687" s="21"/>
      <c r="O687" s="9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51"/>
      <c r="B688" s="14"/>
      <c r="C688" s="14"/>
      <c r="D688" s="14"/>
      <c r="E688" s="14"/>
      <c r="F688" s="53"/>
      <c r="G688" s="54"/>
      <c r="H688" s="54"/>
      <c r="I688" s="7"/>
      <c r="J688" s="9"/>
      <c r="K688" s="21"/>
      <c r="L688" s="21"/>
      <c r="M688" s="21"/>
      <c r="N688" s="21"/>
      <c r="O688" s="9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51"/>
      <c r="B689" s="14"/>
      <c r="C689" s="14"/>
      <c r="D689" s="14"/>
      <c r="E689" s="14"/>
      <c r="F689" s="53"/>
      <c r="G689" s="54"/>
      <c r="H689" s="54"/>
      <c r="I689" s="7"/>
      <c r="J689" s="9"/>
      <c r="K689" s="21"/>
      <c r="L689" s="21"/>
      <c r="M689" s="21"/>
      <c r="N689" s="21"/>
      <c r="O689" s="9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51"/>
      <c r="B690" s="14"/>
      <c r="C690" s="14"/>
      <c r="D690" s="14"/>
      <c r="E690" s="14"/>
      <c r="F690" s="53"/>
      <c r="G690" s="54"/>
      <c r="H690" s="54"/>
      <c r="I690" s="7"/>
      <c r="J690" s="9"/>
      <c r="K690" s="21"/>
      <c r="L690" s="21"/>
      <c r="M690" s="21"/>
      <c r="N690" s="21"/>
      <c r="O690" s="9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51"/>
      <c r="B691" s="14"/>
      <c r="C691" s="14"/>
      <c r="D691" s="14"/>
      <c r="E691" s="14"/>
      <c r="F691" s="53"/>
      <c r="G691" s="54"/>
      <c r="H691" s="54"/>
      <c r="I691" s="7"/>
      <c r="J691" s="9"/>
      <c r="K691" s="21"/>
      <c r="L691" s="21"/>
      <c r="M691" s="21"/>
      <c r="N691" s="21"/>
      <c r="O691" s="9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51"/>
      <c r="B692" s="14"/>
      <c r="C692" s="14"/>
      <c r="D692" s="14"/>
      <c r="E692" s="14"/>
      <c r="F692" s="53"/>
      <c r="G692" s="54"/>
      <c r="H692" s="54"/>
      <c r="I692" s="7"/>
      <c r="J692" s="9"/>
      <c r="K692" s="21"/>
      <c r="L692" s="21"/>
      <c r="M692" s="21"/>
      <c r="N692" s="21"/>
      <c r="O692" s="9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51"/>
      <c r="B693" s="14"/>
      <c r="C693" s="14"/>
      <c r="D693" s="14"/>
      <c r="E693" s="14"/>
      <c r="F693" s="53"/>
      <c r="G693" s="54"/>
      <c r="H693" s="54"/>
      <c r="I693" s="7"/>
      <c r="J693" s="9"/>
      <c r="K693" s="21"/>
      <c r="L693" s="21"/>
      <c r="M693" s="21"/>
      <c r="N693" s="21"/>
      <c r="O693" s="9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51"/>
      <c r="B694" s="14"/>
      <c r="C694" s="14"/>
      <c r="D694" s="14"/>
      <c r="E694" s="14"/>
      <c r="F694" s="53"/>
      <c r="G694" s="54"/>
      <c r="H694" s="54"/>
      <c r="I694" s="7"/>
      <c r="J694" s="9"/>
      <c r="K694" s="21"/>
      <c r="L694" s="21"/>
      <c r="M694" s="21"/>
      <c r="N694" s="21"/>
      <c r="O694" s="9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51"/>
      <c r="B695" s="14"/>
      <c r="C695" s="14"/>
      <c r="D695" s="14"/>
      <c r="E695" s="14"/>
      <c r="F695" s="53"/>
      <c r="G695" s="54"/>
      <c r="H695" s="54"/>
      <c r="I695" s="7"/>
      <c r="J695" s="9"/>
      <c r="K695" s="21"/>
      <c r="L695" s="21"/>
      <c r="M695" s="21"/>
      <c r="N695" s="21"/>
      <c r="O695" s="9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51"/>
      <c r="B696" s="14"/>
      <c r="C696" s="14"/>
      <c r="D696" s="14"/>
      <c r="E696" s="14"/>
      <c r="F696" s="53"/>
      <c r="G696" s="54"/>
      <c r="H696" s="54"/>
      <c r="I696" s="7"/>
      <c r="J696" s="9"/>
      <c r="K696" s="21"/>
      <c r="L696" s="21"/>
      <c r="M696" s="21"/>
      <c r="N696" s="21"/>
      <c r="O696" s="9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51"/>
      <c r="B697" s="14"/>
      <c r="C697" s="14"/>
      <c r="D697" s="14"/>
      <c r="E697" s="14"/>
      <c r="F697" s="53"/>
      <c r="G697" s="54"/>
      <c r="H697" s="54"/>
      <c r="I697" s="7"/>
      <c r="J697" s="9"/>
      <c r="K697" s="21"/>
      <c r="L697" s="21"/>
      <c r="M697" s="21"/>
      <c r="N697" s="21"/>
      <c r="O697" s="9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51"/>
      <c r="B698" s="14"/>
      <c r="C698" s="14"/>
      <c r="D698" s="14"/>
      <c r="E698" s="14"/>
      <c r="F698" s="53"/>
      <c r="G698" s="54"/>
      <c r="H698" s="54"/>
      <c r="I698" s="7"/>
      <c r="J698" s="9"/>
      <c r="K698" s="21"/>
      <c r="L698" s="21"/>
      <c r="M698" s="21"/>
      <c r="N698" s="21"/>
      <c r="O698" s="9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51"/>
      <c r="B699" s="14"/>
      <c r="C699" s="14"/>
      <c r="D699" s="14"/>
      <c r="E699" s="14"/>
      <c r="F699" s="53"/>
      <c r="G699" s="54"/>
      <c r="H699" s="54"/>
      <c r="I699" s="7"/>
      <c r="J699" s="9"/>
      <c r="K699" s="21"/>
      <c r="L699" s="21"/>
      <c r="M699" s="21"/>
      <c r="N699" s="21"/>
      <c r="O699" s="9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51"/>
      <c r="B700" s="14"/>
      <c r="C700" s="14"/>
      <c r="D700" s="14"/>
      <c r="E700" s="14"/>
      <c r="F700" s="53"/>
      <c r="G700" s="54"/>
      <c r="H700" s="54"/>
      <c r="I700" s="7"/>
      <c r="J700" s="9"/>
      <c r="K700" s="21"/>
      <c r="L700" s="21"/>
      <c r="M700" s="21"/>
      <c r="N700" s="21"/>
      <c r="O700" s="9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51"/>
      <c r="B701" s="14"/>
      <c r="C701" s="14"/>
      <c r="D701" s="14"/>
      <c r="E701" s="14"/>
      <c r="F701" s="53"/>
      <c r="G701" s="54"/>
      <c r="H701" s="54"/>
      <c r="I701" s="7"/>
      <c r="J701" s="9"/>
      <c r="K701" s="21"/>
      <c r="L701" s="21"/>
      <c r="M701" s="21"/>
      <c r="N701" s="21"/>
      <c r="O701" s="9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51"/>
      <c r="B702" s="14"/>
      <c r="C702" s="14"/>
      <c r="D702" s="14"/>
      <c r="E702" s="14"/>
      <c r="F702" s="53"/>
      <c r="G702" s="54"/>
      <c r="H702" s="54"/>
      <c r="I702" s="7"/>
      <c r="J702" s="9"/>
      <c r="K702" s="21"/>
      <c r="L702" s="21"/>
      <c r="M702" s="21"/>
      <c r="N702" s="21"/>
      <c r="O702" s="9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51"/>
      <c r="B703" s="14"/>
      <c r="C703" s="14"/>
      <c r="D703" s="14"/>
      <c r="E703" s="14"/>
      <c r="F703" s="53"/>
      <c r="G703" s="54"/>
      <c r="H703" s="54"/>
      <c r="I703" s="7"/>
      <c r="J703" s="9"/>
      <c r="K703" s="21"/>
      <c r="L703" s="21"/>
      <c r="M703" s="21"/>
      <c r="N703" s="21"/>
      <c r="O703" s="9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51"/>
      <c r="B704" s="14"/>
      <c r="C704" s="14"/>
      <c r="D704" s="14"/>
      <c r="E704" s="14"/>
      <c r="F704" s="53"/>
      <c r="G704" s="54"/>
      <c r="H704" s="54"/>
      <c r="I704" s="7"/>
      <c r="J704" s="9"/>
      <c r="K704" s="21"/>
      <c r="L704" s="21"/>
      <c r="M704" s="21"/>
      <c r="N704" s="21"/>
      <c r="O704" s="9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51"/>
      <c r="B705" s="14"/>
      <c r="C705" s="14"/>
      <c r="D705" s="14"/>
      <c r="E705" s="14"/>
      <c r="F705" s="53"/>
      <c r="G705" s="54"/>
      <c r="H705" s="54"/>
      <c r="I705" s="7"/>
      <c r="J705" s="9"/>
      <c r="K705" s="21"/>
      <c r="L705" s="21"/>
      <c r="M705" s="21"/>
      <c r="N705" s="21"/>
      <c r="O705" s="9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51"/>
      <c r="B706" s="14"/>
      <c r="C706" s="14"/>
      <c r="D706" s="14"/>
      <c r="E706" s="14"/>
      <c r="F706" s="53"/>
      <c r="G706" s="54"/>
      <c r="H706" s="54"/>
      <c r="I706" s="7"/>
      <c r="J706" s="9"/>
      <c r="K706" s="21"/>
      <c r="L706" s="21"/>
      <c r="M706" s="21"/>
      <c r="N706" s="21"/>
      <c r="O706" s="9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51"/>
      <c r="B707" s="14"/>
      <c r="C707" s="14"/>
      <c r="D707" s="14"/>
      <c r="E707" s="14"/>
      <c r="F707" s="53"/>
      <c r="G707" s="54"/>
      <c r="H707" s="54"/>
      <c r="I707" s="7"/>
      <c r="J707" s="9"/>
      <c r="K707" s="21"/>
      <c r="L707" s="21"/>
      <c r="M707" s="21"/>
      <c r="N707" s="21"/>
      <c r="O707" s="9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51"/>
      <c r="B708" s="14"/>
      <c r="C708" s="14"/>
      <c r="D708" s="14"/>
      <c r="E708" s="14"/>
      <c r="F708" s="53"/>
      <c r="G708" s="54"/>
      <c r="H708" s="54"/>
      <c r="I708" s="7"/>
      <c r="J708" s="9"/>
      <c r="K708" s="21"/>
      <c r="L708" s="21"/>
      <c r="M708" s="21"/>
      <c r="N708" s="21"/>
      <c r="O708" s="9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51"/>
      <c r="B709" s="14"/>
      <c r="C709" s="14"/>
      <c r="D709" s="14"/>
      <c r="E709" s="14"/>
      <c r="F709" s="53"/>
      <c r="G709" s="54"/>
      <c r="H709" s="54"/>
      <c r="I709" s="7"/>
      <c r="J709" s="9"/>
      <c r="K709" s="21"/>
      <c r="L709" s="21"/>
      <c r="M709" s="21"/>
      <c r="N709" s="21"/>
      <c r="O709" s="9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51"/>
      <c r="B710" s="14"/>
      <c r="C710" s="14"/>
      <c r="D710" s="14"/>
      <c r="E710" s="14"/>
      <c r="F710" s="53"/>
      <c r="G710" s="54"/>
      <c r="H710" s="54"/>
      <c r="I710" s="7"/>
      <c r="J710" s="9"/>
      <c r="K710" s="21"/>
      <c r="L710" s="21"/>
      <c r="M710" s="21"/>
      <c r="N710" s="21"/>
      <c r="O710" s="9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51"/>
      <c r="B711" s="14"/>
      <c r="C711" s="14"/>
      <c r="D711" s="14"/>
      <c r="E711" s="14"/>
      <c r="F711" s="53"/>
      <c r="G711" s="54"/>
      <c r="H711" s="54"/>
      <c r="I711" s="7"/>
      <c r="J711" s="9"/>
      <c r="K711" s="21"/>
      <c r="L711" s="21"/>
      <c r="M711" s="21"/>
      <c r="N711" s="21"/>
      <c r="O711" s="9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51"/>
      <c r="B712" s="14"/>
      <c r="C712" s="14"/>
      <c r="D712" s="14"/>
      <c r="E712" s="14"/>
      <c r="F712" s="53"/>
      <c r="G712" s="54"/>
      <c r="H712" s="54"/>
      <c r="I712" s="7"/>
      <c r="J712" s="9"/>
      <c r="K712" s="21"/>
      <c r="L712" s="21"/>
      <c r="M712" s="21"/>
      <c r="N712" s="21"/>
      <c r="O712" s="9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51"/>
      <c r="B713" s="14"/>
      <c r="C713" s="14"/>
      <c r="D713" s="14"/>
      <c r="E713" s="14"/>
      <c r="F713" s="53"/>
      <c r="G713" s="54"/>
      <c r="H713" s="54"/>
      <c r="I713" s="7"/>
      <c r="J713" s="9"/>
      <c r="K713" s="21"/>
      <c r="L713" s="21"/>
      <c r="M713" s="21"/>
      <c r="N713" s="21"/>
      <c r="O713" s="9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51"/>
      <c r="B714" s="14"/>
      <c r="C714" s="14"/>
      <c r="D714" s="14"/>
      <c r="E714" s="14"/>
      <c r="F714" s="53"/>
      <c r="G714" s="54"/>
      <c r="H714" s="54"/>
      <c r="I714" s="7"/>
      <c r="J714" s="9"/>
      <c r="K714" s="21"/>
      <c r="L714" s="21"/>
      <c r="M714" s="21"/>
      <c r="N714" s="21"/>
      <c r="O714" s="9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51"/>
      <c r="B715" s="14"/>
      <c r="C715" s="14"/>
      <c r="D715" s="14"/>
      <c r="E715" s="14"/>
      <c r="F715" s="53"/>
      <c r="G715" s="54"/>
      <c r="H715" s="54"/>
      <c r="I715" s="7"/>
      <c r="J715" s="9"/>
      <c r="K715" s="21"/>
      <c r="L715" s="21"/>
      <c r="M715" s="21"/>
      <c r="N715" s="21"/>
      <c r="O715" s="9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51"/>
      <c r="B716" s="14"/>
      <c r="C716" s="14"/>
      <c r="D716" s="14"/>
      <c r="E716" s="14"/>
      <c r="F716" s="53"/>
      <c r="G716" s="54"/>
      <c r="H716" s="54"/>
      <c r="I716" s="7"/>
      <c r="J716" s="9"/>
      <c r="K716" s="21"/>
      <c r="L716" s="21"/>
      <c r="M716" s="21"/>
      <c r="N716" s="21"/>
      <c r="O716" s="9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51"/>
      <c r="B717" s="14"/>
      <c r="C717" s="14"/>
      <c r="D717" s="14"/>
      <c r="E717" s="14"/>
      <c r="F717" s="53"/>
      <c r="G717" s="54"/>
      <c r="H717" s="54"/>
      <c r="I717" s="7"/>
      <c r="J717" s="9"/>
      <c r="K717" s="21"/>
      <c r="L717" s="21"/>
      <c r="M717" s="21"/>
      <c r="N717" s="21"/>
      <c r="O717" s="9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51"/>
      <c r="B718" s="14"/>
      <c r="C718" s="14"/>
      <c r="D718" s="14"/>
      <c r="E718" s="14"/>
      <c r="F718" s="53"/>
      <c r="G718" s="54"/>
      <c r="H718" s="54"/>
      <c r="I718" s="7"/>
      <c r="J718" s="9"/>
      <c r="K718" s="21"/>
      <c r="L718" s="21"/>
      <c r="M718" s="21"/>
      <c r="N718" s="21"/>
      <c r="O718" s="9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51"/>
      <c r="B719" s="14"/>
      <c r="C719" s="14"/>
      <c r="D719" s="14"/>
      <c r="E719" s="14"/>
      <c r="F719" s="53"/>
      <c r="G719" s="54"/>
      <c r="H719" s="54"/>
      <c r="I719" s="7"/>
      <c r="J719" s="9"/>
      <c r="K719" s="21"/>
      <c r="L719" s="21"/>
      <c r="M719" s="21"/>
      <c r="N719" s="21"/>
      <c r="O719" s="9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51"/>
      <c r="B720" s="14"/>
      <c r="C720" s="14"/>
      <c r="D720" s="14"/>
      <c r="E720" s="14"/>
      <c r="F720" s="53"/>
      <c r="G720" s="54"/>
      <c r="H720" s="54"/>
      <c r="I720" s="7"/>
      <c r="J720" s="9"/>
      <c r="K720" s="21"/>
      <c r="L720" s="21"/>
      <c r="M720" s="21"/>
      <c r="N720" s="21"/>
      <c r="O720" s="9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51"/>
      <c r="B721" s="14"/>
      <c r="C721" s="14"/>
      <c r="D721" s="14"/>
      <c r="E721" s="14"/>
      <c r="F721" s="53"/>
      <c r="G721" s="54"/>
      <c r="H721" s="54"/>
      <c r="I721" s="7"/>
      <c r="J721" s="9"/>
      <c r="K721" s="21"/>
      <c r="L721" s="21"/>
      <c r="M721" s="21"/>
      <c r="N721" s="21"/>
      <c r="O721" s="9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51"/>
      <c r="B722" s="14"/>
      <c r="C722" s="14"/>
      <c r="D722" s="14"/>
      <c r="E722" s="14"/>
      <c r="F722" s="53"/>
      <c r="G722" s="54"/>
      <c r="H722" s="54"/>
      <c r="I722" s="7"/>
      <c r="J722" s="9"/>
      <c r="K722" s="21"/>
      <c r="L722" s="21"/>
      <c r="M722" s="21"/>
      <c r="N722" s="21"/>
      <c r="O722" s="9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51"/>
      <c r="B723" s="14"/>
      <c r="C723" s="14"/>
      <c r="D723" s="14"/>
      <c r="E723" s="14"/>
      <c r="F723" s="53"/>
      <c r="G723" s="54"/>
      <c r="H723" s="54"/>
      <c r="I723" s="7"/>
      <c r="J723" s="9"/>
      <c r="K723" s="21"/>
      <c r="L723" s="21"/>
      <c r="M723" s="21"/>
      <c r="N723" s="21"/>
      <c r="O723" s="9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51"/>
      <c r="B724" s="14"/>
      <c r="C724" s="14"/>
      <c r="D724" s="14"/>
      <c r="E724" s="14"/>
      <c r="F724" s="53"/>
      <c r="G724" s="54"/>
      <c r="H724" s="54"/>
      <c r="I724" s="7"/>
      <c r="J724" s="9"/>
      <c r="K724" s="21"/>
      <c r="L724" s="21"/>
      <c r="M724" s="21"/>
      <c r="N724" s="21"/>
      <c r="O724" s="9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51"/>
      <c r="B725" s="14"/>
      <c r="C725" s="14"/>
      <c r="D725" s="14"/>
      <c r="E725" s="14"/>
      <c r="F725" s="53"/>
      <c r="G725" s="54"/>
      <c r="H725" s="54"/>
      <c r="I725" s="7"/>
      <c r="J725" s="9"/>
      <c r="K725" s="21"/>
      <c r="L725" s="21"/>
      <c r="M725" s="21"/>
      <c r="N725" s="21"/>
      <c r="O725" s="9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51"/>
      <c r="B726" s="14"/>
      <c r="C726" s="14"/>
      <c r="D726" s="14"/>
      <c r="E726" s="14"/>
      <c r="F726" s="53"/>
      <c r="G726" s="54"/>
      <c r="H726" s="54"/>
      <c r="I726" s="7"/>
      <c r="J726" s="9"/>
      <c r="K726" s="21"/>
      <c r="L726" s="21"/>
      <c r="M726" s="21"/>
      <c r="N726" s="21"/>
      <c r="O726" s="9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51"/>
      <c r="B727" s="14"/>
      <c r="C727" s="14"/>
      <c r="D727" s="14"/>
      <c r="E727" s="14"/>
      <c r="F727" s="53"/>
      <c r="G727" s="54"/>
      <c r="H727" s="54"/>
      <c r="I727" s="7"/>
      <c r="J727" s="9"/>
      <c r="K727" s="21"/>
      <c r="L727" s="21"/>
      <c r="M727" s="21"/>
      <c r="N727" s="21"/>
      <c r="O727" s="9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51"/>
      <c r="B728" s="14"/>
      <c r="C728" s="14"/>
      <c r="D728" s="14"/>
      <c r="E728" s="14"/>
      <c r="F728" s="53"/>
      <c r="G728" s="54"/>
      <c r="H728" s="54"/>
      <c r="I728" s="7"/>
      <c r="J728" s="9"/>
      <c r="K728" s="21"/>
      <c r="L728" s="21"/>
      <c r="M728" s="21"/>
      <c r="N728" s="21"/>
      <c r="O728" s="9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51"/>
      <c r="B729" s="14"/>
      <c r="C729" s="14"/>
      <c r="D729" s="14"/>
      <c r="E729" s="14"/>
      <c r="F729" s="53"/>
      <c r="G729" s="54"/>
      <c r="H729" s="54"/>
      <c r="I729" s="7"/>
      <c r="J729" s="9"/>
      <c r="K729" s="21"/>
      <c r="L729" s="21"/>
      <c r="M729" s="21"/>
      <c r="N729" s="21"/>
      <c r="O729" s="9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51"/>
      <c r="B730" s="14"/>
      <c r="C730" s="14"/>
      <c r="D730" s="14"/>
      <c r="E730" s="14"/>
      <c r="F730" s="53"/>
      <c r="G730" s="54"/>
      <c r="H730" s="54"/>
      <c r="I730" s="7"/>
      <c r="J730" s="9"/>
      <c r="K730" s="21"/>
      <c r="L730" s="21"/>
      <c r="M730" s="21"/>
      <c r="N730" s="21"/>
      <c r="O730" s="9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51"/>
      <c r="B731" s="14"/>
      <c r="C731" s="14"/>
      <c r="D731" s="14"/>
      <c r="E731" s="14"/>
      <c r="F731" s="53"/>
      <c r="G731" s="54"/>
      <c r="H731" s="54"/>
      <c r="I731" s="7"/>
      <c r="J731" s="9"/>
      <c r="K731" s="21"/>
      <c r="L731" s="21"/>
      <c r="M731" s="21"/>
      <c r="N731" s="21"/>
      <c r="O731" s="9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51"/>
      <c r="B732" s="14"/>
      <c r="C732" s="14"/>
      <c r="D732" s="14"/>
      <c r="E732" s="14"/>
      <c r="F732" s="53"/>
      <c r="G732" s="54"/>
      <c r="H732" s="54"/>
      <c r="I732" s="7"/>
      <c r="J732" s="9"/>
      <c r="K732" s="21"/>
      <c r="L732" s="21"/>
      <c r="M732" s="21"/>
      <c r="N732" s="21"/>
      <c r="O732" s="9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51"/>
      <c r="B733" s="14"/>
      <c r="C733" s="14"/>
      <c r="D733" s="14"/>
      <c r="E733" s="14"/>
      <c r="F733" s="53"/>
      <c r="G733" s="54"/>
      <c r="H733" s="54"/>
      <c r="I733" s="7"/>
      <c r="J733" s="9"/>
      <c r="K733" s="21"/>
      <c r="L733" s="21"/>
      <c r="M733" s="21"/>
      <c r="N733" s="21"/>
      <c r="O733" s="9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51"/>
      <c r="B734" s="14"/>
      <c r="C734" s="14"/>
      <c r="D734" s="14"/>
      <c r="E734" s="14"/>
      <c r="F734" s="53"/>
      <c r="G734" s="54"/>
      <c r="H734" s="54"/>
      <c r="I734" s="7"/>
      <c r="J734" s="9"/>
      <c r="K734" s="21"/>
      <c r="L734" s="21"/>
      <c r="M734" s="21"/>
      <c r="N734" s="21"/>
      <c r="O734" s="9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51"/>
      <c r="B735" s="14"/>
      <c r="C735" s="14"/>
      <c r="D735" s="14"/>
      <c r="E735" s="14"/>
      <c r="F735" s="53"/>
      <c r="G735" s="54"/>
      <c r="H735" s="54"/>
      <c r="I735" s="7"/>
      <c r="J735" s="9"/>
      <c r="K735" s="21"/>
      <c r="L735" s="21"/>
      <c r="M735" s="21"/>
      <c r="N735" s="21"/>
      <c r="O735" s="9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51"/>
      <c r="B736" s="14"/>
      <c r="C736" s="14"/>
      <c r="D736" s="14"/>
      <c r="E736" s="14"/>
      <c r="F736" s="53"/>
      <c r="G736" s="54"/>
      <c r="H736" s="54"/>
      <c r="I736" s="7"/>
      <c r="J736" s="9"/>
      <c r="K736" s="21"/>
      <c r="L736" s="21"/>
      <c r="M736" s="21"/>
      <c r="N736" s="21"/>
      <c r="O736" s="9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51"/>
      <c r="B737" s="14"/>
      <c r="C737" s="14"/>
      <c r="D737" s="14"/>
      <c r="E737" s="14"/>
      <c r="F737" s="53"/>
      <c r="G737" s="54"/>
      <c r="H737" s="54"/>
      <c r="I737" s="7"/>
      <c r="J737" s="9"/>
      <c r="K737" s="21"/>
      <c r="L737" s="21"/>
      <c r="M737" s="21"/>
      <c r="N737" s="21"/>
      <c r="O737" s="9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51"/>
      <c r="B738" s="14"/>
      <c r="C738" s="14"/>
      <c r="D738" s="14"/>
      <c r="E738" s="14"/>
      <c r="F738" s="53"/>
      <c r="G738" s="54"/>
      <c r="H738" s="54"/>
      <c r="I738" s="7"/>
      <c r="J738" s="9"/>
      <c r="K738" s="21"/>
      <c r="L738" s="21"/>
      <c r="M738" s="21"/>
      <c r="N738" s="21"/>
      <c r="O738" s="9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51"/>
      <c r="B739" s="14"/>
      <c r="C739" s="14"/>
      <c r="D739" s="14"/>
      <c r="E739" s="14"/>
      <c r="F739" s="53"/>
      <c r="G739" s="54"/>
      <c r="H739" s="54"/>
      <c r="I739" s="7"/>
      <c r="J739" s="9"/>
      <c r="K739" s="21"/>
      <c r="L739" s="21"/>
      <c r="M739" s="21"/>
      <c r="N739" s="21"/>
      <c r="O739" s="9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51"/>
      <c r="B740" s="14"/>
      <c r="C740" s="14"/>
      <c r="D740" s="14"/>
      <c r="E740" s="14"/>
      <c r="F740" s="53"/>
      <c r="G740" s="54"/>
      <c r="H740" s="54"/>
      <c r="I740" s="7"/>
      <c r="J740" s="9"/>
      <c r="K740" s="21"/>
      <c r="L740" s="21"/>
      <c r="M740" s="21"/>
      <c r="N740" s="21"/>
      <c r="O740" s="9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51"/>
      <c r="B741" s="14"/>
      <c r="C741" s="14"/>
      <c r="D741" s="14"/>
      <c r="E741" s="14"/>
      <c r="F741" s="53"/>
      <c r="G741" s="54"/>
      <c r="H741" s="54"/>
      <c r="I741" s="7"/>
      <c r="J741" s="9"/>
      <c r="K741" s="21"/>
      <c r="L741" s="21"/>
      <c r="M741" s="21"/>
      <c r="N741" s="21"/>
      <c r="O741" s="9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51"/>
      <c r="B742" s="14"/>
      <c r="C742" s="14"/>
      <c r="D742" s="14"/>
      <c r="E742" s="14"/>
      <c r="F742" s="53"/>
      <c r="G742" s="54"/>
      <c r="H742" s="54"/>
      <c r="I742" s="7"/>
      <c r="J742" s="9"/>
      <c r="K742" s="21"/>
      <c r="L742" s="21"/>
      <c r="M742" s="21"/>
      <c r="N742" s="21"/>
      <c r="O742" s="9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51"/>
      <c r="B743" s="14"/>
      <c r="C743" s="14"/>
      <c r="D743" s="14"/>
      <c r="E743" s="14"/>
      <c r="F743" s="53"/>
      <c r="G743" s="54"/>
      <c r="H743" s="54"/>
      <c r="I743" s="7"/>
      <c r="J743" s="9"/>
      <c r="K743" s="21"/>
      <c r="L743" s="21"/>
      <c r="M743" s="21"/>
      <c r="N743" s="21"/>
      <c r="O743" s="9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51"/>
      <c r="B744" s="14"/>
      <c r="C744" s="14"/>
      <c r="D744" s="14"/>
      <c r="E744" s="14"/>
      <c r="F744" s="53"/>
      <c r="G744" s="54"/>
      <c r="H744" s="54"/>
      <c r="I744" s="7"/>
      <c r="J744" s="9"/>
      <c r="K744" s="21"/>
      <c r="L744" s="21"/>
      <c r="M744" s="21"/>
      <c r="N744" s="21"/>
      <c r="O744" s="9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51"/>
      <c r="B745" s="14"/>
      <c r="C745" s="14"/>
      <c r="D745" s="14"/>
      <c r="E745" s="14"/>
      <c r="F745" s="53"/>
      <c r="G745" s="54"/>
      <c r="H745" s="54"/>
      <c r="I745" s="7"/>
      <c r="J745" s="9"/>
      <c r="K745" s="21"/>
      <c r="L745" s="21"/>
      <c r="M745" s="21"/>
      <c r="N745" s="21"/>
      <c r="O745" s="9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51"/>
      <c r="B746" s="14"/>
      <c r="C746" s="14"/>
      <c r="D746" s="14"/>
      <c r="E746" s="14"/>
      <c r="F746" s="53"/>
      <c r="G746" s="54"/>
      <c r="H746" s="54"/>
      <c r="I746" s="7"/>
      <c r="J746" s="9"/>
      <c r="K746" s="21"/>
      <c r="L746" s="21"/>
      <c r="M746" s="21"/>
      <c r="N746" s="21"/>
      <c r="O746" s="9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51"/>
      <c r="B747" s="14"/>
      <c r="C747" s="14"/>
      <c r="D747" s="14"/>
      <c r="E747" s="14"/>
      <c r="F747" s="53"/>
      <c r="G747" s="54"/>
      <c r="H747" s="54"/>
      <c r="I747" s="7"/>
      <c r="J747" s="9"/>
      <c r="K747" s="21"/>
      <c r="L747" s="21"/>
      <c r="M747" s="21"/>
      <c r="N747" s="21"/>
      <c r="O747" s="9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51"/>
      <c r="B748" s="14"/>
      <c r="C748" s="14"/>
      <c r="D748" s="14"/>
      <c r="E748" s="14"/>
      <c r="F748" s="53"/>
      <c r="G748" s="54"/>
      <c r="H748" s="54"/>
      <c r="I748" s="7"/>
      <c r="J748" s="9"/>
      <c r="K748" s="21"/>
      <c r="L748" s="21"/>
      <c r="M748" s="21"/>
      <c r="N748" s="21"/>
      <c r="O748" s="9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51"/>
      <c r="B749" s="14"/>
      <c r="C749" s="14"/>
      <c r="D749" s="14"/>
      <c r="E749" s="14"/>
      <c r="F749" s="53"/>
      <c r="G749" s="54"/>
      <c r="H749" s="54"/>
      <c r="I749" s="7"/>
      <c r="J749" s="9"/>
      <c r="K749" s="21"/>
      <c r="L749" s="21"/>
      <c r="M749" s="21"/>
      <c r="N749" s="21"/>
      <c r="O749" s="9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51"/>
      <c r="B750" s="14"/>
      <c r="C750" s="14"/>
      <c r="D750" s="14"/>
      <c r="E750" s="14"/>
      <c r="F750" s="53"/>
      <c r="G750" s="54"/>
      <c r="H750" s="54"/>
      <c r="I750" s="7"/>
      <c r="J750" s="9"/>
      <c r="K750" s="21"/>
      <c r="L750" s="21"/>
      <c r="M750" s="21"/>
      <c r="N750" s="21"/>
      <c r="O750" s="9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51"/>
      <c r="B751" s="14"/>
      <c r="C751" s="14"/>
      <c r="D751" s="14"/>
      <c r="E751" s="14"/>
      <c r="F751" s="53"/>
      <c r="G751" s="54"/>
      <c r="H751" s="54"/>
      <c r="I751" s="7"/>
      <c r="J751" s="9"/>
      <c r="K751" s="21"/>
      <c r="L751" s="21"/>
      <c r="M751" s="21"/>
      <c r="N751" s="21"/>
      <c r="O751" s="9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51"/>
      <c r="B752" s="14"/>
      <c r="C752" s="14"/>
      <c r="D752" s="14"/>
      <c r="E752" s="14"/>
      <c r="F752" s="53"/>
      <c r="G752" s="54"/>
      <c r="H752" s="54"/>
      <c r="I752" s="7"/>
      <c r="J752" s="9"/>
      <c r="K752" s="21"/>
      <c r="L752" s="21"/>
      <c r="M752" s="21"/>
      <c r="N752" s="21"/>
      <c r="O752" s="9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51"/>
      <c r="B753" s="14"/>
      <c r="C753" s="14"/>
      <c r="D753" s="14"/>
      <c r="E753" s="14"/>
      <c r="F753" s="53"/>
      <c r="G753" s="54"/>
      <c r="H753" s="54"/>
      <c r="I753" s="7"/>
      <c r="J753" s="9"/>
      <c r="K753" s="21"/>
      <c r="L753" s="21"/>
      <c r="M753" s="21"/>
      <c r="N753" s="21"/>
      <c r="O753" s="9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51"/>
      <c r="B754" s="14"/>
      <c r="C754" s="14"/>
      <c r="D754" s="14"/>
      <c r="E754" s="14"/>
      <c r="F754" s="53"/>
      <c r="G754" s="54"/>
      <c r="H754" s="54"/>
      <c r="I754" s="7"/>
      <c r="J754" s="9"/>
      <c r="K754" s="21"/>
      <c r="L754" s="21"/>
      <c r="M754" s="21"/>
      <c r="N754" s="21"/>
      <c r="O754" s="9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51"/>
      <c r="B755" s="14"/>
      <c r="C755" s="14"/>
      <c r="D755" s="14"/>
      <c r="E755" s="14"/>
      <c r="F755" s="53"/>
      <c r="G755" s="54"/>
      <c r="H755" s="54"/>
      <c r="I755" s="7"/>
      <c r="J755" s="9"/>
      <c r="K755" s="21"/>
      <c r="L755" s="21"/>
      <c r="M755" s="21"/>
      <c r="N755" s="21"/>
      <c r="O755" s="9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51"/>
      <c r="B756" s="14"/>
      <c r="C756" s="14"/>
      <c r="D756" s="14"/>
      <c r="E756" s="14"/>
      <c r="F756" s="53"/>
      <c r="G756" s="54"/>
      <c r="H756" s="54"/>
      <c r="I756" s="7"/>
      <c r="J756" s="9"/>
      <c r="K756" s="21"/>
      <c r="L756" s="21"/>
      <c r="M756" s="21"/>
      <c r="N756" s="21"/>
      <c r="O756" s="9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51"/>
      <c r="B757" s="14"/>
      <c r="C757" s="14"/>
      <c r="D757" s="14"/>
      <c r="E757" s="14"/>
      <c r="F757" s="53"/>
      <c r="G757" s="54"/>
      <c r="H757" s="54"/>
      <c r="I757" s="7"/>
      <c r="J757" s="9"/>
      <c r="K757" s="21"/>
      <c r="L757" s="21"/>
      <c r="M757" s="21"/>
      <c r="N757" s="21"/>
      <c r="O757" s="9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51"/>
      <c r="B758" s="14"/>
      <c r="C758" s="14"/>
      <c r="D758" s="14"/>
      <c r="E758" s="14"/>
      <c r="F758" s="53"/>
      <c r="G758" s="54"/>
      <c r="H758" s="54"/>
      <c r="I758" s="7"/>
      <c r="J758" s="9"/>
      <c r="K758" s="21"/>
      <c r="L758" s="21"/>
      <c r="M758" s="21"/>
      <c r="N758" s="21"/>
      <c r="O758" s="9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51"/>
      <c r="B759" s="14"/>
      <c r="C759" s="14"/>
      <c r="D759" s="14"/>
      <c r="E759" s="14"/>
      <c r="F759" s="53"/>
      <c r="G759" s="54"/>
      <c r="H759" s="54"/>
      <c r="I759" s="7"/>
      <c r="J759" s="9"/>
      <c r="K759" s="21"/>
      <c r="L759" s="21"/>
      <c r="M759" s="21"/>
      <c r="N759" s="21"/>
      <c r="O759" s="9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51"/>
      <c r="B760" s="14"/>
      <c r="C760" s="14"/>
      <c r="D760" s="14"/>
      <c r="E760" s="14"/>
      <c r="F760" s="53"/>
      <c r="G760" s="54"/>
      <c r="H760" s="54"/>
      <c r="I760" s="7"/>
      <c r="J760" s="9"/>
      <c r="K760" s="21"/>
      <c r="L760" s="21"/>
      <c r="M760" s="21"/>
      <c r="N760" s="21"/>
      <c r="O760" s="9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51"/>
      <c r="B761" s="14"/>
      <c r="C761" s="14"/>
      <c r="D761" s="14"/>
      <c r="E761" s="14"/>
      <c r="F761" s="53"/>
      <c r="G761" s="54"/>
      <c r="H761" s="54"/>
      <c r="I761" s="7"/>
      <c r="J761" s="9"/>
      <c r="K761" s="21"/>
      <c r="L761" s="21"/>
      <c r="M761" s="21"/>
      <c r="N761" s="21"/>
      <c r="O761" s="9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51"/>
      <c r="B762" s="14"/>
      <c r="C762" s="14"/>
      <c r="D762" s="14"/>
      <c r="E762" s="14"/>
      <c r="F762" s="53"/>
      <c r="G762" s="54"/>
      <c r="H762" s="54"/>
      <c r="I762" s="7"/>
      <c r="J762" s="9"/>
      <c r="K762" s="21"/>
      <c r="L762" s="21"/>
      <c r="M762" s="21"/>
      <c r="N762" s="21"/>
      <c r="O762" s="9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51"/>
      <c r="B763" s="14"/>
      <c r="C763" s="14"/>
      <c r="D763" s="14"/>
      <c r="E763" s="14"/>
      <c r="F763" s="53"/>
      <c r="G763" s="54"/>
      <c r="H763" s="54"/>
      <c r="I763" s="7"/>
      <c r="J763" s="9"/>
      <c r="K763" s="21"/>
      <c r="L763" s="21"/>
      <c r="M763" s="21"/>
      <c r="N763" s="21"/>
      <c r="O763" s="9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51"/>
      <c r="B764" s="14"/>
      <c r="C764" s="14"/>
      <c r="D764" s="14"/>
      <c r="E764" s="14"/>
      <c r="F764" s="53"/>
      <c r="G764" s="54"/>
      <c r="H764" s="54"/>
      <c r="I764" s="7"/>
      <c r="J764" s="9"/>
      <c r="K764" s="21"/>
      <c r="L764" s="21"/>
      <c r="M764" s="21"/>
      <c r="N764" s="21"/>
      <c r="O764" s="9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51"/>
      <c r="B765" s="14"/>
      <c r="C765" s="14"/>
      <c r="D765" s="14"/>
      <c r="E765" s="14"/>
      <c r="F765" s="53"/>
      <c r="G765" s="54"/>
      <c r="H765" s="54"/>
      <c r="I765" s="7"/>
      <c r="J765" s="9"/>
      <c r="K765" s="21"/>
      <c r="L765" s="21"/>
      <c r="M765" s="21"/>
      <c r="N765" s="21"/>
      <c r="O765" s="9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51"/>
      <c r="B766" s="14"/>
      <c r="C766" s="14"/>
      <c r="D766" s="14"/>
      <c r="E766" s="14"/>
      <c r="F766" s="53"/>
      <c r="G766" s="54"/>
      <c r="H766" s="54"/>
      <c r="I766" s="7"/>
      <c r="J766" s="9"/>
      <c r="K766" s="21"/>
      <c r="L766" s="21"/>
      <c r="M766" s="21"/>
      <c r="N766" s="21"/>
      <c r="O766" s="9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51"/>
      <c r="B767" s="14"/>
      <c r="C767" s="14"/>
      <c r="D767" s="14"/>
      <c r="E767" s="14"/>
      <c r="F767" s="53"/>
      <c r="G767" s="54"/>
      <c r="H767" s="54"/>
      <c r="I767" s="7"/>
      <c r="J767" s="9"/>
      <c r="K767" s="21"/>
      <c r="L767" s="21"/>
      <c r="M767" s="21"/>
      <c r="N767" s="21"/>
      <c r="O767" s="9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51"/>
      <c r="B768" s="14"/>
      <c r="C768" s="14"/>
      <c r="D768" s="14"/>
      <c r="E768" s="14"/>
      <c r="F768" s="53"/>
      <c r="G768" s="54"/>
      <c r="H768" s="54"/>
      <c r="I768" s="7"/>
      <c r="J768" s="9"/>
      <c r="K768" s="21"/>
      <c r="L768" s="21"/>
      <c r="M768" s="21"/>
      <c r="N768" s="21"/>
      <c r="O768" s="9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51"/>
      <c r="B769" s="14"/>
      <c r="C769" s="14"/>
      <c r="D769" s="14"/>
      <c r="E769" s="14"/>
      <c r="F769" s="53"/>
      <c r="G769" s="54"/>
      <c r="H769" s="54"/>
      <c r="I769" s="7"/>
      <c r="J769" s="9"/>
      <c r="K769" s="21"/>
      <c r="L769" s="21"/>
      <c r="M769" s="21"/>
      <c r="N769" s="21"/>
      <c r="O769" s="9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51"/>
      <c r="B770" s="14"/>
      <c r="C770" s="14"/>
      <c r="D770" s="14"/>
      <c r="E770" s="14"/>
      <c r="F770" s="53"/>
      <c r="G770" s="54"/>
      <c r="H770" s="54"/>
      <c r="I770" s="7"/>
      <c r="J770" s="9"/>
      <c r="K770" s="21"/>
      <c r="L770" s="21"/>
      <c r="M770" s="21"/>
      <c r="N770" s="21"/>
      <c r="O770" s="9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51"/>
      <c r="B771" s="14"/>
      <c r="C771" s="14"/>
      <c r="D771" s="14"/>
      <c r="E771" s="14"/>
      <c r="F771" s="53"/>
      <c r="G771" s="54"/>
      <c r="H771" s="54"/>
      <c r="I771" s="7"/>
      <c r="J771" s="9"/>
      <c r="K771" s="21"/>
      <c r="L771" s="21"/>
      <c r="M771" s="21"/>
      <c r="N771" s="21"/>
      <c r="O771" s="9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51"/>
      <c r="B772" s="14"/>
      <c r="C772" s="14"/>
      <c r="D772" s="14"/>
      <c r="E772" s="14"/>
      <c r="F772" s="53"/>
      <c r="G772" s="54"/>
      <c r="H772" s="54"/>
      <c r="I772" s="7"/>
      <c r="J772" s="9"/>
      <c r="K772" s="21"/>
      <c r="L772" s="21"/>
      <c r="M772" s="21"/>
      <c r="N772" s="21"/>
      <c r="O772" s="9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51"/>
      <c r="B773" s="14"/>
      <c r="C773" s="14"/>
      <c r="D773" s="14"/>
      <c r="E773" s="14"/>
      <c r="F773" s="53"/>
      <c r="G773" s="54"/>
      <c r="H773" s="54"/>
      <c r="I773" s="7"/>
      <c r="J773" s="9"/>
      <c r="K773" s="21"/>
      <c r="L773" s="21"/>
      <c r="M773" s="21"/>
      <c r="N773" s="21"/>
      <c r="O773" s="9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51"/>
      <c r="B774" s="14"/>
      <c r="C774" s="14"/>
      <c r="D774" s="14"/>
      <c r="E774" s="14"/>
      <c r="F774" s="53"/>
      <c r="G774" s="54"/>
      <c r="H774" s="54"/>
      <c r="I774" s="7"/>
      <c r="J774" s="9"/>
      <c r="K774" s="21"/>
      <c r="L774" s="21"/>
      <c r="M774" s="21"/>
      <c r="N774" s="21"/>
      <c r="O774" s="9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51"/>
      <c r="B775" s="14"/>
      <c r="C775" s="14"/>
      <c r="D775" s="14"/>
      <c r="E775" s="14"/>
      <c r="F775" s="53"/>
      <c r="G775" s="54"/>
      <c r="H775" s="54"/>
      <c r="I775" s="7"/>
      <c r="J775" s="9"/>
      <c r="K775" s="21"/>
      <c r="L775" s="21"/>
      <c r="M775" s="21"/>
      <c r="N775" s="21"/>
      <c r="O775" s="9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51"/>
      <c r="B776" s="14"/>
      <c r="C776" s="14"/>
      <c r="D776" s="14"/>
      <c r="E776" s="14"/>
      <c r="F776" s="53"/>
      <c r="G776" s="54"/>
      <c r="H776" s="54"/>
      <c r="I776" s="7"/>
      <c r="J776" s="9"/>
      <c r="K776" s="21"/>
      <c r="L776" s="21"/>
      <c r="M776" s="21"/>
      <c r="N776" s="21"/>
      <c r="O776" s="9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51"/>
      <c r="B777" s="14"/>
      <c r="C777" s="14"/>
      <c r="D777" s="14"/>
      <c r="E777" s="14"/>
      <c r="F777" s="53"/>
      <c r="G777" s="54"/>
      <c r="H777" s="54"/>
      <c r="I777" s="7"/>
      <c r="J777" s="9"/>
      <c r="K777" s="21"/>
      <c r="L777" s="21"/>
      <c r="M777" s="21"/>
      <c r="N777" s="21"/>
      <c r="O777" s="9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51"/>
      <c r="B778" s="14"/>
      <c r="C778" s="14"/>
      <c r="D778" s="14"/>
      <c r="E778" s="14"/>
      <c r="F778" s="53"/>
      <c r="G778" s="54"/>
      <c r="H778" s="54"/>
      <c r="I778" s="7"/>
      <c r="J778" s="9"/>
      <c r="K778" s="21"/>
      <c r="L778" s="21"/>
      <c r="M778" s="21"/>
      <c r="N778" s="21"/>
      <c r="O778" s="9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51"/>
      <c r="B779" s="14"/>
      <c r="C779" s="14"/>
      <c r="D779" s="14"/>
      <c r="E779" s="14"/>
      <c r="F779" s="53"/>
      <c r="G779" s="54"/>
      <c r="H779" s="54"/>
      <c r="I779" s="7"/>
      <c r="J779" s="9"/>
      <c r="K779" s="21"/>
      <c r="L779" s="21"/>
      <c r="M779" s="21"/>
      <c r="N779" s="21"/>
      <c r="O779" s="9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51"/>
      <c r="B780" s="14"/>
      <c r="C780" s="14"/>
      <c r="D780" s="14"/>
      <c r="E780" s="14"/>
      <c r="F780" s="53"/>
      <c r="G780" s="54"/>
      <c r="H780" s="54"/>
      <c r="I780" s="7"/>
      <c r="J780" s="9"/>
      <c r="K780" s="21"/>
      <c r="L780" s="21"/>
      <c r="M780" s="21"/>
      <c r="N780" s="21"/>
      <c r="O780" s="9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51"/>
      <c r="B781" s="14"/>
      <c r="C781" s="14"/>
      <c r="D781" s="14"/>
      <c r="E781" s="14"/>
      <c r="F781" s="53"/>
      <c r="G781" s="54"/>
      <c r="H781" s="54"/>
      <c r="I781" s="7"/>
      <c r="J781" s="9"/>
      <c r="K781" s="21"/>
      <c r="L781" s="21"/>
      <c r="M781" s="21"/>
      <c r="N781" s="21"/>
      <c r="O781" s="9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51"/>
      <c r="B782" s="14"/>
      <c r="C782" s="14"/>
      <c r="D782" s="14"/>
      <c r="E782" s="14"/>
      <c r="F782" s="53"/>
      <c r="G782" s="54"/>
      <c r="H782" s="54"/>
      <c r="I782" s="7"/>
      <c r="J782" s="9"/>
      <c r="K782" s="21"/>
      <c r="L782" s="21"/>
      <c r="M782" s="21"/>
      <c r="N782" s="21"/>
      <c r="O782" s="9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51"/>
      <c r="B783" s="14"/>
      <c r="C783" s="14"/>
      <c r="D783" s="14"/>
      <c r="E783" s="14"/>
      <c r="F783" s="53"/>
      <c r="G783" s="54"/>
      <c r="H783" s="54"/>
      <c r="I783" s="7"/>
      <c r="J783" s="9"/>
      <c r="K783" s="21"/>
      <c r="L783" s="21"/>
      <c r="M783" s="21"/>
      <c r="N783" s="21"/>
      <c r="O783" s="9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51"/>
      <c r="B784" s="14"/>
      <c r="C784" s="14"/>
      <c r="D784" s="14"/>
      <c r="E784" s="14"/>
      <c r="F784" s="53"/>
      <c r="G784" s="54"/>
      <c r="H784" s="54"/>
      <c r="I784" s="7"/>
      <c r="J784" s="9"/>
      <c r="K784" s="21"/>
      <c r="L784" s="21"/>
      <c r="M784" s="21"/>
      <c r="N784" s="21"/>
      <c r="O784" s="9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51"/>
      <c r="B785" s="14"/>
      <c r="C785" s="14"/>
      <c r="D785" s="14"/>
      <c r="E785" s="14"/>
      <c r="F785" s="53"/>
      <c r="G785" s="54"/>
      <c r="H785" s="54"/>
      <c r="I785" s="7"/>
      <c r="J785" s="9"/>
      <c r="K785" s="21"/>
      <c r="L785" s="21"/>
      <c r="M785" s="21"/>
      <c r="N785" s="21"/>
      <c r="O785" s="9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51"/>
      <c r="B786" s="14"/>
      <c r="C786" s="14"/>
      <c r="D786" s="14"/>
      <c r="E786" s="14"/>
      <c r="F786" s="53"/>
      <c r="G786" s="54"/>
      <c r="H786" s="54"/>
      <c r="I786" s="7"/>
      <c r="J786" s="9"/>
      <c r="K786" s="21"/>
      <c r="L786" s="21"/>
      <c r="M786" s="21"/>
      <c r="N786" s="21"/>
      <c r="O786" s="9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51"/>
      <c r="B787" s="14"/>
      <c r="C787" s="14"/>
      <c r="D787" s="14"/>
      <c r="E787" s="14"/>
      <c r="F787" s="53"/>
      <c r="G787" s="54"/>
      <c r="H787" s="54"/>
      <c r="I787" s="7"/>
      <c r="J787" s="9"/>
      <c r="K787" s="21"/>
      <c r="L787" s="21"/>
      <c r="M787" s="21"/>
      <c r="N787" s="21"/>
      <c r="O787" s="9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51"/>
      <c r="B788" s="14"/>
      <c r="C788" s="14"/>
      <c r="D788" s="14"/>
      <c r="E788" s="14"/>
      <c r="F788" s="53"/>
      <c r="G788" s="54"/>
      <c r="H788" s="54"/>
      <c r="I788" s="7"/>
      <c r="J788" s="9"/>
      <c r="K788" s="21"/>
      <c r="L788" s="21"/>
      <c r="M788" s="21"/>
      <c r="N788" s="21"/>
      <c r="O788" s="9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51"/>
      <c r="B789" s="14"/>
      <c r="C789" s="14"/>
      <c r="D789" s="14"/>
      <c r="E789" s="14"/>
      <c r="F789" s="53"/>
      <c r="G789" s="54"/>
      <c r="H789" s="54"/>
      <c r="I789" s="7"/>
      <c r="J789" s="9"/>
      <c r="K789" s="21"/>
      <c r="L789" s="21"/>
      <c r="M789" s="21"/>
      <c r="N789" s="21"/>
      <c r="O789" s="9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51"/>
      <c r="B790" s="14"/>
      <c r="C790" s="14"/>
      <c r="D790" s="14"/>
      <c r="E790" s="14"/>
      <c r="F790" s="53"/>
      <c r="G790" s="54"/>
      <c r="H790" s="54"/>
      <c r="I790" s="7"/>
      <c r="J790" s="9"/>
      <c r="K790" s="21"/>
      <c r="L790" s="21"/>
      <c r="M790" s="21"/>
      <c r="N790" s="21"/>
      <c r="O790" s="9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51"/>
      <c r="B791" s="14"/>
      <c r="C791" s="14"/>
      <c r="D791" s="14"/>
      <c r="E791" s="14"/>
      <c r="F791" s="53"/>
      <c r="G791" s="54"/>
      <c r="H791" s="54"/>
      <c r="I791" s="7"/>
      <c r="J791" s="9"/>
      <c r="K791" s="21"/>
      <c r="L791" s="21"/>
      <c r="M791" s="21"/>
      <c r="N791" s="21"/>
      <c r="O791" s="9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51"/>
      <c r="B792" s="14"/>
      <c r="C792" s="14"/>
      <c r="D792" s="14"/>
      <c r="E792" s="14"/>
      <c r="F792" s="53"/>
      <c r="G792" s="54"/>
      <c r="H792" s="54"/>
      <c r="I792" s="7"/>
      <c r="J792" s="9"/>
      <c r="K792" s="21"/>
      <c r="L792" s="21"/>
      <c r="M792" s="21"/>
      <c r="N792" s="21"/>
      <c r="O792" s="9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51"/>
      <c r="B793" s="14"/>
      <c r="C793" s="14"/>
      <c r="D793" s="14"/>
      <c r="E793" s="14"/>
      <c r="F793" s="53"/>
      <c r="G793" s="54"/>
      <c r="H793" s="54"/>
      <c r="I793" s="7"/>
      <c r="J793" s="9"/>
      <c r="K793" s="21"/>
      <c r="L793" s="21"/>
      <c r="M793" s="21"/>
      <c r="N793" s="21"/>
      <c r="O793" s="9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51"/>
      <c r="B794" s="14"/>
      <c r="C794" s="14"/>
      <c r="D794" s="14"/>
      <c r="E794" s="14"/>
      <c r="F794" s="53"/>
      <c r="G794" s="54"/>
      <c r="H794" s="54"/>
      <c r="I794" s="7"/>
      <c r="J794" s="9"/>
      <c r="K794" s="21"/>
      <c r="L794" s="21"/>
      <c r="M794" s="21"/>
      <c r="N794" s="21"/>
      <c r="O794" s="9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51"/>
      <c r="B795" s="14"/>
      <c r="C795" s="14"/>
      <c r="D795" s="14"/>
      <c r="E795" s="14"/>
      <c r="F795" s="53"/>
      <c r="G795" s="54"/>
      <c r="H795" s="54"/>
      <c r="I795" s="7"/>
      <c r="J795" s="9"/>
      <c r="K795" s="21"/>
      <c r="L795" s="21"/>
      <c r="M795" s="21"/>
      <c r="N795" s="21"/>
      <c r="O795" s="9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51"/>
      <c r="B796" s="14"/>
      <c r="C796" s="14"/>
      <c r="D796" s="14"/>
      <c r="E796" s="14"/>
      <c r="F796" s="53"/>
      <c r="G796" s="54"/>
      <c r="H796" s="54"/>
      <c r="I796" s="7"/>
      <c r="J796" s="9"/>
      <c r="K796" s="21"/>
      <c r="L796" s="21"/>
      <c r="M796" s="21"/>
      <c r="N796" s="21"/>
      <c r="O796" s="9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51"/>
      <c r="B797" s="14"/>
      <c r="C797" s="14"/>
      <c r="D797" s="14"/>
      <c r="E797" s="14"/>
      <c r="F797" s="53"/>
      <c r="G797" s="54"/>
      <c r="H797" s="54"/>
      <c r="I797" s="7"/>
      <c r="J797" s="9"/>
      <c r="K797" s="21"/>
      <c r="L797" s="21"/>
      <c r="M797" s="21"/>
      <c r="N797" s="21"/>
      <c r="O797" s="9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51"/>
      <c r="B798" s="14"/>
      <c r="C798" s="14"/>
      <c r="D798" s="14"/>
      <c r="E798" s="14"/>
      <c r="F798" s="53"/>
      <c r="G798" s="54"/>
      <c r="H798" s="54"/>
      <c r="I798" s="7"/>
      <c r="J798" s="9"/>
      <c r="K798" s="21"/>
      <c r="L798" s="21"/>
      <c r="M798" s="21"/>
      <c r="N798" s="21"/>
      <c r="O798" s="9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51"/>
      <c r="B799" s="14"/>
      <c r="C799" s="14"/>
      <c r="D799" s="14"/>
      <c r="E799" s="14"/>
      <c r="F799" s="53"/>
      <c r="G799" s="54"/>
      <c r="H799" s="54"/>
      <c r="I799" s="7"/>
      <c r="J799" s="9"/>
      <c r="K799" s="21"/>
      <c r="L799" s="21"/>
      <c r="M799" s="21"/>
      <c r="N799" s="21"/>
      <c r="O799" s="9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51"/>
      <c r="B800" s="14"/>
      <c r="C800" s="14"/>
      <c r="D800" s="14"/>
      <c r="E800" s="14"/>
      <c r="F800" s="53"/>
      <c r="G800" s="54"/>
      <c r="H800" s="54"/>
      <c r="I800" s="7"/>
      <c r="J800" s="9"/>
      <c r="K800" s="21"/>
      <c r="L800" s="21"/>
      <c r="M800" s="21"/>
      <c r="N800" s="21"/>
      <c r="O800" s="9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51"/>
      <c r="B801" s="14"/>
      <c r="C801" s="14"/>
      <c r="D801" s="14"/>
      <c r="E801" s="14"/>
      <c r="F801" s="53"/>
      <c r="G801" s="54"/>
      <c r="H801" s="54"/>
      <c r="I801" s="7"/>
      <c r="J801" s="9"/>
      <c r="K801" s="21"/>
      <c r="L801" s="21"/>
      <c r="M801" s="21"/>
      <c r="N801" s="21"/>
      <c r="O801" s="9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51"/>
      <c r="B802" s="14"/>
      <c r="C802" s="14"/>
      <c r="D802" s="14"/>
      <c r="E802" s="14"/>
      <c r="F802" s="53"/>
      <c r="G802" s="54"/>
      <c r="H802" s="54"/>
      <c r="I802" s="7"/>
      <c r="J802" s="9"/>
      <c r="K802" s="21"/>
      <c r="L802" s="21"/>
      <c r="M802" s="21"/>
      <c r="N802" s="21"/>
      <c r="O802" s="9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51"/>
      <c r="B803" s="14"/>
      <c r="C803" s="14"/>
      <c r="D803" s="14"/>
      <c r="E803" s="14"/>
      <c r="F803" s="53"/>
      <c r="G803" s="54"/>
      <c r="H803" s="54"/>
      <c r="I803" s="7"/>
      <c r="J803" s="9"/>
      <c r="K803" s="21"/>
      <c r="L803" s="21"/>
      <c r="M803" s="21"/>
      <c r="N803" s="21"/>
      <c r="O803" s="9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51"/>
      <c r="B804" s="14"/>
      <c r="C804" s="14"/>
      <c r="D804" s="14"/>
      <c r="E804" s="14"/>
      <c r="F804" s="53"/>
      <c r="G804" s="54"/>
      <c r="H804" s="54"/>
      <c r="I804" s="7"/>
      <c r="J804" s="9"/>
      <c r="K804" s="21"/>
      <c r="L804" s="21"/>
      <c r="M804" s="21"/>
      <c r="N804" s="21"/>
      <c r="O804" s="9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51"/>
      <c r="B805" s="14"/>
      <c r="C805" s="14"/>
      <c r="D805" s="14"/>
      <c r="E805" s="14"/>
      <c r="F805" s="53"/>
      <c r="G805" s="54"/>
      <c r="H805" s="54"/>
      <c r="I805" s="7"/>
      <c r="J805" s="9"/>
      <c r="K805" s="21"/>
      <c r="L805" s="21"/>
      <c r="M805" s="21"/>
      <c r="N805" s="21"/>
      <c r="O805" s="9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51"/>
      <c r="B806" s="14"/>
      <c r="C806" s="14"/>
      <c r="D806" s="14"/>
      <c r="E806" s="14"/>
      <c r="F806" s="53"/>
      <c r="G806" s="54"/>
      <c r="H806" s="54"/>
      <c r="I806" s="7"/>
      <c r="J806" s="9"/>
      <c r="K806" s="21"/>
      <c r="L806" s="21"/>
      <c r="M806" s="21"/>
      <c r="N806" s="21"/>
      <c r="O806" s="9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51"/>
      <c r="B807" s="14"/>
      <c r="C807" s="14"/>
      <c r="D807" s="14"/>
      <c r="E807" s="14"/>
      <c r="F807" s="53"/>
      <c r="G807" s="54"/>
      <c r="H807" s="54"/>
      <c r="I807" s="7"/>
      <c r="J807" s="9"/>
      <c r="K807" s="21"/>
      <c r="L807" s="21"/>
      <c r="M807" s="21"/>
      <c r="N807" s="21"/>
      <c r="O807" s="9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51"/>
      <c r="B808" s="14"/>
      <c r="C808" s="14"/>
      <c r="D808" s="14"/>
      <c r="E808" s="14"/>
      <c r="F808" s="53"/>
      <c r="G808" s="54"/>
      <c r="H808" s="54"/>
      <c r="I808" s="7"/>
      <c r="J808" s="9"/>
      <c r="K808" s="21"/>
      <c r="L808" s="21"/>
      <c r="M808" s="21"/>
      <c r="N808" s="21"/>
      <c r="O808" s="9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51"/>
      <c r="B809" s="14"/>
      <c r="C809" s="14"/>
      <c r="D809" s="14"/>
      <c r="E809" s="14"/>
      <c r="F809" s="53"/>
      <c r="G809" s="54"/>
      <c r="H809" s="54"/>
      <c r="I809" s="7"/>
      <c r="J809" s="9"/>
      <c r="K809" s="21"/>
      <c r="L809" s="21"/>
      <c r="M809" s="21"/>
      <c r="N809" s="21"/>
      <c r="O809" s="9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51"/>
      <c r="B810" s="14"/>
      <c r="C810" s="14"/>
      <c r="D810" s="14"/>
      <c r="E810" s="14"/>
      <c r="F810" s="53"/>
      <c r="G810" s="54"/>
      <c r="H810" s="54"/>
      <c r="I810" s="7"/>
      <c r="J810" s="9"/>
      <c r="K810" s="21"/>
      <c r="L810" s="21"/>
      <c r="M810" s="21"/>
      <c r="N810" s="21"/>
      <c r="O810" s="9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51"/>
      <c r="B811" s="14"/>
      <c r="C811" s="14"/>
      <c r="D811" s="14"/>
      <c r="E811" s="14"/>
      <c r="F811" s="53"/>
      <c r="G811" s="54"/>
      <c r="H811" s="54"/>
      <c r="I811" s="7"/>
      <c r="J811" s="9"/>
      <c r="K811" s="21"/>
      <c r="L811" s="21"/>
      <c r="M811" s="21"/>
      <c r="N811" s="21"/>
      <c r="O811" s="9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51"/>
      <c r="B812" s="14"/>
      <c r="C812" s="14"/>
      <c r="D812" s="14"/>
      <c r="E812" s="14"/>
      <c r="F812" s="53"/>
      <c r="G812" s="54"/>
      <c r="H812" s="54"/>
      <c r="I812" s="7"/>
      <c r="J812" s="9"/>
      <c r="K812" s="21"/>
      <c r="L812" s="21"/>
      <c r="M812" s="21"/>
      <c r="N812" s="21"/>
      <c r="O812" s="9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51"/>
      <c r="B813" s="14"/>
      <c r="C813" s="14"/>
      <c r="D813" s="14"/>
      <c r="E813" s="14"/>
      <c r="F813" s="53"/>
      <c r="G813" s="54"/>
      <c r="H813" s="54"/>
      <c r="I813" s="7"/>
      <c r="J813" s="9"/>
      <c r="K813" s="21"/>
      <c r="L813" s="21"/>
      <c r="M813" s="21"/>
      <c r="N813" s="21"/>
      <c r="O813" s="9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51"/>
      <c r="B814" s="14"/>
      <c r="C814" s="14"/>
      <c r="D814" s="14"/>
      <c r="E814" s="14"/>
      <c r="F814" s="53"/>
      <c r="G814" s="54"/>
      <c r="H814" s="54"/>
      <c r="I814" s="7"/>
      <c r="J814" s="9"/>
      <c r="K814" s="21"/>
      <c r="L814" s="21"/>
      <c r="M814" s="21"/>
      <c r="N814" s="21"/>
      <c r="O814" s="9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51"/>
      <c r="B815" s="14"/>
      <c r="C815" s="14"/>
      <c r="D815" s="14"/>
      <c r="E815" s="14"/>
      <c r="F815" s="53"/>
      <c r="G815" s="54"/>
      <c r="H815" s="54"/>
      <c r="I815" s="7"/>
      <c r="J815" s="9"/>
      <c r="K815" s="21"/>
      <c r="L815" s="21"/>
      <c r="M815" s="21"/>
      <c r="N815" s="21"/>
      <c r="O815" s="9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51"/>
      <c r="B816" s="14"/>
      <c r="C816" s="14"/>
      <c r="D816" s="14"/>
      <c r="E816" s="14"/>
      <c r="F816" s="53"/>
      <c r="G816" s="54"/>
      <c r="H816" s="54"/>
      <c r="I816" s="7"/>
      <c r="J816" s="9"/>
      <c r="K816" s="21"/>
      <c r="L816" s="21"/>
      <c r="M816" s="21"/>
      <c r="N816" s="21"/>
      <c r="O816" s="9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51"/>
      <c r="B817" s="14"/>
      <c r="C817" s="14"/>
      <c r="D817" s="14"/>
      <c r="E817" s="14"/>
      <c r="F817" s="53"/>
      <c r="G817" s="54"/>
      <c r="H817" s="54"/>
      <c r="I817" s="7"/>
      <c r="J817" s="9"/>
      <c r="K817" s="21"/>
      <c r="L817" s="21"/>
      <c r="M817" s="21"/>
      <c r="N817" s="21"/>
      <c r="O817" s="9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51"/>
      <c r="B818" s="14"/>
      <c r="C818" s="14"/>
      <c r="D818" s="14"/>
      <c r="E818" s="14"/>
      <c r="F818" s="53"/>
      <c r="G818" s="54"/>
      <c r="H818" s="54"/>
      <c r="I818" s="7"/>
      <c r="J818" s="9"/>
      <c r="K818" s="21"/>
      <c r="L818" s="21"/>
      <c r="M818" s="21"/>
      <c r="N818" s="21"/>
      <c r="O818" s="9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51"/>
      <c r="B819" s="14"/>
      <c r="C819" s="14"/>
      <c r="D819" s="14"/>
      <c r="E819" s="14"/>
      <c r="F819" s="53"/>
      <c r="G819" s="54"/>
      <c r="H819" s="54"/>
      <c r="I819" s="7"/>
      <c r="J819" s="9"/>
      <c r="K819" s="21"/>
      <c r="L819" s="21"/>
      <c r="M819" s="21"/>
      <c r="N819" s="21"/>
      <c r="O819" s="9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51"/>
      <c r="B820" s="14"/>
      <c r="C820" s="14"/>
      <c r="D820" s="14"/>
      <c r="E820" s="14"/>
      <c r="F820" s="53"/>
      <c r="G820" s="54"/>
      <c r="H820" s="54"/>
      <c r="I820" s="7"/>
      <c r="J820" s="9"/>
      <c r="K820" s="21"/>
      <c r="L820" s="21"/>
      <c r="M820" s="21"/>
      <c r="N820" s="21"/>
      <c r="O820" s="9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51"/>
      <c r="B821" s="14"/>
      <c r="C821" s="14"/>
      <c r="D821" s="14"/>
      <c r="E821" s="14"/>
      <c r="F821" s="53"/>
      <c r="G821" s="54"/>
      <c r="H821" s="54"/>
      <c r="I821" s="7"/>
      <c r="J821" s="9"/>
      <c r="K821" s="21"/>
      <c r="L821" s="21"/>
      <c r="M821" s="21"/>
      <c r="N821" s="21"/>
      <c r="O821" s="9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51"/>
      <c r="B822" s="14"/>
      <c r="C822" s="14"/>
      <c r="D822" s="14"/>
      <c r="E822" s="14"/>
      <c r="F822" s="53"/>
      <c r="G822" s="54"/>
      <c r="H822" s="54"/>
      <c r="I822" s="7"/>
      <c r="J822" s="9"/>
      <c r="K822" s="21"/>
      <c r="L822" s="21"/>
      <c r="M822" s="21"/>
      <c r="N822" s="21"/>
      <c r="O822" s="9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51"/>
      <c r="B823" s="14"/>
      <c r="C823" s="14"/>
      <c r="D823" s="14"/>
      <c r="E823" s="14"/>
      <c r="F823" s="53"/>
      <c r="G823" s="54"/>
      <c r="H823" s="54"/>
      <c r="I823" s="7"/>
      <c r="J823" s="9"/>
      <c r="K823" s="21"/>
      <c r="L823" s="21"/>
      <c r="M823" s="21"/>
      <c r="N823" s="21"/>
      <c r="O823" s="9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51"/>
      <c r="B824" s="14"/>
      <c r="C824" s="14"/>
      <c r="D824" s="14"/>
      <c r="E824" s="14"/>
      <c r="F824" s="53"/>
      <c r="G824" s="54"/>
      <c r="H824" s="54"/>
      <c r="I824" s="7"/>
      <c r="J824" s="9"/>
      <c r="K824" s="21"/>
      <c r="L824" s="21"/>
      <c r="M824" s="21"/>
      <c r="N824" s="21"/>
      <c r="O824" s="9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51"/>
      <c r="B825" s="14"/>
      <c r="C825" s="14"/>
      <c r="D825" s="14"/>
      <c r="E825" s="14"/>
      <c r="F825" s="53"/>
      <c r="G825" s="54"/>
      <c r="H825" s="54"/>
      <c r="I825" s="7"/>
      <c r="J825" s="9"/>
      <c r="K825" s="21"/>
      <c r="L825" s="21"/>
      <c r="M825" s="21"/>
      <c r="N825" s="21"/>
      <c r="O825" s="9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51"/>
      <c r="B826" s="14"/>
      <c r="C826" s="14"/>
      <c r="D826" s="14"/>
      <c r="E826" s="14"/>
      <c r="F826" s="53"/>
      <c r="G826" s="54"/>
      <c r="H826" s="54"/>
      <c r="I826" s="7"/>
      <c r="J826" s="9"/>
      <c r="K826" s="21"/>
      <c r="L826" s="21"/>
      <c r="M826" s="21"/>
      <c r="N826" s="21"/>
      <c r="O826" s="9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51"/>
      <c r="B827" s="14"/>
      <c r="C827" s="14"/>
      <c r="D827" s="14"/>
      <c r="E827" s="14"/>
      <c r="F827" s="53"/>
      <c r="G827" s="54"/>
      <c r="H827" s="54"/>
      <c r="I827" s="7"/>
      <c r="J827" s="9"/>
      <c r="K827" s="21"/>
      <c r="L827" s="21"/>
      <c r="M827" s="21"/>
      <c r="N827" s="21"/>
      <c r="O827" s="9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51"/>
      <c r="B828" s="14"/>
      <c r="C828" s="14"/>
      <c r="D828" s="14"/>
      <c r="E828" s="14"/>
      <c r="F828" s="53"/>
      <c r="G828" s="54"/>
      <c r="H828" s="54"/>
      <c r="I828" s="7"/>
      <c r="J828" s="9"/>
      <c r="K828" s="21"/>
      <c r="L828" s="21"/>
      <c r="M828" s="21"/>
      <c r="N828" s="21"/>
      <c r="O828" s="9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51"/>
      <c r="B829" s="14"/>
      <c r="C829" s="14"/>
      <c r="D829" s="14"/>
      <c r="E829" s="14"/>
      <c r="F829" s="53"/>
      <c r="G829" s="54"/>
      <c r="H829" s="54"/>
      <c r="I829" s="7"/>
      <c r="J829" s="9"/>
      <c r="K829" s="21"/>
      <c r="L829" s="21"/>
      <c r="M829" s="21"/>
      <c r="N829" s="21"/>
      <c r="O829" s="9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51"/>
      <c r="B830" s="14"/>
      <c r="C830" s="14"/>
      <c r="D830" s="14"/>
      <c r="E830" s="14"/>
      <c r="F830" s="53"/>
      <c r="G830" s="54"/>
      <c r="H830" s="54"/>
      <c r="I830" s="7"/>
      <c r="J830" s="9"/>
      <c r="K830" s="21"/>
      <c r="L830" s="21"/>
      <c r="M830" s="21"/>
      <c r="N830" s="21"/>
      <c r="O830" s="9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51"/>
      <c r="B831" s="14"/>
      <c r="C831" s="14"/>
      <c r="D831" s="14"/>
      <c r="E831" s="14"/>
      <c r="F831" s="53"/>
      <c r="G831" s="54"/>
      <c r="H831" s="54"/>
      <c r="I831" s="7"/>
      <c r="J831" s="9"/>
      <c r="K831" s="21"/>
      <c r="L831" s="21"/>
      <c r="M831" s="21"/>
      <c r="N831" s="21"/>
      <c r="O831" s="9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51"/>
      <c r="B832" s="14"/>
      <c r="C832" s="14"/>
      <c r="D832" s="14"/>
      <c r="E832" s="14"/>
      <c r="F832" s="53"/>
      <c r="G832" s="54"/>
      <c r="H832" s="54"/>
      <c r="I832" s="7"/>
      <c r="J832" s="9"/>
      <c r="K832" s="21"/>
      <c r="L832" s="21"/>
      <c r="M832" s="21"/>
      <c r="N832" s="21"/>
      <c r="O832" s="9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51"/>
      <c r="B833" s="14"/>
      <c r="C833" s="14"/>
      <c r="D833" s="14"/>
      <c r="E833" s="14"/>
      <c r="F833" s="53"/>
      <c r="G833" s="54"/>
      <c r="H833" s="54"/>
      <c r="I833" s="7"/>
      <c r="J833" s="9"/>
      <c r="K833" s="21"/>
      <c r="L833" s="21"/>
      <c r="M833" s="21"/>
      <c r="N833" s="21"/>
      <c r="O833" s="9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51"/>
      <c r="B834" s="14"/>
      <c r="C834" s="14"/>
      <c r="D834" s="14"/>
      <c r="E834" s="14"/>
      <c r="F834" s="53"/>
      <c r="G834" s="54"/>
      <c r="H834" s="54"/>
      <c r="I834" s="7"/>
      <c r="J834" s="9"/>
      <c r="K834" s="21"/>
      <c r="L834" s="21"/>
      <c r="M834" s="21"/>
      <c r="N834" s="21"/>
      <c r="O834" s="9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51"/>
      <c r="B835" s="14"/>
      <c r="C835" s="14"/>
      <c r="D835" s="14"/>
      <c r="E835" s="14"/>
      <c r="F835" s="53"/>
      <c r="G835" s="54"/>
      <c r="H835" s="54"/>
      <c r="I835" s="7"/>
      <c r="J835" s="9"/>
      <c r="K835" s="21"/>
      <c r="L835" s="21"/>
      <c r="M835" s="21"/>
      <c r="N835" s="21"/>
      <c r="O835" s="9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51"/>
      <c r="B836" s="14"/>
      <c r="C836" s="14"/>
      <c r="D836" s="14"/>
      <c r="E836" s="14"/>
      <c r="F836" s="53"/>
      <c r="G836" s="54"/>
      <c r="H836" s="54"/>
      <c r="I836" s="7"/>
      <c r="J836" s="9"/>
      <c r="K836" s="21"/>
      <c r="L836" s="21"/>
      <c r="M836" s="21"/>
      <c r="N836" s="21"/>
      <c r="O836" s="9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51"/>
      <c r="B837" s="14"/>
      <c r="C837" s="14"/>
      <c r="D837" s="14"/>
      <c r="E837" s="14"/>
      <c r="F837" s="53"/>
      <c r="G837" s="54"/>
      <c r="H837" s="54"/>
      <c r="I837" s="7"/>
      <c r="J837" s="9"/>
      <c r="K837" s="21"/>
      <c r="L837" s="21"/>
      <c r="M837" s="21"/>
      <c r="N837" s="21"/>
      <c r="O837" s="9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51"/>
      <c r="B838" s="14"/>
      <c r="C838" s="14"/>
      <c r="D838" s="14"/>
      <c r="E838" s="14"/>
      <c r="F838" s="53"/>
      <c r="G838" s="54"/>
      <c r="H838" s="54"/>
      <c r="I838" s="7"/>
      <c r="J838" s="9"/>
      <c r="K838" s="21"/>
      <c r="L838" s="21"/>
      <c r="M838" s="21"/>
      <c r="N838" s="21"/>
      <c r="O838" s="9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51"/>
      <c r="B839" s="14"/>
      <c r="C839" s="14"/>
      <c r="D839" s="14"/>
      <c r="E839" s="14"/>
      <c r="F839" s="53"/>
      <c r="G839" s="54"/>
      <c r="H839" s="54"/>
      <c r="I839" s="7"/>
      <c r="J839" s="9"/>
      <c r="K839" s="21"/>
      <c r="L839" s="21"/>
      <c r="M839" s="21"/>
      <c r="N839" s="21"/>
      <c r="O839" s="9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51"/>
      <c r="B840" s="14"/>
      <c r="C840" s="14"/>
      <c r="D840" s="14"/>
      <c r="E840" s="14"/>
      <c r="F840" s="53"/>
      <c r="G840" s="54"/>
      <c r="H840" s="54"/>
      <c r="I840" s="7"/>
      <c r="J840" s="9"/>
      <c r="K840" s="21"/>
      <c r="L840" s="21"/>
      <c r="M840" s="21"/>
      <c r="N840" s="21"/>
      <c r="O840" s="9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51"/>
      <c r="B841" s="14"/>
      <c r="C841" s="14"/>
      <c r="D841" s="14"/>
      <c r="E841" s="14"/>
      <c r="F841" s="53"/>
      <c r="G841" s="54"/>
      <c r="H841" s="54"/>
      <c r="I841" s="7"/>
      <c r="J841" s="9"/>
      <c r="K841" s="21"/>
      <c r="L841" s="21"/>
      <c r="M841" s="21"/>
      <c r="N841" s="21"/>
      <c r="O841" s="9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51"/>
      <c r="B842" s="14"/>
      <c r="C842" s="14"/>
      <c r="D842" s="14"/>
      <c r="E842" s="14"/>
      <c r="F842" s="53"/>
      <c r="G842" s="54"/>
      <c r="H842" s="54"/>
      <c r="I842" s="7"/>
      <c r="J842" s="9"/>
      <c r="K842" s="21"/>
      <c r="L842" s="21"/>
      <c r="M842" s="21"/>
      <c r="N842" s="21"/>
      <c r="O842" s="9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51"/>
      <c r="B843" s="14"/>
      <c r="C843" s="14"/>
      <c r="D843" s="14"/>
      <c r="E843" s="14"/>
      <c r="F843" s="53"/>
      <c r="G843" s="54"/>
      <c r="H843" s="54"/>
      <c r="I843" s="7"/>
      <c r="J843" s="9"/>
      <c r="K843" s="21"/>
      <c r="L843" s="21"/>
      <c r="M843" s="21"/>
      <c r="N843" s="21"/>
      <c r="O843" s="9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51"/>
      <c r="B844" s="14"/>
      <c r="C844" s="14"/>
      <c r="D844" s="14"/>
      <c r="E844" s="14"/>
      <c r="F844" s="53"/>
      <c r="G844" s="54"/>
      <c r="H844" s="54"/>
      <c r="I844" s="7"/>
      <c r="J844" s="9"/>
      <c r="K844" s="21"/>
      <c r="L844" s="21"/>
      <c r="M844" s="21"/>
      <c r="N844" s="21"/>
      <c r="O844" s="9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51"/>
      <c r="B845" s="14"/>
      <c r="C845" s="14"/>
      <c r="D845" s="14"/>
      <c r="E845" s="14"/>
      <c r="F845" s="53"/>
      <c r="G845" s="54"/>
      <c r="H845" s="54"/>
      <c r="I845" s="7"/>
      <c r="J845" s="9"/>
      <c r="K845" s="21"/>
      <c r="L845" s="21"/>
      <c r="M845" s="21"/>
      <c r="N845" s="21"/>
      <c r="O845" s="9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51"/>
      <c r="B846" s="14"/>
      <c r="C846" s="14"/>
      <c r="D846" s="14"/>
      <c r="E846" s="14"/>
      <c r="F846" s="53"/>
      <c r="G846" s="54"/>
      <c r="H846" s="54"/>
      <c r="I846" s="7"/>
      <c r="J846" s="9"/>
      <c r="K846" s="21"/>
      <c r="L846" s="21"/>
      <c r="M846" s="21"/>
      <c r="N846" s="21"/>
      <c r="O846" s="9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51"/>
      <c r="B847" s="14"/>
      <c r="C847" s="14"/>
      <c r="D847" s="14"/>
      <c r="E847" s="14"/>
      <c r="F847" s="53"/>
      <c r="G847" s="54"/>
      <c r="H847" s="54"/>
      <c r="I847" s="7"/>
      <c r="J847" s="9"/>
      <c r="K847" s="21"/>
      <c r="L847" s="21"/>
      <c r="M847" s="21"/>
      <c r="N847" s="21"/>
      <c r="O847" s="9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51"/>
      <c r="B848" s="14"/>
      <c r="C848" s="14"/>
      <c r="D848" s="14"/>
      <c r="E848" s="14"/>
      <c r="F848" s="53"/>
      <c r="G848" s="54"/>
      <c r="H848" s="54"/>
      <c r="I848" s="7"/>
      <c r="J848" s="9"/>
      <c r="K848" s="21"/>
      <c r="L848" s="21"/>
      <c r="M848" s="21"/>
      <c r="N848" s="21"/>
      <c r="O848" s="9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51"/>
      <c r="B849" s="14"/>
      <c r="C849" s="14"/>
      <c r="D849" s="14"/>
      <c r="E849" s="14"/>
      <c r="F849" s="53"/>
      <c r="G849" s="54"/>
      <c r="H849" s="54"/>
      <c r="I849" s="7"/>
      <c r="J849" s="9"/>
      <c r="K849" s="21"/>
      <c r="L849" s="21"/>
      <c r="M849" s="21"/>
      <c r="N849" s="21"/>
      <c r="O849" s="9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51"/>
      <c r="B850" s="14"/>
      <c r="C850" s="14"/>
      <c r="D850" s="14"/>
      <c r="E850" s="14"/>
      <c r="F850" s="53"/>
      <c r="G850" s="54"/>
      <c r="H850" s="54"/>
      <c r="I850" s="7"/>
      <c r="J850" s="9"/>
      <c r="K850" s="21"/>
      <c r="L850" s="21"/>
      <c r="M850" s="21"/>
      <c r="N850" s="21"/>
      <c r="O850" s="9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51"/>
      <c r="B851" s="14"/>
      <c r="C851" s="14"/>
      <c r="D851" s="14"/>
      <c r="E851" s="14"/>
      <c r="F851" s="53"/>
      <c r="G851" s="54"/>
      <c r="H851" s="54"/>
      <c r="I851" s="7"/>
      <c r="J851" s="9"/>
      <c r="K851" s="21"/>
      <c r="L851" s="21"/>
      <c r="M851" s="21"/>
      <c r="N851" s="21"/>
      <c r="O851" s="9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51"/>
      <c r="B852" s="14"/>
      <c r="C852" s="14"/>
      <c r="D852" s="14"/>
      <c r="E852" s="14"/>
      <c r="F852" s="53"/>
      <c r="G852" s="54"/>
      <c r="H852" s="54"/>
      <c r="I852" s="7"/>
      <c r="J852" s="9"/>
      <c r="K852" s="21"/>
      <c r="L852" s="21"/>
      <c r="M852" s="21"/>
      <c r="N852" s="21"/>
      <c r="O852" s="9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51"/>
      <c r="B853" s="14"/>
      <c r="C853" s="14"/>
      <c r="D853" s="14"/>
      <c r="E853" s="14"/>
      <c r="F853" s="53"/>
      <c r="G853" s="54"/>
      <c r="H853" s="54"/>
      <c r="I853" s="7"/>
      <c r="J853" s="9"/>
      <c r="K853" s="21"/>
      <c r="L853" s="21"/>
      <c r="M853" s="21"/>
      <c r="N853" s="21"/>
      <c r="O853" s="9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51"/>
      <c r="B854" s="14"/>
      <c r="C854" s="14"/>
      <c r="D854" s="14"/>
      <c r="E854" s="14"/>
      <c r="F854" s="53"/>
      <c r="G854" s="54"/>
      <c r="H854" s="54"/>
      <c r="I854" s="7"/>
      <c r="J854" s="9"/>
      <c r="K854" s="21"/>
      <c r="L854" s="21"/>
      <c r="M854" s="21"/>
      <c r="N854" s="21"/>
      <c r="O854" s="9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51"/>
      <c r="B855" s="14"/>
      <c r="C855" s="14"/>
      <c r="D855" s="14"/>
      <c r="E855" s="14"/>
      <c r="F855" s="53"/>
      <c r="G855" s="54"/>
      <c r="H855" s="54"/>
      <c r="I855" s="7"/>
      <c r="J855" s="9"/>
      <c r="K855" s="21"/>
      <c r="L855" s="21"/>
      <c r="M855" s="21"/>
      <c r="N855" s="21"/>
      <c r="O855" s="9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51"/>
      <c r="B856" s="14"/>
      <c r="C856" s="14"/>
      <c r="D856" s="14"/>
      <c r="E856" s="14"/>
      <c r="F856" s="53"/>
      <c r="G856" s="54"/>
      <c r="H856" s="54"/>
      <c r="I856" s="7"/>
      <c r="J856" s="9"/>
      <c r="K856" s="21"/>
      <c r="L856" s="21"/>
      <c r="M856" s="21"/>
      <c r="N856" s="21"/>
      <c r="O856" s="9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51"/>
      <c r="B857" s="14"/>
      <c r="C857" s="14"/>
      <c r="D857" s="14"/>
      <c r="E857" s="14"/>
      <c r="F857" s="53"/>
      <c r="G857" s="54"/>
      <c r="H857" s="54"/>
      <c r="I857" s="7"/>
      <c r="J857" s="9"/>
      <c r="K857" s="21"/>
      <c r="L857" s="21"/>
      <c r="M857" s="21"/>
      <c r="N857" s="21"/>
      <c r="O857" s="9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51"/>
      <c r="B858" s="14"/>
      <c r="C858" s="14"/>
      <c r="D858" s="14"/>
      <c r="E858" s="14"/>
      <c r="F858" s="53"/>
      <c r="G858" s="54"/>
      <c r="H858" s="54"/>
      <c r="I858" s="7"/>
      <c r="J858" s="9"/>
      <c r="K858" s="21"/>
      <c r="L858" s="21"/>
      <c r="M858" s="21"/>
      <c r="N858" s="21"/>
      <c r="O858" s="9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51"/>
      <c r="B859" s="14"/>
      <c r="C859" s="14"/>
      <c r="D859" s="14"/>
      <c r="E859" s="14"/>
      <c r="F859" s="53"/>
      <c r="G859" s="54"/>
      <c r="H859" s="54"/>
      <c r="I859" s="7"/>
      <c r="J859" s="9"/>
      <c r="K859" s="21"/>
      <c r="L859" s="21"/>
      <c r="M859" s="21"/>
      <c r="N859" s="21"/>
      <c r="O859" s="9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51"/>
      <c r="B860" s="14"/>
      <c r="C860" s="14"/>
      <c r="D860" s="14"/>
      <c r="E860" s="14"/>
      <c r="F860" s="53"/>
      <c r="G860" s="54"/>
      <c r="H860" s="54"/>
      <c r="I860" s="7"/>
      <c r="J860" s="9"/>
      <c r="K860" s="21"/>
      <c r="L860" s="21"/>
      <c r="M860" s="21"/>
      <c r="N860" s="21"/>
      <c r="O860" s="9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51"/>
      <c r="B861" s="14"/>
      <c r="C861" s="14"/>
      <c r="D861" s="14"/>
      <c r="E861" s="14"/>
      <c r="F861" s="53"/>
      <c r="G861" s="54"/>
      <c r="H861" s="54"/>
      <c r="I861" s="7"/>
      <c r="J861" s="9"/>
      <c r="K861" s="21"/>
      <c r="L861" s="21"/>
      <c r="M861" s="21"/>
      <c r="N861" s="21"/>
      <c r="O861" s="9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51"/>
      <c r="B862" s="14"/>
      <c r="C862" s="14"/>
      <c r="D862" s="14"/>
      <c r="E862" s="14"/>
      <c r="F862" s="53"/>
      <c r="G862" s="54"/>
      <c r="H862" s="54"/>
      <c r="I862" s="7"/>
      <c r="J862" s="9"/>
      <c r="K862" s="21"/>
      <c r="L862" s="21"/>
      <c r="M862" s="21"/>
      <c r="N862" s="21"/>
      <c r="O862" s="9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51"/>
      <c r="B863" s="14"/>
      <c r="C863" s="14"/>
      <c r="D863" s="14"/>
      <c r="E863" s="14"/>
      <c r="F863" s="53"/>
      <c r="G863" s="54"/>
      <c r="H863" s="54"/>
      <c r="I863" s="7"/>
      <c r="J863" s="9"/>
      <c r="K863" s="21"/>
      <c r="L863" s="21"/>
      <c r="M863" s="21"/>
      <c r="N863" s="21"/>
      <c r="O863" s="9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51"/>
      <c r="B864" s="14"/>
      <c r="C864" s="14"/>
      <c r="D864" s="14"/>
      <c r="E864" s="14"/>
      <c r="F864" s="53"/>
      <c r="G864" s="54"/>
      <c r="H864" s="54"/>
      <c r="I864" s="7"/>
      <c r="J864" s="9"/>
      <c r="K864" s="21"/>
      <c r="L864" s="21"/>
      <c r="M864" s="21"/>
      <c r="N864" s="21"/>
      <c r="O864" s="9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51"/>
      <c r="B865" s="14"/>
      <c r="C865" s="14"/>
      <c r="D865" s="14"/>
      <c r="E865" s="14"/>
      <c r="F865" s="53"/>
      <c r="G865" s="54"/>
      <c r="H865" s="54"/>
      <c r="I865" s="7"/>
      <c r="J865" s="9"/>
      <c r="K865" s="21"/>
      <c r="L865" s="21"/>
      <c r="M865" s="21"/>
      <c r="N865" s="21"/>
      <c r="O865" s="9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51"/>
      <c r="B866" s="14"/>
      <c r="C866" s="14"/>
      <c r="D866" s="14"/>
      <c r="E866" s="14"/>
      <c r="F866" s="53"/>
      <c r="G866" s="54"/>
      <c r="H866" s="54"/>
      <c r="I866" s="7"/>
      <c r="J866" s="9"/>
      <c r="K866" s="21"/>
      <c r="L866" s="21"/>
      <c r="M866" s="21"/>
      <c r="N866" s="21"/>
      <c r="O866" s="9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51"/>
      <c r="B867" s="14"/>
      <c r="C867" s="14"/>
      <c r="D867" s="14"/>
      <c r="E867" s="14"/>
      <c r="F867" s="53"/>
      <c r="G867" s="54"/>
      <c r="H867" s="54"/>
      <c r="I867" s="7"/>
      <c r="J867" s="9"/>
      <c r="K867" s="21"/>
      <c r="L867" s="21"/>
      <c r="M867" s="21"/>
      <c r="N867" s="21"/>
      <c r="O867" s="9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51"/>
      <c r="B868" s="14"/>
      <c r="C868" s="14"/>
      <c r="D868" s="14"/>
      <c r="E868" s="14"/>
      <c r="F868" s="53"/>
      <c r="G868" s="54"/>
      <c r="H868" s="54"/>
      <c r="I868" s="7"/>
      <c r="J868" s="9"/>
      <c r="K868" s="21"/>
      <c r="L868" s="21"/>
      <c r="M868" s="21"/>
      <c r="N868" s="21"/>
      <c r="O868" s="9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51"/>
      <c r="B869" s="14"/>
      <c r="C869" s="14"/>
      <c r="D869" s="14"/>
      <c r="E869" s="14"/>
      <c r="F869" s="53"/>
      <c r="G869" s="54"/>
      <c r="H869" s="54"/>
      <c r="I869" s="7"/>
      <c r="J869" s="9"/>
      <c r="K869" s="21"/>
      <c r="L869" s="21"/>
      <c r="M869" s="21"/>
      <c r="N869" s="21"/>
      <c r="O869" s="9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51"/>
      <c r="B870" s="14"/>
      <c r="C870" s="14"/>
      <c r="D870" s="14"/>
      <c r="E870" s="14"/>
      <c r="F870" s="53"/>
      <c r="G870" s="54"/>
      <c r="H870" s="54"/>
      <c r="I870" s="7"/>
      <c r="J870" s="9"/>
      <c r="K870" s="21"/>
      <c r="L870" s="21"/>
      <c r="M870" s="21"/>
      <c r="N870" s="21"/>
      <c r="O870" s="9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51"/>
      <c r="B871" s="14"/>
      <c r="C871" s="14"/>
      <c r="D871" s="14"/>
      <c r="E871" s="14"/>
      <c r="F871" s="53"/>
      <c r="G871" s="54"/>
      <c r="H871" s="54"/>
      <c r="I871" s="7"/>
      <c r="J871" s="9"/>
      <c r="K871" s="21"/>
      <c r="L871" s="21"/>
      <c r="M871" s="21"/>
      <c r="N871" s="21"/>
      <c r="O871" s="9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51"/>
      <c r="B872" s="14"/>
      <c r="C872" s="14"/>
      <c r="D872" s="14"/>
      <c r="E872" s="14"/>
      <c r="F872" s="53"/>
      <c r="G872" s="54"/>
      <c r="H872" s="54"/>
      <c r="I872" s="7"/>
      <c r="J872" s="9"/>
      <c r="K872" s="21"/>
      <c r="L872" s="21"/>
      <c r="M872" s="21"/>
      <c r="N872" s="21"/>
      <c r="O872" s="9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51"/>
      <c r="B873" s="14"/>
      <c r="C873" s="14"/>
      <c r="D873" s="14"/>
      <c r="E873" s="14"/>
      <c r="F873" s="53"/>
      <c r="G873" s="54"/>
      <c r="H873" s="54"/>
      <c r="I873" s="7"/>
      <c r="J873" s="9"/>
      <c r="K873" s="21"/>
      <c r="L873" s="21"/>
      <c r="M873" s="21"/>
      <c r="N873" s="21"/>
      <c r="O873" s="9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51"/>
      <c r="B874" s="14"/>
      <c r="C874" s="14"/>
      <c r="D874" s="14"/>
      <c r="E874" s="14"/>
      <c r="F874" s="53"/>
      <c r="G874" s="54"/>
      <c r="H874" s="54"/>
      <c r="I874" s="7"/>
      <c r="J874" s="9"/>
      <c r="K874" s="21"/>
      <c r="L874" s="21"/>
      <c r="M874" s="21"/>
      <c r="N874" s="21"/>
      <c r="O874" s="9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51"/>
      <c r="B875" s="14"/>
      <c r="C875" s="14"/>
      <c r="D875" s="14"/>
      <c r="E875" s="14"/>
      <c r="F875" s="53"/>
      <c r="G875" s="54"/>
      <c r="H875" s="54"/>
      <c r="I875" s="7"/>
      <c r="J875" s="9"/>
      <c r="K875" s="21"/>
      <c r="L875" s="21"/>
      <c r="M875" s="21"/>
      <c r="N875" s="21"/>
      <c r="O875" s="9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51"/>
      <c r="B876" s="14"/>
      <c r="C876" s="14"/>
      <c r="D876" s="14"/>
      <c r="E876" s="14"/>
      <c r="F876" s="53"/>
      <c r="G876" s="54"/>
      <c r="H876" s="54"/>
      <c r="I876" s="7"/>
      <c r="J876" s="9"/>
      <c r="K876" s="21"/>
      <c r="L876" s="21"/>
      <c r="M876" s="21"/>
      <c r="N876" s="21"/>
      <c r="O876" s="9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51"/>
      <c r="B877" s="14"/>
      <c r="C877" s="14"/>
      <c r="D877" s="14"/>
      <c r="E877" s="14"/>
      <c r="F877" s="53"/>
      <c r="G877" s="54"/>
      <c r="H877" s="54"/>
      <c r="I877" s="7"/>
      <c r="J877" s="9"/>
      <c r="K877" s="21"/>
      <c r="L877" s="21"/>
      <c r="M877" s="21"/>
      <c r="N877" s="21"/>
      <c r="O877" s="9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51"/>
      <c r="B878" s="14"/>
      <c r="C878" s="14"/>
      <c r="D878" s="14"/>
      <c r="E878" s="14"/>
      <c r="F878" s="53"/>
      <c r="G878" s="54"/>
      <c r="H878" s="54"/>
      <c r="I878" s="7"/>
      <c r="J878" s="9"/>
      <c r="K878" s="21"/>
      <c r="L878" s="21"/>
      <c r="M878" s="21"/>
      <c r="N878" s="21"/>
      <c r="O878" s="9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51"/>
      <c r="B879" s="14"/>
      <c r="C879" s="14"/>
      <c r="D879" s="14"/>
      <c r="E879" s="14"/>
      <c r="F879" s="53"/>
      <c r="G879" s="54"/>
      <c r="H879" s="54"/>
      <c r="I879" s="7"/>
      <c r="J879" s="9"/>
      <c r="K879" s="21"/>
      <c r="L879" s="21"/>
      <c r="M879" s="21"/>
      <c r="N879" s="21"/>
      <c r="O879" s="9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51"/>
      <c r="B880" s="14"/>
      <c r="C880" s="14"/>
      <c r="D880" s="14"/>
      <c r="E880" s="14"/>
      <c r="F880" s="53"/>
      <c r="G880" s="54"/>
      <c r="H880" s="54"/>
      <c r="I880" s="7"/>
      <c r="J880" s="9"/>
      <c r="K880" s="21"/>
      <c r="L880" s="21"/>
      <c r="M880" s="21"/>
      <c r="N880" s="21"/>
      <c r="O880" s="9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51"/>
      <c r="B881" s="14"/>
      <c r="C881" s="14"/>
      <c r="D881" s="14"/>
      <c r="E881" s="14"/>
      <c r="F881" s="53"/>
      <c r="G881" s="54"/>
      <c r="H881" s="54"/>
      <c r="I881" s="7"/>
      <c r="J881" s="9"/>
      <c r="K881" s="21"/>
      <c r="L881" s="21"/>
      <c r="M881" s="21"/>
      <c r="N881" s="21"/>
      <c r="O881" s="9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51"/>
      <c r="B882" s="14"/>
      <c r="C882" s="14"/>
      <c r="D882" s="14"/>
      <c r="E882" s="14"/>
      <c r="F882" s="53"/>
      <c r="G882" s="54"/>
      <c r="H882" s="54"/>
      <c r="I882" s="7"/>
      <c r="J882" s="9"/>
      <c r="K882" s="21"/>
      <c r="L882" s="21"/>
      <c r="M882" s="21"/>
      <c r="N882" s="21"/>
      <c r="O882" s="9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51"/>
      <c r="B883" s="14"/>
      <c r="C883" s="14"/>
      <c r="D883" s="14"/>
      <c r="E883" s="14"/>
      <c r="F883" s="53"/>
      <c r="G883" s="54"/>
      <c r="H883" s="54"/>
      <c r="I883" s="7"/>
      <c r="J883" s="9"/>
      <c r="K883" s="21"/>
      <c r="L883" s="21"/>
      <c r="M883" s="21"/>
      <c r="N883" s="21"/>
      <c r="O883" s="9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51"/>
      <c r="B884" s="14"/>
      <c r="C884" s="14"/>
      <c r="D884" s="14"/>
      <c r="E884" s="14"/>
      <c r="F884" s="53"/>
      <c r="G884" s="54"/>
      <c r="H884" s="54"/>
      <c r="I884" s="7"/>
      <c r="J884" s="9"/>
      <c r="K884" s="21"/>
      <c r="L884" s="21"/>
      <c r="M884" s="21"/>
      <c r="N884" s="21"/>
      <c r="O884" s="9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51"/>
      <c r="B885" s="14"/>
      <c r="C885" s="14"/>
      <c r="D885" s="14"/>
      <c r="E885" s="14"/>
      <c r="F885" s="53"/>
      <c r="G885" s="54"/>
      <c r="H885" s="54"/>
      <c r="I885" s="7"/>
      <c r="J885" s="9"/>
      <c r="K885" s="21"/>
      <c r="L885" s="21"/>
      <c r="M885" s="21"/>
      <c r="N885" s="21"/>
      <c r="O885" s="9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51"/>
      <c r="B886" s="14"/>
      <c r="C886" s="14"/>
      <c r="D886" s="14"/>
      <c r="E886" s="14"/>
      <c r="F886" s="53"/>
      <c r="G886" s="54"/>
      <c r="H886" s="54"/>
      <c r="I886" s="7"/>
      <c r="J886" s="9"/>
      <c r="K886" s="21"/>
      <c r="L886" s="21"/>
      <c r="M886" s="21"/>
      <c r="N886" s="21"/>
      <c r="O886" s="9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51"/>
      <c r="B887" s="14"/>
      <c r="C887" s="14"/>
      <c r="D887" s="14"/>
      <c r="E887" s="14"/>
      <c r="F887" s="53"/>
      <c r="G887" s="54"/>
      <c r="H887" s="54"/>
      <c r="I887" s="7"/>
      <c r="J887" s="9"/>
      <c r="K887" s="21"/>
      <c r="L887" s="21"/>
      <c r="M887" s="21"/>
      <c r="N887" s="21"/>
      <c r="O887" s="9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51"/>
      <c r="B888" s="14"/>
      <c r="C888" s="14"/>
      <c r="D888" s="14"/>
      <c r="E888" s="14"/>
      <c r="F888" s="53"/>
      <c r="G888" s="54"/>
      <c r="H888" s="54"/>
      <c r="I888" s="7"/>
      <c r="J888" s="9"/>
      <c r="K888" s="21"/>
      <c r="L888" s="21"/>
      <c r="M888" s="21"/>
      <c r="N888" s="21"/>
      <c r="O888" s="9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51"/>
      <c r="B889" s="14"/>
      <c r="C889" s="14"/>
      <c r="D889" s="14"/>
      <c r="E889" s="14"/>
      <c r="F889" s="53"/>
      <c r="G889" s="54"/>
      <c r="H889" s="54"/>
      <c r="I889" s="7"/>
      <c r="J889" s="9"/>
      <c r="K889" s="21"/>
      <c r="L889" s="21"/>
      <c r="M889" s="21"/>
      <c r="N889" s="21"/>
      <c r="O889" s="9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51"/>
      <c r="B890" s="14"/>
      <c r="C890" s="14"/>
      <c r="D890" s="14"/>
      <c r="E890" s="14"/>
      <c r="F890" s="53"/>
      <c r="G890" s="54"/>
      <c r="H890" s="54"/>
      <c r="I890" s="7"/>
      <c r="J890" s="9"/>
      <c r="K890" s="21"/>
      <c r="L890" s="21"/>
      <c r="M890" s="21"/>
      <c r="N890" s="21"/>
      <c r="O890" s="9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51"/>
      <c r="B891" s="14"/>
      <c r="C891" s="14"/>
      <c r="D891" s="14"/>
      <c r="E891" s="14"/>
      <c r="F891" s="53"/>
      <c r="G891" s="54"/>
      <c r="H891" s="54"/>
      <c r="I891" s="7"/>
      <c r="J891" s="9"/>
      <c r="K891" s="21"/>
      <c r="L891" s="21"/>
      <c r="M891" s="21"/>
      <c r="N891" s="21"/>
      <c r="O891" s="9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51"/>
      <c r="B892" s="14"/>
      <c r="C892" s="14"/>
      <c r="D892" s="14"/>
      <c r="E892" s="14"/>
      <c r="F892" s="53"/>
      <c r="G892" s="54"/>
      <c r="H892" s="54"/>
      <c r="I892" s="7"/>
      <c r="J892" s="9"/>
      <c r="K892" s="21"/>
      <c r="L892" s="21"/>
      <c r="M892" s="21"/>
      <c r="N892" s="21"/>
      <c r="O892" s="9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51"/>
      <c r="B893" s="14"/>
      <c r="C893" s="14"/>
      <c r="D893" s="14"/>
      <c r="E893" s="14"/>
      <c r="F893" s="53"/>
      <c r="G893" s="54"/>
      <c r="H893" s="54"/>
      <c r="I893" s="7"/>
      <c r="J893" s="9"/>
      <c r="K893" s="21"/>
      <c r="L893" s="21"/>
      <c r="M893" s="21"/>
      <c r="N893" s="21"/>
      <c r="O893" s="9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51"/>
      <c r="B894" s="14"/>
      <c r="C894" s="14"/>
      <c r="D894" s="14"/>
      <c r="E894" s="14"/>
      <c r="F894" s="53"/>
      <c r="G894" s="54"/>
      <c r="H894" s="54"/>
      <c r="I894" s="7"/>
      <c r="J894" s="9"/>
      <c r="K894" s="21"/>
      <c r="L894" s="21"/>
      <c r="M894" s="21"/>
      <c r="N894" s="21"/>
      <c r="O894" s="9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51"/>
      <c r="B895" s="14"/>
      <c r="C895" s="14"/>
      <c r="D895" s="14"/>
      <c r="E895" s="14"/>
      <c r="F895" s="53"/>
      <c r="G895" s="54"/>
      <c r="H895" s="54"/>
      <c r="I895" s="7"/>
      <c r="J895" s="9"/>
      <c r="K895" s="21"/>
      <c r="L895" s="21"/>
      <c r="M895" s="21"/>
      <c r="N895" s="21"/>
      <c r="O895" s="9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51"/>
      <c r="B896" s="14"/>
      <c r="C896" s="14"/>
      <c r="D896" s="14"/>
      <c r="E896" s="14"/>
      <c r="F896" s="53"/>
      <c r="G896" s="54"/>
      <c r="H896" s="54"/>
      <c r="I896" s="7"/>
      <c r="J896" s="9"/>
      <c r="K896" s="21"/>
      <c r="L896" s="21"/>
      <c r="M896" s="21"/>
      <c r="N896" s="21"/>
      <c r="O896" s="9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51"/>
      <c r="B897" s="14"/>
      <c r="C897" s="14"/>
      <c r="D897" s="14"/>
      <c r="E897" s="14"/>
      <c r="F897" s="53"/>
      <c r="G897" s="54"/>
      <c r="H897" s="54"/>
      <c r="I897" s="7"/>
      <c r="J897" s="9"/>
      <c r="K897" s="21"/>
      <c r="L897" s="21"/>
      <c r="M897" s="21"/>
      <c r="N897" s="21"/>
      <c r="O897" s="9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51"/>
      <c r="B898" s="14"/>
      <c r="C898" s="14"/>
      <c r="D898" s="14"/>
      <c r="E898" s="14"/>
      <c r="F898" s="53"/>
      <c r="G898" s="54"/>
      <c r="H898" s="54"/>
      <c r="I898" s="7"/>
      <c r="J898" s="9"/>
      <c r="K898" s="21"/>
      <c r="L898" s="21"/>
      <c r="M898" s="21"/>
      <c r="N898" s="21"/>
      <c r="O898" s="9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51"/>
      <c r="B899" s="14"/>
      <c r="C899" s="14"/>
      <c r="D899" s="14"/>
      <c r="E899" s="14"/>
      <c r="F899" s="53"/>
      <c r="G899" s="54"/>
      <c r="H899" s="54"/>
      <c r="I899" s="7"/>
      <c r="J899" s="9"/>
      <c r="K899" s="21"/>
      <c r="L899" s="21"/>
      <c r="M899" s="21"/>
      <c r="N899" s="21"/>
      <c r="O899" s="9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51"/>
      <c r="B900" s="14"/>
      <c r="C900" s="14"/>
      <c r="D900" s="14"/>
      <c r="E900" s="14"/>
      <c r="F900" s="53"/>
      <c r="G900" s="54"/>
      <c r="H900" s="54"/>
      <c r="I900" s="7"/>
      <c r="J900" s="9"/>
      <c r="K900" s="21"/>
      <c r="L900" s="21"/>
      <c r="M900" s="21"/>
      <c r="N900" s="21"/>
      <c r="O900" s="9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51"/>
      <c r="B901" s="14"/>
      <c r="C901" s="14"/>
      <c r="D901" s="14"/>
      <c r="E901" s="14"/>
      <c r="F901" s="53"/>
      <c r="G901" s="54"/>
      <c r="H901" s="54"/>
      <c r="I901" s="7"/>
      <c r="J901" s="9"/>
      <c r="K901" s="21"/>
      <c r="L901" s="21"/>
      <c r="M901" s="21"/>
      <c r="N901" s="21"/>
      <c r="O901" s="9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51"/>
      <c r="B902" s="14"/>
      <c r="C902" s="14"/>
      <c r="D902" s="14"/>
      <c r="E902" s="14"/>
      <c r="F902" s="53"/>
      <c r="G902" s="54"/>
      <c r="H902" s="54"/>
      <c r="I902" s="7"/>
      <c r="J902" s="9"/>
      <c r="K902" s="21"/>
      <c r="L902" s="21"/>
      <c r="M902" s="21"/>
      <c r="N902" s="21"/>
      <c r="O902" s="9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51"/>
      <c r="B903" s="14"/>
      <c r="C903" s="14"/>
      <c r="D903" s="14"/>
      <c r="E903" s="14"/>
      <c r="F903" s="53"/>
      <c r="G903" s="54"/>
      <c r="H903" s="54"/>
      <c r="I903" s="7"/>
      <c r="J903" s="9"/>
      <c r="K903" s="21"/>
      <c r="L903" s="21"/>
      <c r="M903" s="21"/>
      <c r="N903" s="21"/>
      <c r="O903" s="9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51"/>
      <c r="B904" s="14"/>
      <c r="C904" s="14"/>
      <c r="D904" s="14"/>
      <c r="E904" s="14"/>
      <c r="F904" s="53"/>
      <c r="G904" s="54"/>
      <c r="H904" s="54"/>
      <c r="I904" s="7"/>
      <c r="J904" s="9"/>
      <c r="K904" s="21"/>
      <c r="L904" s="21"/>
      <c r="M904" s="21"/>
      <c r="N904" s="21"/>
      <c r="O904" s="9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51"/>
      <c r="B905" s="14"/>
      <c r="C905" s="14"/>
      <c r="D905" s="14"/>
      <c r="E905" s="14"/>
      <c r="F905" s="53"/>
      <c r="G905" s="54"/>
      <c r="H905" s="54"/>
      <c r="I905" s="7"/>
      <c r="J905" s="9"/>
      <c r="K905" s="21"/>
      <c r="L905" s="21"/>
      <c r="M905" s="21"/>
      <c r="N905" s="21"/>
      <c r="O905" s="9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51"/>
      <c r="B906" s="14"/>
      <c r="C906" s="14"/>
      <c r="D906" s="14"/>
      <c r="E906" s="14"/>
      <c r="F906" s="53"/>
      <c r="G906" s="54"/>
      <c r="H906" s="54"/>
      <c r="I906" s="7"/>
      <c r="J906" s="9"/>
      <c r="K906" s="21"/>
      <c r="L906" s="21"/>
      <c r="M906" s="21"/>
      <c r="N906" s="21"/>
      <c r="O906" s="9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51"/>
      <c r="B907" s="14"/>
      <c r="C907" s="14"/>
      <c r="D907" s="14"/>
      <c r="E907" s="14"/>
      <c r="F907" s="53"/>
      <c r="G907" s="54"/>
      <c r="H907" s="54"/>
      <c r="I907" s="7"/>
      <c r="J907" s="9"/>
      <c r="K907" s="21"/>
      <c r="L907" s="21"/>
      <c r="M907" s="21"/>
      <c r="N907" s="21"/>
      <c r="O907" s="9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51"/>
      <c r="B908" s="14"/>
      <c r="C908" s="14"/>
      <c r="D908" s="14"/>
      <c r="E908" s="14"/>
      <c r="F908" s="53"/>
      <c r="G908" s="54"/>
      <c r="H908" s="54"/>
      <c r="I908" s="7"/>
      <c r="J908" s="9"/>
      <c r="K908" s="21"/>
      <c r="L908" s="21"/>
      <c r="M908" s="21"/>
      <c r="N908" s="21"/>
      <c r="O908" s="9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51"/>
      <c r="B909" s="14"/>
      <c r="C909" s="14"/>
      <c r="D909" s="14"/>
      <c r="E909" s="14"/>
      <c r="F909" s="53"/>
      <c r="G909" s="54"/>
      <c r="H909" s="54"/>
      <c r="I909" s="7"/>
      <c r="J909" s="9"/>
      <c r="K909" s="21"/>
      <c r="L909" s="21"/>
      <c r="M909" s="21"/>
      <c r="N909" s="21"/>
      <c r="O909" s="9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51"/>
      <c r="B910" s="14"/>
      <c r="C910" s="14"/>
      <c r="D910" s="14"/>
      <c r="E910" s="14"/>
      <c r="F910" s="53"/>
      <c r="G910" s="54"/>
      <c r="H910" s="54"/>
      <c r="I910" s="7"/>
      <c r="J910" s="9"/>
      <c r="K910" s="21"/>
      <c r="L910" s="21"/>
      <c r="M910" s="21"/>
      <c r="N910" s="21"/>
      <c r="O910" s="9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51"/>
      <c r="B911" s="14"/>
      <c r="C911" s="14"/>
      <c r="D911" s="14"/>
      <c r="E911" s="14"/>
      <c r="F911" s="53"/>
      <c r="G911" s="54"/>
      <c r="H911" s="54"/>
      <c r="I911" s="7"/>
      <c r="J911" s="9"/>
      <c r="K911" s="21"/>
      <c r="L911" s="21"/>
      <c r="M911" s="21"/>
      <c r="N911" s="21"/>
      <c r="O911" s="9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51"/>
      <c r="B912" s="14"/>
      <c r="C912" s="14"/>
      <c r="D912" s="14"/>
      <c r="E912" s="14"/>
      <c r="F912" s="53"/>
      <c r="G912" s="54"/>
      <c r="H912" s="54"/>
      <c r="I912" s="7"/>
      <c r="J912" s="9"/>
      <c r="K912" s="21"/>
      <c r="L912" s="21"/>
      <c r="M912" s="21"/>
      <c r="N912" s="21"/>
      <c r="O912" s="9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51"/>
      <c r="B913" s="14"/>
      <c r="C913" s="14"/>
      <c r="D913" s="14"/>
      <c r="E913" s="14"/>
      <c r="F913" s="53"/>
      <c r="G913" s="54"/>
      <c r="H913" s="54"/>
      <c r="I913" s="7"/>
      <c r="J913" s="9"/>
      <c r="K913" s="21"/>
      <c r="L913" s="21"/>
      <c r="M913" s="21"/>
      <c r="N913" s="21"/>
      <c r="O913" s="9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51"/>
      <c r="B914" s="14"/>
      <c r="C914" s="14"/>
      <c r="D914" s="14"/>
      <c r="E914" s="14"/>
      <c r="F914" s="53"/>
      <c r="G914" s="54"/>
      <c r="H914" s="54"/>
      <c r="I914" s="7"/>
      <c r="J914" s="9"/>
      <c r="K914" s="21"/>
      <c r="L914" s="21"/>
      <c r="M914" s="21"/>
      <c r="N914" s="21"/>
      <c r="O914" s="9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51"/>
      <c r="B915" s="14"/>
      <c r="C915" s="14"/>
      <c r="D915" s="14"/>
      <c r="E915" s="14"/>
      <c r="F915" s="53"/>
      <c r="G915" s="54"/>
      <c r="H915" s="54"/>
      <c r="I915" s="7"/>
      <c r="J915" s="9"/>
      <c r="K915" s="21"/>
      <c r="L915" s="21"/>
      <c r="M915" s="21"/>
      <c r="N915" s="21"/>
      <c r="O915" s="9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51"/>
      <c r="B916" s="14"/>
      <c r="C916" s="14"/>
      <c r="D916" s="14"/>
      <c r="E916" s="14"/>
      <c r="F916" s="53"/>
      <c r="G916" s="54"/>
      <c r="H916" s="54"/>
      <c r="I916" s="7"/>
      <c r="J916" s="9"/>
      <c r="K916" s="21"/>
      <c r="L916" s="21"/>
      <c r="M916" s="21"/>
      <c r="N916" s="21"/>
      <c r="O916" s="9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51"/>
      <c r="B917" s="14"/>
      <c r="C917" s="14"/>
      <c r="D917" s="14"/>
      <c r="E917" s="14"/>
      <c r="F917" s="53"/>
      <c r="G917" s="54"/>
      <c r="H917" s="54"/>
      <c r="I917" s="7"/>
      <c r="J917" s="9"/>
      <c r="K917" s="21"/>
      <c r="L917" s="21"/>
      <c r="M917" s="21"/>
      <c r="N917" s="21"/>
      <c r="O917" s="9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51"/>
      <c r="B918" s="14"/>
      <c r="C918" s="14"/>
      <c r="D918" s="14"/>
      <c r="E918" s="14"/>
      <c r="F918" s="53"/>
      <c r="G918" s="54"/>
      <c r="H918" s="54"/>
      <c r="I918" s="7"/>
      <c r="J918" s="9"/>
      <c r="K918" s="21"/>
      <c r="L918" s="21"/>
      <c r="M918" s="21"/>
      <c r="N918" s="21"/>
      <c r="O918" s="9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51"/>
      <c r="B919" s="14"/>
      <c r="C919" s="14"/>
      <c r="D919" s="14"/>
      <c r="E919" s="14"/>
      <c r="F919" s="53"/>
      <c r="G919" s="54"/>
      <c r="H919" s="54"/>
      <c r="I919" s="7"/>
      <c r="J919" s="9"/>
      <c r="K919" s="21"/>
      <c r="L919" s="21"/>
      <c r="M919" s="21"/>
      <c r="N919" s="21"/>
      <c r="O919" s="9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51"/>
      <c r="B920" s="14"/>
      <c r="C920" s="14"/>
      <c r="D920" s="14"/>
      <c r="E920" s="14"/>
      <c r="F920" s="53"/>
      <c r="G920" s="54"/>
      <c r="H920" s="54"/>
      <c r="I920" s="7"/>
      <c r="J920" s="9"/>
      <c r="K920" s="21"/>
      <c r="L920" s="21"/>
      <c r="M920" s="21"/>
      <c r="N920" s="21"/>
      <c r="O920" s="9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51"/>
      <c r="B921" s="14"/>
      <c r="C921" s="14"/>
      <c r="D921" s="14"/>
      <c r="E921" s="14"/>
      <c r="F921" s="53"/>
      <c r="G921" s="54"/>
      <c r="H921" s="54"/>
      <c r="I921" s="7"/>
      <c r="J921" s="9"/>
      <c r="K921" s="21"/>
      <c r="L921" s="21"/>
      <c r="M921" s="21"/>
      <c r="N921" s="21"/>
      <c r="O921" s="9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51"/>
      <c r="B922" s="14"/>
      <c r="C922" s="14"/>
      <c r="D922" s="14"/>
      <c r="E922" s="14"/>
      <c r="F922" s="53"/>
      <c r="G922" s="54"/>
      <c r="H922" s="54"/>
      <c r="I922" s="7"/>
      <c r="J922" s="9"/>
      <c r="K922" s="21"/>
      <c r="L922" s="21"/>
      <c r="M922" s="21"/>
      <c r="N922" s="21"/>
      <c r="O922" s="9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51"/>
      <c r="B923" s="14"/>
      <c r="C923" s="14"/>
      <c r="D923" s="14"/>
      <c r="E923" s="14"/>
      <c r="F923" s="53"/>
      <c r="G923" s="54"/>
      <c r="H923" s="54"/>
      <c r="I923" s="7"/>
      <c r="J923" s="9"/>
      <c r="K923" s="21"/>
      <c r="L923" s="21"/>
      <c r="M923" s="21"/>
      <c r="N923" s="21"/>
      <c r="O923" s="9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51"/>
      <c r="B924" s="14"/>
      <c r="C924" s="14"/>
      <c r="D924" s="14"/>
      <c r="E924" s="14"/>
      <c r="F924" s="53"/>
      <c r="G924" s="54"/>
      <c r="H924" s="54"/>
      <c r="I924" s="7"/>
      <c r="J924" s="9"/>
      <c r="K924" s="21"/>
      <c r="L924" s="21"/>
      <c r="M924" s="21"/>
      <c r="N924" s="21"/>
      <c r="O924" s="9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51"/>
      <c r="B925" s="14"/>
      <c r="C925" s="14"/>
      <c r="D925" s="14"/>
      <c r="E925" s="14"/>
      <c r="F925" s="53"/>
      <c r="G925" s="54"/>
      <c r="H925" s="54"/>
      <c r="I925" s="7"/>
      <c r="J925" s="9"/>
      <c r="K925" s="21"/>
      <c r="L925" s="21"/>
      <c r="M925" s="21"/>
      <c r="N925" s="21"/>
      <c r="O925" s="9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51"/>
      <c r="B926" s="14"/>
      <c r="C926" s="14"/>
      <c r="D926" s="14"/>
      <c r="E926" s="14"/>
      <c r="F926" s="53"/>
      <c r="G926" s="54"/>
      <c r="H926" s="54"/>
      <c r="I926" s="7"/>
      <c r="J926" s="9"/>
      <c r="K926" s="21"/>
      <c r="L926" s="21"/>
      <c r="M926" s="21"/>
      <c r="N926" s="21"/>
      <c r="O926" s="9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51"/>
      <c r="B927" s="14"/>
      <c r="C927" s="14"/>
      <c r="D927" s="14"/>
      <c r="E927" s="14"/>
      <c r="F927" s="53"/>
      <c r="G927" s="54"/>
      <c r="H927" s="54"/>
      <c r="I927" s="7"/>
      <c r="J927" s="9"/>
      <c r="K927" s="21"/>
      <c r="L927" s="21"/>
      <c r="M927" s="21"/>
      <c r="N927" s="21"/>
      <c r="O927" s="9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51"/>
      <c r="B928" s="14"/>
      <c r="C928" s="14"/>
      <c r="D928" s="14"/>
      <c r="E928" s="14"/>
      <c r="F928" s="53"/>
      <c r="G928" s="54"/>
      <c r="H928" s="54"/>
      <c r="I928" s="7"/>
      <c r="J928" s="9"/>
      <c r="K928" s="21"/>
      <c r="L928" s="21"/>
      <c r="M928" s="21"/>
      <c r="N928" s="21"/>
      <c r="O928" s="9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51"/>
      <c r="B929" s="14"/>
      <c r="C929" s="14"/>
      <c r="D929" s="14"/>
      <c r="E929" s="14"/>
      <c r="F929" s="53"/>
      <c r="G929" s="54"/>
      <c r="H929" s="54"/>
      <c r="I929" s="7"/>
      <c r="J929" s="9"/>
      <c r="K929" s="21"/>
      <c r="L929" s="21"/>
      <c r="M929" s="21"/>
      <c r="N929" s="21"/>
      <c r="O929" s="9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51"/>
      <c r="B930" s="14"/>
      <c r="C930" s="14"/>
      <c r="D930" s="14"/>
      <c r="E930" s="14"/>
      <c r="F930" s="53"/>
      <c r="G930" s="54"/>
      <c r="H930" s="54"/>
      <c r="I930" s="7"/>
      <c r="J930" s="9"/>
      <c r="K930" s="21"/>
      <c r="L930" s="21"/>
      <c r="M930" s="21"/>
      <c r="N930" s="21"/>
      <c r="O930" s="9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51"/>
      <c r="B931" s="14"/>
      <c r="C931" s="14"/>
      <c r="D931" s="14"/>
      <c r="E931" s="14"/>
      <c r="F931" s="53"/>
      <c r="G931" s="54"/>
      <c r="H931" s="54"/>
      <c r="I931" s="7"/>
      <c r="J931" s="9"/>
      <c r="K931" s="21"/>
      <c r="L931" s="21"/>
      <c r="M931" s="21"/>
      <c r="N931" s="21"/>
      <c r="O931" s="9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51"/>
      <c r="B932" s="14"/>
      <c r="C932" s="14"/>
      <c r="D932" s="14"/>
      <c r="E932" s="14"/>
      <c r="F932" s="53"/>
      <c r="G932" s="54"/>
      <c r="H932" s="54"/>
      <c r="I932" s="7"/>
      <c r="J932" s="9"/>
      <c r="K932" s="21"/>
      <c r="L932" s="21"/>
      <c r="M932" s="21"/>
      <c r="N932" s="21"/>
      <c r="O932" s="9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51"/>
      <c r="B933" s="14"/>
      <c r="C933" s="14"/>
      <c r="D933" s="14"/>
      <c r="E933" s="14"/>
      <c r="F933" s="53"/>
      <c r="G933" s="54"/>
      <c r="H933" s="54"/>
      <c r="I933" s="7"/>
      <c r="J933" s="9"/>
      <c r="K933" s="21"/>
      <c r="L933" s="21"/>
      <c r="M933" s="21"/>
      <c r="N933" s="21"/>
      <c r="O933" s="9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51"/>
      <c r="B934" s="14"/>
      <c r="C934" s="14"/>
      <c r="D934" s="14"/>
      <c r="E934" s="14"/>
      <c r="F934" s="53"/>
      <c r="G934" s="54"/>
      <c r="H934" s="54"/>
      <c r="I934" s="7"/>
      <c r="J934" s="9"/>
      <c r="K934" s="21"/>
      <c r="L934" s="21"/>
      <c r="M934" s="21"/>
      <c r="N934" s="21"/>
      <c r="O934" s="9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51"/>
      <c r="B935" s="14"/>
      <c r="C935" s="14"/>
      <c r="D935" s="14"/>
      <c r="E935" s="14"/>
      <c r="F935" s="53"/>
      <c r="G935" s="54"/>
      <c r="H935" s="54"/>
      <c r="I935" s="7"/>
      <c r="J935" s="9"/>
      <c r="K935" s="21"/>
      <c r="L935" s="21"/>
      <c r="M935" s="21"/>
      <c r="N935" s="21"/>
      <c r="O935" s="9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51"/>
      <c r="B936" s="14"/>
      <c r="C936" s="14"/>
      <c r="D936" s="14"/>
      <c r="E936" s="14"/>
      <c r="F936" s="53"/>
      <c r="G936" s="54"/>
      <c r="H936" s="54"/>
      <c r="I936" s="7"/>
      <c r="J936" s="9"/>
      <c r="K936" s="21"/>
      <c r="L936" s="21"/>
      <c r="M936" s="21"/>
      <c r="N936" s="21"/>
      <c r="O936" s="9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51"/>
      <c r="B937" s="14"/>
      <c r="C937" s="14"/>
      <c r="D937" s="14"/>
      <c r="E937" s="14"/>
      <c r="F937" s="53"/>
      <c r="G937" s="54"/>
      <c r="H937" s="54"/>
      <c r="I937" s="7"/>
      <c r="J937" s="9"/>
      <c r="K937" s="21"/>
      <c r="L937" s="21"/>
      <c r="M937" s="21"/>
      <c r="N937" s="21"/>
      <c r="O937" s="9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51"/>
      <c r="B938" s="14"/>
      <c r="C938" s="14"/>
      <c r="D938" s="14"/>
      <c r="E938" s="14"/>
      <c r="F938" s="53"/>
      <c r="G938" s="54"/>
      <c r="H938" s="54"/>
      <c r="I938" s="7"/>
      <c r="J938" s="9"/>
      <c r="K938" s="21"/>
      <c r="L938" s="21"/>
      <c r="M938" s="21"/>
      <c r="N938" s="21"/>
      <c r="O938" s="9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51"/>
      <c r="B939" s="14"/>
      <c r="C939" s="14"/>
      <c r="D939" s="14"/>
      <c r="E939" s="14"/>
      <c r="F939" s="53"/>
      <c r="G939" s="54"/>
      <c r="H939" s="54"/>
      <c r="I939" s="7"/>
      <c r="J939" s="9"/>
      <c r="K939" s="21"/>
      <c r="L939" s="21"/>
      <c r="M939" s="21"/>
      <c r="N939" s="21"/>
      <c r="O939" s="9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51"/>
      <c r="B940" s="14"/>
      <c r="C940" s="14"/>
      <c r="D940" s="14"/>
      <c r="E940" s="14"/>
      <c r="F940" s="53"/>
      <c r="G940" s="54"/>
      <c r="H940" s="54"/>
      <c r="I940" s="7"/>
      <c r="J940" s="9"/>
      <c r="K940" s="21"/>
      <c r="L940" s="21"/>
      <c r="M940" s="21"/>
      <c r="N940" s="21"/>
      <c r="O940" s="9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51"/>
      <c r="B941" s="14"/>
      <c r="C941" s="14"/>
      <c r="D941" s="14"/>
      <c r="E941" s="14"/>
      <c r="F941" s="53"/>
      <c r="G941" s="54"/>
      <c r="H941" s="54"/>
      <c r="I941" s="7"/>
      <c r="J941" s="9"/>
      <c r="K941" s="21"/>
      <c r="L941" s="21"/>
      <c r="M941" s="21"/>
      <c r="N941" s="21"/>
      <c r="O941" s="9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51"/>
      <c r="B942" s="14"/>
      <c r="C942" s="14"/>
      <c r="D942" s="14"/>
      <c r="E942" s="14"/>
      <c r="F942" s="53"/>
      <c r="G942" s="54"/>
      <c r="H942" s="54"/>
      <c r="I942" s="7"/>
      <c r="J942" s="9"/>
      <c r="K942" s="21"/>
      <c r="L942" s="21"/>
      <c r="M942" s="21"/>
      <c r="N942" s="21"/>
      <c r="O942" s="9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51"/>
      <c r="B943" s="14"/>
      <c r="C943" s="14"/>
      <c r="D943" s="14"/>
      <c r="E943" s="14"/>
      <c r="F943" s="53"/>
      <c r="G943" s="54"/>
      <c r="H943" s="54"/>
      <c r="I943" s="7"/>
      <c r="J943" s="9"/>
      <c r="K943" s="21"/>
      <c r="L943" s="21"/>
      <c r="M943" s="21"/>
      <c r="N943" s="21"/>
      <c r="O943" s="9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51"/>
      <c r="B944" s="14"/>
      <c r="C944" s="14"/>
      <c r="D944" s="14"/>
      <c r="E944" s="14"/>
      <c r="F944" s="53"/>
      <c r="G944" s="54"/>
      <c r="H944" s="54"/>
      <c r="I944" s="7"/>
      <c r="J944" s="9"/>
      <c r="K944" s="21"/>
      <c r="L944" s="21"/>
      <c r="M944" s="21"/>
      <c r="N944" s="21"/>
      <c r="O944" s="9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51"/>
      <c r="B945" s="14"/>
      <c r="C945" s="14"/>
      <c r="D945" s="14"/>
      <c r="E945" s="14"/>
      <c r="F945" s="53"/>
      <c r="G945" s="54"/>
      <c r="H945" s="54"/>
      <c r="I945" s="7"/>
      <c r="J945" s="9"/>
      <c r="K945" s="21"/>
      <c r="L945" s="21"/>
      <c r="M945" s="21"/>
      <c r="N945" s="21"/>
      <c r="O945" s="9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51"/>
      <c r="B946" s="14"/>
      <c r="C946" s="14"/>
      <c r="D946" s="14"/>
      <c r="E946" s="14"/>
      <c r="F946" s="53"/>
      <c r="G946" s="54"/>
      <c r="H946" s="54"/>
      <c r="I946" s="7"/>
      <c r="J946" s="9"/>
      <c r="K946" s="21"/>
      <c r="L946" s="21"/>
      <c r="M946" s="21"/>
      <c r="N946" s="21"/>
      <c r="O946" s="9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51"/>
      <c r="B947" s="14"/>
      <c r="C947" s="14"/>
      <c r="D947" s="14"/>
      <c r="E947" s="14"/>
      <c r="F947" s="53"/>
      <c r="G947" s="54"/>
      <c r="H947" s="54"/>
      <c r="I947" s="7"/>
      <c r="J947" s="9"/>
      <c r="K947" s="21"/>
      <c r="L947" s="21"/>
      <c r="M947" s="21"/>
      <c r="N947" s="21"/>
      <c r="O947" s="9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51"/>
      <c r="B948" s="14"/>
      <c r="C948" s="14"/>
      <c r="D948" s="14"/>
      <c r="E948" s="14"/>
      <c r="F948" s="53"/>
      <c r="G948" s="54"/>
      <c r="H948" s="54"/>
      <c r="I948" s="7"/>
      <c r="J948" s="9"/>
      <c r="K948" s="21"/>
      <c r="L948" s="21"/>
      <c r="M948" s="21"/>
      <c r="N948" s="21"/>
      <c r="O948" s="9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51"/>
      <c r="B949" s="14"/>
      <c r="C949" s="14"/>
      <c r="D949" s="14"/>
      <c r="E949" s="14"/>
      <c r="F949" s="53"/>
      <c r="G949" s="54"/>
      <c r="H949" s="54"/>
      <c r="I949" s="7"/>
      <c r="J949" s="9"/>
      <c r="K949" s="21"/>
      <c r="L949" s="21"/>
      <c r="M949" s="21"/>
      <c r="N949" s="21"/>
      <c r="O949" s="9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51"/>
      <c r="B950" s="14"/>
      <c r="C950" s="14"/>
      <c r="D950" s="14"/>
      <c r="E950" s="14"/>
      <c r="F950" s="53"/>
      <c r="G950" s="54"/>
      <c r="H950" s="54"/>
      <c r="I950" s="7"/>
      <c r="J950" s="9"/>
      <c r="K950" s="21"/>
      <c r="L950" s="21"/>
      <c r="M950" s="21"/>
      <c r="N950" s="21"/>
      <c r="O950" s="9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51"/>
      <c r="B951" s="14"/>
      <c r="C951" s="14"/>
      <c r="D951" s="14"/>
      <c r="E951" s="14"/>
      <c r="F951" s="53"/>
      <c r="G951" s="54"/>
      <c r="H951" s="54"/>
      <c r="I951" s="7"/>
      <c r="J951" s="9"/>
      <c r="K951" s="21"/>
      <c r="L951" s="21"/>
      <c r="M951" s="21"/>
      <c r="N951" s="21"/>
      <c r="O951" s="9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51"/>
      <c r="B952" s="14"/>
      <c r="C952" s="14"/>
      <c r="D952" s="14"/>
      <c r="E952" s="14"/>
      <c r="F952" s="53"/>
      <c r="G952" s="54"/>
      <c r="H952" s="54"/>
      <c r="I952" s="7"/>
      <c r="J952" s="9"/>
      <c r="K952" s="21"/>
      <c r="L952" s="21"/>
      <c r="M952" s="21"/>
      <c r="N952" s="21"/>
      <c r="O952" s="9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51"/>
      <c r="B953" s="14"/>
      <c r="C953" s="14"/>
      <c r="D953" s="14"/>
      <c r="E953" s="14"/>
      <c r="F953" s="53"/>
      <c r="G953" s="54"/>
      <c r="H953" s="54"/>
      <c r="I953" s="7"/>
      <c r="J953" s="9"/>
      <c r="K953" s="21"/>
      <c r="L953" s="21"/>
      <c r="M953" s="21"/>
      <c r="N953" s="21"/>
      <c r="O953" s="9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51"/>
      <c r="B954" s="14"/>
      <c r="C954" s="14"/>
      <c r="D954" s="14"/>
      <c r="E954" s="14"/>
      <c r="F954" s="53"/>
      <c r="G954" s="54"/>
      <c r="H954" s="54"/>
      <c r="I954" s="7"/>
      <c r="J954" s="9"/>
      <c r="K954" s="21"/>
      <c r="L954" s="21"/>
      <c r="M954" s="21"/>
      <c r="N954" s="21"/>
      <c r="O954" s="9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51"/>
      <c r="B955" s="14"/>
      <c r="C955" s="14"/>
      <c r="D955" s="14"/>
      <c r="E955" s="14"/>
      <c r="F955" s="53"/>
      <c r="G955" s="54"/>
      <c r="H955" s="54"/>
      <c r="I955" s="7"/>
      <c r="J955" s="9"/>
      <c r="K955" s="21"/>
      <c r="L955" s="21"/>
      <c r="M955" s="21"/>
      <c r="N955" s="21"/>
      <c r="O955" s="9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51"/>
      <c r="B956" s="14"/>
      <c r="C956" s="14"/>
      <c r="D956" s="14"/>
      <c r="E956" s="14"/>
      <c r="F956" s="53"/>
      <c r="G956" s="54"/>
      <c r="H956" s="54"/>
      <c r="I956" s="7"/>
      <c r="J956" s="9"/>
      <c r="K956" s="21"/>
      <c r="L956" s="21"/>
      <c r="M956" s="21"/>
      <c r="N956" s="21"/>
      <c r="O956" s="9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51"/>
      <c r="B957" s="14"/>
      <c r="C957" s="14"/>
      <c r="D957" s="14"/>
      <c r="E957" s="14"/>
      <c r="F957" s="53"/>
      <c r="G957" s="54"/>
      <c r="H957" s="54"/>
      <c r="I957" s="7"/>
      <c r="J957" s="9"/>
      <c r="K957" s="21"/>
      <c r="L957" s="21"/>
      <c r="M957" s="21"/>
      <c r="N957" s="21"/>
      <c r="O957" s="9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51"/>
      <c r="B958" s="14"/>
      <c r="C958" s="14"/>
      <c r="D958" s="14"/>
      <c r="E958" s="14"/>
      <c r="F958" s="53"/>
      <c r="G958" s="54"/>
      <c r="H958" s="54"/>
      <c r="I958" s="7"/>
      <c r="J958" s="9"/>
      <c r="K958" s="21"/>
      <c r="L958" s="21"/>
      <c r="M958" s="21"/>
      <c r="N958" s="21"/>
      <c r="O958" s="9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51"/>
      <c r="B959" s="14"/>
      <c r="C959" s="14"/>
      <c r="D959" s="14"/>
      <c r="E959" s="14"/>
      <c r="F959" s="53"/>
      <c r="G959" s="54"/>
      <c r="H959" s="54"/>
      <c r="I959" s="7"/>
      <c r="J959" s="9"/>
      <c r="K959" s="21"/>
      <c r="L959" s="21"/>
      <c r="M959" s="21"/>
      <c r="N959" s="21"/>
      <c r="O959" s="9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51"/>
      <c r="B960" s="14"/>
      <c r="C960" s="14"/>
      <c r="D960" s="14"/>
      <c r="E960" s="14"/>
      <c r="F960" s="53"/>
      <c r="G960" s="54"/>
      <c r="H960" s="54"/>
      <c r="I960" s="7"/>
      <c r="J960" s="9"/>
      <c r="K960" s="21"/>
      <c r="L960" s="21"/>
      <c r="M960" s="21"/>
      <c r="N960" s="21"/>
      <c r="O960" s="9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51"/>
      <c r="B961" s="14"/>
      <c r="C961" s="14"/>
      <c r="D961" s="14"/>
      <c r="E961" s="14"/>
      <c r="F961" s="53"/>
      <c r="G961" s="54"/>
      <c r="H961" s="54"/>
      <c r="I961" s="7"/>
      <c r="J961" s="9"/>
      <c r="K961" s="21"/>
      <c r="L961" s="21"/>
      <c r="M961" s="21"/>
      <c r="N961" s="21"/>
      <c r="O961" s="9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51"/>
      <c r="B962" s="14"/>
      <c r="C962" s="14"/>
      <c r="D962" s="14"/>
      <c r="E962" s="14"/>
      <c r="F962" s="53"/>
      <c r="G962" s="54"/>
      <c r="H962" s="54"/>
      <c r="I962" s="7"/>
      <c r="J962" s="9"/>
      <c r="K962" s="21"/>
      <c r="L962" s="21"/>
      <c r="M962" s="21"/>
      <c r="N962" s="21"/>
      <c r="O962" s="9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51"/>
      <c r="B963" s="14"/>
      <c r="C963" s="14"/>
      <c r="D963" s="14"/>
      <c r="E963" s="14"/>
      <c r="F963" s="53"/>
      <c r="G963" s="54"/>
      <c r="H963" s="54"/>
      <c r="I963" s="7"/>
      <c r="J963" s="9"/>
      <c r="K963" s="21"/>
      <c r="L963" s="21"/>
      <c r="M963" s="21"/>
      <c r="N963" s="21"/>
      <c r="O963" s="9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51"/>
      <c r="B964" s="14"/>
      <c r="C964" s="14"/>
      <c r="D964" s="14"/>
      <c r="E964" s="14"/>
      <c r="F964" s="53"/>
      <c r="G964" s="54"/>
      <c r="H964" s="54"/>
      <c r="I964" s="7"/>
      <c r="J964" s="9"/>
      <c r="K964" s="21"/>
      <c r="L964" s="21"/>
      <c r="M964" s="21"/>
      <c r="N964" s="21"/>
      <c r="O964" s="9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51"/>
      <c r="B965" s="14"/>
      <c r="C965" s="14"/>
      <c r="D965" s="14"/>
      <c r="E965" s="14"/>
      <c r="F965" s="53"/>
      <c r="G965" s="54"/>
      <c r="H965" s="54"/>
      <c r="I965" s="7"/>
      <c r="J965" s="9"/>
      <c r="K965" s="21"/>
      <c r="L965" s="21"/>
      <c r="M965" s="21"/>
      <c r="N965" s="21"/>
      <c r="O965" s="9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51"/>
      <c r="B966" s="14"/>
      <c r="C966" s="14"/>
      <c r="D966" s="14"/>
      <c r="E966" s="14"/>
      <c r="F966" s="53"/>
      <c r="G966" s="54"/>
      <c r="H966" s="54"/>
      <c r="I966" s="7"/>
      <c r="J966" s="9"/>
      <c r="K966" s="21"/>
      <c r="L966" s="21"/>
      <c r="M966" s="21"/>
      <c r="N966" s="21"/>
      <c r="O966" s="9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51"/>
      <c r="B967" s="14"/>
      <c r="C967" s="14"/>
      <c r="D967" s="14"/>
      <c r="E967" s="14"/>
      <c r="F967" s="53"/>
      <c r="G967" s="54"/>
      <c r="H967" s="54"/>
      <c r="I967" s="7"/>
      <c r="J967" s="9"/>
      <c r="K967" s="21"/>
      <c r="L967" s="21"/>
      <c r="M967" s="21"/>
      <c r="N967" s="21"/>
      <c r="O967" s="9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51"/>
      <c r="B968" s="14"/>
      <c r="C968" s="14"/>
      <c r="D968" s="14"/>
      <c r="E968" s="14"/>
      <c r="F968" s="53"/>
      <c r="G968" s="54"/>
      <c r="H968" s="54"/>
      <c r="I968" s="7"/>
      <c r="J968" s="9"/>
      <c r="K968" s="21"/>
      <c r="L968" s="21"/>
      <c r="M968" s="21"/>
      <c r="N968" s="21"/>
      <c r="O968" s="9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51"/>
      <c r="B969" s="14"/>
      <c r="C969" s="14"/>
      <c r="D969" s="14"/>
      <c r="E969" s="14"/>
      <c r="F969" s="53"/>
      <c r="G969" s="54"/>
      <c r="H969" s="54"/>
      <c r="I969" s="7"/>
      <c r="J969" s="9"/>
      <c r="K969" s="21"/>
      <c r="L969" s="21"/>
      <c r="M969" s="21"/>
      <c r="N969" s="21"/>
      <c r="O969" s="9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51"/>
      <c r="B970" s="14"/>
      <c r="C970" s="14"/>
      <c r="D970" s="14"/>
      <c r="E970" s="14"/>
      <c r="F970" s="53"/>
      <c r="G970" s="54"/>
      <c r="H970" s="54"/>
      <c r="I970" s="7"/>
      <c r="J970" s="9"/>
      <c r="K970" s="21"/>
      <c r="L970" s="21"/>
      <c r="M970" s="21"/>
      <c r="N970" s="21"/>
      <c r="O970" s="9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51"/>
      <c r="B971" s="14"/>
      <c r="C971" s="14"/>
      <c r="D971" s="14"/>
      <c r="E971" s="14"/>
      <c r="F971" s="53"/>
      <c r="G971" s="54"/>
      <c r="H971" s="54"/>
      <c r="I971" s="7"/>
      <c r="J971" s="9"/>
      <c r="K971" s="21"/>
      <c r="L971" s="21"/>
      <c r="M971" s="21"/>
      <c r="N971" s="21"/>
      <c r="O971" s="9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51"/>
      <c r="B972" s="14"/>
      <c r="C972" s="14"/>
      <c r="D972" s="14"/>
      <c r="E972" s="14"/>
      <c r="F972" s="53"/>
      <c r="G972" s="54"/>
      <c r="H972" s="54"/>
      <c r="I972" s="7"/>
      <c r="J972" s="9"/>
      <c r="K972" s="21"/>
      <c r="L972" s="21"/>
      <c r="M972" s="21"/>
      <c r="N972" s="21"/>
      <c r="O972" s="9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51"/>
      <c r="B973" s="14"/>
      <c r="C973" s="14"/>
      <c r="D973" s="14"/>
      <c r="E973" s="14"/>
      <c r="F973" s="53"/>
      <c r="G973" s="54"/>
      <c r="H973" s="54"/>
      <c r="I973" s="7"/>
      <c r="J973" s="9"/>
      <c r="K973" s="21"/>
      <c r="L973" s="21"/>
      <c r="M973" s="21"/>
      <c r="N973" s="21"/>
      <c r="O973" s="9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51"/>
      <c r="B974" s="14"/>
      <c r="C974" s="14"/>
      <c r="D974" s="14"/>
      <c r="E974" s="14"/>
      <c r="F974" s="53"/>
      <c r="G974" s="54"/>
      <c r="H974" s="54"/>
      <c r="I974" s="7"/>
      <c r="J974" s="9"/>
      <c r="K974" s="21"/>
      <c r="L974" s="21"/>
      <c r="M974" s="21"/>
      <c r="N974" s="21"/>
      <c r="O974" s="9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51"/>
      <c r="B975" s="14"/>
      <c r="C975" s="14"/>
      <c r="D975" s="14"/>
      <c r="E975" s="14"/>
      <c r="F975" s="53"/>
      <c r="G975" s="54"/>
      <c r="H975" s="54"/>
      <c r="I975" s="7"/>
      <c r="J975" s="9"/>
      <c r="K975" s="21"/>
      <c r="L975" s="21"/>
      <c r="M975" s="21"/>
      <c r="N975" s="21"/>
      <c r="O975" s="9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51"/>
      <c r="B976" s="14"/>
      <c r="C976" s="14"/>
      <c r="D976" s="14"/>
      <c r="E976" s="14"/>
      <c r="F976" s="53"/>
      <c r="G976" s="54"/>
      <c r="H976" s="54"/>
      <c r="I976" s="7"/>
      <c r="J976" s="9"/>
      <c r="K976" s="21"/>
      <c r="L976" s="21"/>
      <c r="M976" s="21"/>
      <c r="N976" s="21"/>
      <c r="O976" s="9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51"/>
      <c r="B977" s="14"/>
      <c r="C977" s="14"/>
      <c r="D977" s="14"/>
      <c r="E977" s="14"/>
      <c r="F977" s="53"/>
      <c r="G977" s="54"/>
      <c r="H977" s="54"/>
      <c r="I977" s="7"/>
      <c r="J977" s="9"/>
      <c r="K977" s="21"/>
      <c r="L977" s="21"/>
      <c r="M977" s="21"/>
      <c r="N977" s="21"/>
      <c r="O977" s="9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51"/>
      <c r="B978" s="14"/>
      <c r="C978" s="14"/>
      <c r="D978" s="14"/>
      <c r="E978" s="14"/>
      <c r="F978" s="53"/>
      <c r="G978" s="54"/>
      <c r="H978" s="54"/>
      <c r="I978" s="7"/>
      <c r="J978" s="9"/>
      <c r="K978" s="21"/>
      <c r="L978" s="21"/>
      <c r="M978" s="21"/>
      <c r="N978" s="21"/>
      <c r="O978" s="9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51"/>
      <c r="B979" s="14"/>
      <c r="C979" s="14"/>
      <c r="D979" s="14"/>
      <c r="E979" s="14"/>
      <c r="F979" s="53"/>
      <c r="G979" s="54"/>
      <c r="H979" s="54"/>
      <c r="I979" s="7"/>
      <c r="J979" s="9"/>
      <c r="K979" s="21"/>
      <c r="L979" s="21"/>
      <c r="M979" s="21"/>
      <c r="N979" s="21"/>
      <c r="O979" s="9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51"/>
      <c r="B980" s="14"/>
      <c r="C980" s="14"/>
      <c r="D980" s="14"/>
      <c r="E980" s="14"/>
      <c r="F980" s="53"/>
      <c r="G980" s="54"/>
      <c r="H980" s="54"/>
      <c r="I980" s="7"/>
      <c r="J980" s="9"/>
      <c r="K980" s="21"/>
      <c r="L980" s="21"/>
      <c r="M980" s="21"/>
      <c r="N980" s="21"/>
      <c r="O980" s="9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51"/>
      <c r="B981" s="14"/>
      <c r="C981" s="14"/>
      <c r="D981" s="14"/>
      <c r="E981" s="14"/>
      <c r="F981" s="53"/>
      <c r="G981" s="54"/>
      <c r="H981" s="54"/>
      <c r="I981" s="7"/>
      <c r="J981" s="9"/>
      <c r="K981" s="21"/>
      <c r="L981" s="21"/>
      <c r="M981" s="21"/>
      <c r="N981" s="21"/>
      <c r="O981" s="9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51"/>
      <c r="B982" s="14"/>
      <c r="C982" s="14"/>
      <c r="D982" s="14"/>
      <c r="E982" s="14"/>
      <c r="F982" s="53"/>
      <c r="G982" s="54"/>
      <c r="H982" s="54"/>
      <c r="I982" s="7"/>
      <c r="J982" s="9"/>
      <c r="K982" s="21"/>
      <c r="L982" s="21"/>
      <c r="M982" s="21"/>
      <c r="N982" s="21"/>
      <c r="O982" s="9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51"/>
      <c r="B983" s="14"/>
      <c r="C983" s="14"/>
      <c r="D983" s="14"/>
      <c r="E983" s="14"/>
      <c r="F983" s="53"/>
      <c r="G983" s="54"/>
      <c r="H983" s="54"/>
      <c r="I983" s="7"/>
      <c r="J983" s="9"/>
      <c r="K983" s="21"/>
      <c r="L983" s="21"/>
      <c r="M983" s="21"/>
      <c r="N983" s="21"/>
      <c r="O983" s="9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51"/>
      <c r="B984" s="14"/>
      <c r="C984" s="14"/>
      <c r="D984" s="14"/>
      <c r="E984" s="14"/>
      <c r="F984" s="53"/>
      <c r="G984" s="54"/>
      <c r="H984" s="54"/>
      <c r="I984" s="7"/>
      <c r="J984" s="9"/>
      <c r="K984" s="21"/>
      <c r="L984" s="21"/>
      <c r="M984" s="21"/>
      <c r="N984" s="21"/>
      <c r="O984" s="9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51"/>
      <c r="B985" s="14"/>
      <c r="C985" s="14"/>
      <c r="D985" s="14"/>
      <c r="E985" s="14"/>
      <c r="F985" s="53"/>
      <c r="G985" s="54"/>
      <c r="H985" s="54"/>
      <c r="I985" s="7"/>
      <c r="J985" s="9"/>
      <c r="K985" s="21"/>
      <c r="L985" s="21"/>
      <c r="M985" s="21"/>
      <c r="N985" s="21"/>
      <c r="O985" s="9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51"/>
      <c r="B986" s="14"/>
      <c r="C986" s="14"/>
      <c r="D986" s="14"/>
      <c r="E986" s="14"/>
      <c r="F986" s="53"/>
      <c r="G986" s="54"/>
      <c r="H986" s="54"/>
      <c r="I986" s="7"/>
      <c r="J986" s="9"/>
      <c r="K986" s="21"/>
      <c r="L986" s="21"/>
      <c r="M986" s="21"/>
      <c r="N986" s="21"/>
      <c r="O986" s="9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51"/>
      <c r="B987" s="14"/>
      <c r="C987" s="14"/>
      <c r="D987" s="14"/>
      <c r="E987" s="14"/>
      <c r="F987" s="53"/>
      <c r="G987" s="54"/>
      <c r="H987" s="54"/>
      <c r="I987" s="7"/>
      <c r="J987" s="9"/>
      <c r="K987" s="21"/>
      <c r="L987" s="21"/>
      <c r="M987" s="21"/>
      <c r="N987" s="21"/>
      <c r="O987" s="9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51"/>
      <c r="B988" s="14"/>
      <c r="C988" s="14"/>
      <c r="D988" s="14"/>
      <c r="E988" s="14"/>
      <c r="F988" s="53"/>
      <c r="G988" s="54"/>
      <c r="H988" s="54"/>
      <c r="I988" s="7"/>
      <c r="J988" s="9"/>
      <c r="K988" s="21"/>
      <c r="L988" s="21"/>
      <c r="M988" s="21"/>
      <c r="N988" s="21"/>
      <c r="O988" s="9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51"/>
      <c r="B989" s="14"/>
      <c r="C989" s="14"/>
      <c r="D989" s="14"/>
      <c r="E989" s="14"/>
      <c r="F989" s="53"/>
      <c r="G989" s="54"/>
      <c r="H989" s="54"/>
      <c r="I989" s="7"/>
      <c r="J989" s="9"/>
      <c r="K989" s="21"/>
      <c r="L989" s="21"/>
      <c r="M989" s="21"/>
      <c r="N989" s="21"/>
      <c r="O989" s="9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51"/>
      <c r="B990" s="14"/>
      <c r="C990" s="14"/>
      <c r="D990" s="14"/>
      <c r="E990" s="14"/>
      <c r="F990" s="53"/>
      <c r="G990" s="54"/>
      <c r="H990" s="54"/>
      <c r="I990" s="7"/>
      <c r="J990" s="9"/>
      <c r="K990" s="21"/>
      <c r="L990" s="21"/>
      <c r="M990" s="21"/>
      <c r="N990" s="21"/>
      <c r="O990" s="9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51"/>
      <c r="B991" s="14"/>
      <c r="C991" s="14"/>
      <c r="D991" s="14"/>
      <c r="E991" s="14"/>
      <c r="F991" s="53"/>
      <c r="G991" s="54"/>
      <c r="H991" s="54"/>
      <c r="I991" s="7"/>
      <c r="J991" s="9"/>
      <c r="K991" s="21"/>
      <c r="L991" s="21"/>
      <c r="M991" s="21"/>
      <c r="N991" s="21"/>
      <c r="O991" s="9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51"/>
      <c r="B992" s="14"/>
      <c r="C992" s="14"/>
      <c r="D992" s="14"/>
      <c r="E992" s="14"/>
      <c r="F992" s="53"/>
      <c r="G992" s="54"/>
      <c r="H992" s="54"/>
      <c r="I992" s="7"/>
      <c r="J992" s="9"/>
      <c r="K992" s="21"/>
      <c r="L992" s="21"/>
      <c r="M992" s="21"/>
      <c r="N992" s="21"/>
      <c r="O992" s="9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51"/>
      <c r="B993" s="14"/>
      <c r="C993" s="14"/>
      <c r="D993" s="14"/>
      <c r="E993" s="14"/>
      <c r="F993" s="53"/>
      <c r="G993" s="54"/>
      <c r="H993" s="54"/>
      <c r="I993" s="7"/>
      <c r="J993" s="9"/>
      <c r="K993" s="21"/>
      <c r="L993" s="21"/>
      <c r="M993" s="21"/>
      <c r="N993" s="21"/>
      <c r="O993" s="9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51"/>
      <c r="B994" s="14"/>
      <c r="C994" s="14"/>
      <c r="D994" s="14"/>
      <c r="E994" s="14"/>
      <c r="F994" s="53"/>
      <c r="G994" s="54"/>
      <c r="H994" s="54"/>
      <c r="I994" s="7"/>
      <c r="J994" s="9"/>
      <c r="K994" s="21"/>
      <c r="L994" s="21"/>
      <c r="M994" s="21"/>
      <c r="N994" s="21"/>
      <c r="O994" s="9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51"/>
      <c r="B995" s="14"/>
      <c r="C995" s="14"/>
      <c r="D995" s="14"/>
      <c r="E995" s="14"/>
      <c r="F995" s="53"/>
      <c r="G995" s="54"/>
      <c r="H995" s="54"/>
      <c r="I995" s="7"/>
      <c r="J995" s="9"/>
      <c r="K995" s="21"/>
      <c r="L995" s="21"/>
      <c r="M995" s="21"/>
      <c r="N995" s="21"/>
      <c r="O995" s="9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51"/>
      <c r="B996" s="14"/>
      <c r="C996" s="14"/>
      <c r="D996" s="14"/>
      <c r="E996" s="14"/>
      <c r="F996" s="53"/>
      <c r="G996" s="54"/>
      <c r="H996" s="54"/>
      <c r="I996" s="7"/>
      <c r="J996" s="9"/>
      <c r="K996" s="21"/>
      <c r="L996" s="21"/>
      <c r="M996" s="21"/>
      <c r="N996" s="21"/>
      <c r="O996" s="9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51"/>
      <c r="B997" s="14"/>
      <c r="C997" s="14"/>
      <c r="D997" s="14"/>
      <c r="E997" s="14"/>
      <c r="F997" s="53"/>
      <c r="G997" s="54"/>
      <c r="H997" s="54"/>
      <c r="I997" s="7"/>
      <c r="J997" s="9"/>
      <c r="K997" s="21"/>
      <c r="L997" s="21"/>
      <c r="M997" s="21"/>
      <c r="N997" s="21"/>
      <c r="O997" s="9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51"/>
      <c r="B998" s="14"/>
      <c r="C998" s="14"/>
      <c r="D998" s="14"/>
      <c r="E998" s="14"/>
      <c r="F998" s="53"/>
      <c r="G998" s="54"/>
      <c r="H998" s="54"/>
      <c r="I998" s="7"/>
      <c r="J998" s="9"/>
      <c r="K998" s="21"/>
      <c r="L998" s="21"/>
      <c r="M998" s="21"/>
      <c r="N998" s="21"/>
      <c r="O998" s="9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51"/>
      <c r="B999" s="14"/>
      <c r="C999" s="14"/>
      <c r="D999" s="14"/>
      <c r="E999" s="14"/>
      <c r="F999" s="53"/>
      <c r="G999" s="54"/>
      <c r="H999" s="54"/>
      <c r="I999" s="7"/>
      <c r="J999" s="9"/>
      <c r="K999" s="21"/>
      <c r="L999" s="21"/>
      <c r="M999" s="21"/>
      <c r="N999" s="21"/>
      <c r="O999" s="9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51"/>
      <c r="B1000" s="14"/>
      <c r="C1000" s="14"/>
      <c r="D1000" s="14"/>
      <c r="E1000" s="14"/>
      <c r="F1000" s="53"/>
      <c r="G1000" s="54"/>
      <c r="H1000" s="54"/>
      <c r="I1000" s="7"/>
      <c r="J1000" s="9"/>
      <c r="K1000" s="21"/>
      <c r="L1000" s="21"/>
      <c r="M1000" s="21"/>
      <c r="N1000" s="21"/>
      <c r="O1000" s="9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 spans="1:27" ht="12.75" customHeight="1" x14ac:dyDescent="0.25">
      <c r="A1001" s="51"/>
      <c r="B1001" s="14"/>
      <c r="C1001" s="14"/>
      <c r="D1001" s="14"/>
      <c r="E1001" s="14"/>
      <c r="F1001" s="53"/>
      <c r="G1001" s="54"/>
      <c r="H1001" s="54"/>
      <c r="I1001" s="7"/>
      <c r="J1001" s="9"/>
      <c r="K1001" s="21"/>
      <c r="L1001" s="21"/>
      <c r="M1001" s="21"/>
      <c r="N1001" s="21"/>
      <c r="O1001" s="9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 spans="1:27" ht="12.75" customHeight="1" x14ac:dyDescent="0.25">
      <c r="A1002" s="51"/>
      <c r="B1002" s="14"/>
      <c r="C1002" s="14"/>
      <c r="D1002" s="14"/>
      <c r="E1002" s="14"/>
      <c r="F1002" s="53"/>
      <c r="G1002" s="54"/>
      <c r="H1002" s="54"/>
      <c r="I1002" s="7"/>
      <c r="J1002" s="9"/>
      <c r="K1002" s="21"/>
      <c r="L1002" s="21"/>
      <c r="M1002" s="21"/>
      <c r="N1002" s="21"/>
      <c r="O1002" s="9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 spans="1:27" ht="12.75" customHeight="1" x14ac:dyDescent="0.25">
      <c r="A1003" s="51"/>
      <c r="B1003" s="14"/>
      <c r="C1003" s="14"/>
      <c r="D1003" s="14"/>
      <c r="E1003" s="14"/>
      <c r="F1003" s="53"/>
      <c r="G1003" s="54"/>
      <c r="H1003" s="54"/>
      <c r="I1003" s="7"/>
      <c r="J1003" s="9"/>
      <c r="K1003" s="21"/>
      <c r="L1003" s="21"/>
      <c r="M1003" s="21"/>
      <c r="N1003" s="21"/>
      <c r="O1003" s="9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 spans="1:27" ht="12.75" customHeight="1" x14ac:dyDescent="0.25">
      <c r="A1004" s="51"/>
      <c r="B1004" s="14"/>
      <c r="C1004" s="14"/>
      <c r="D1004" s="14"/>
      <c r="E1004" s="14"/>
      <c r="F1004" s="53"/>
      <c r="G1004" s="54"/>
      <c r="H1004" s="54"/>
      <c r="I1004" s="7"/>
      <c r="J1004" s="9"/>
      <c r="K1004" s="21"/>
      <c r="L1004" s="21"/>
      <c r="M1004" s="21"/>
      <c r="N1004" s="21"/>
      <c r="O1004" s="9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 spans="1:27" ht="12.75" customHeight="1" x14ac:dyDescent="0.25">
      <c r="A1005" s="51"/>
      <c r="B1005" s="14"/>
      <c r="C1005" s="14"/>
      <c r="D1005" s="14"/>
      <c r="E1005" s="14"/>
      <c r="F1005" s="53"/>
      <c r="G1005" s="54"/>
      <c r="H1005" s="54"/>
      <c r="I1005" s="7"/>
      <c r="J1005" s="9"/>
      <c r="K1005" s="21"/>
      <c r="L1005" s="21"/>
      <c r="M1005" s="21"/>
      <c r="N1005" s="21"/>
      <c r="O1005" s="9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</sheetData>
  <conditionalFormatting sqref="J1:J2 I4:J54 I58:J66 I68:J79 I84:J87">
    <cfRule type="cellIs" dxfId="21" priority="1" operator="equal">
      <formula>0</formula>
    </cfRule>
  </conditionalFormatting>
  <conditionalFormatting sqref="J4:K54 J58:K66 J68:K79 J84:K87 K1:K2">
    <cfRule type="cellIs" dxfId="20" priority="2" operator="equal">
      <formula>0</formula>
    </cfRule>
  </conditionalFormatting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" customHeight="1" x14ac:dyDescent="0.25"/>
  <cols>
    <col min="1" max="1" width="8.6640625" customWidth="1"/>
    <col min="2" max="2" width="22.88671875" customWidth="1"/>
    <col min="3" max="3" width="10.44140625" customWidth="1"/>
    <col min="4" max="4" width="9.77734375" customWidth="1"/>
    <col min="5" max="5" width="10.6640625" customWidth="1"/>
    <col min="6" max="7" width="11.44140625" customWidth="1"/>
    <col min="8" max="8" width="18.88671875" customWidth="1"/>
    <col min="9" max="9" width="11.44140625" customWidth="1"/>
    <col min="10" max="10" width="14.88671875" customWidth="1"/>
    <col min="11" max="11" width="11.44140625" customWidth="1"/>
    <col min="12" max="27" width="10" customWidth="1"/>
  </cols>
  <sheetData>
    <row r="1" spans="1:27" ht="12.75" customHeight="1" x14ac:dyDescent="0.25">
      <c r="A1" s="61" t="s">
        <v>13</v>
      </c>
      <c r="B1" s="57">
        <v>44</v>
      </c>
      <c r="C1" s="57" t="s">
        <v>15</v>
      </c>
      <c r="D1" s="57" t="s">
        <v>16</v>
      </c>
      <c r="E1" s="57" t="s">
        <v>17</v>
      </c>
      <c r="F1" s="9" t="s">
        <v>18</v>
      </c>
      <c r="G1" s="7" t="s">
        <v>19</v>
      </c>
      <c r="H1" s="7" t="s">
        <v>20</v>
      </c>
      <c r="I1" s="7" t="s">
        <v>21</v>
      </c>
      <c r="J1" s="8" t="s">
        <v>22</v>
      </c>
      <c r="K1" s="9" t="s">
        <v>23</v>
      </c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spans="1:27" ht="12.75" customHeight="1" x14ac:dyDescent="0.25">
      <c r="A2" s="61"/>
      <c r="B2" s="57"/>
      <c r="C2" s="57"/>
      <c r="D2" s="57"/>
      <c r="E2" s="17"/>
      <c r="F2" s="11"/>
      <c r="G2" s="12"/>
      <c r="H2" s="12"/>
      <c r="I2" s="12"/>
      <c r="J2" s="13"/>
      <c r="K2" s="47">
        <f>SUM(K3:K107)</f>
        <v>1181.6600000000001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spans="1:27" ht="12.75" customHeight="1" x14ac:dyDescent="0.25">
      <c r="A3" s="20"/>
      <c r="B3" s="20"/>
      <c r="C3" s="14"/>
      <c r="D3" s="14"/>
      <c r="E3" s="5"/>
      <c r="F3" s="49"/>
      <c r="G3" s="50"/>
      <c r="H3" s="50"/>
      <c r="I3" s="7"/>
      <c r="J3" s="9"/>
      <c r="K3" s="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2.75" customHeight="1" x14ac:dyDescent="0.3">
      <c r="A4" s="51"/>
      <c r="B4" s="62" t="s">
        <v>431</v>
      </c>
      <c r="C4" s="14"/>
      <c r="D4" s="14"/>
      <c r="E4" s="5"/>
      <c r="F4" s="63"/>
      <c r="G4" s="64"/>
      <c r="H4" s="64"/>
      <c r="I4" s="64"/>
      <c r="J4" s="2"/>
      <c r="K4" s="2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 customHeight="1" x14ac:dyDescent="0.25">
      <c r="A5" s="61"/>
      <c r="B5" s="57"/>
      <c r="C5" s="57"/>
      <c r="D5" s="57"/>
      <c r="E5" s="17"/>
      <c r="F5" s="6"/>
      <c r="G5" s="7"/>
      <c r="H5" s="7"/>
      <c r="I5" s="7"/>
      <c r="J5" s="8"/>
      <c r="K5" s="9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 spans="1:27" ht="12.75" customHeight="1" x14ac:dyDescent="0.25">
      <c r="A6" s="51"/>
      <c r="B6" s="14"/>
      <c r="C6" s="14"/>
      <c r="D6" s="14"/>
      <c r="E6" s="5"/>
      <c r="F6" s="6"/>
      <c r="G6" s="7"/>
      <c r="H6" s="7"/>
      <c r="I6" s="7"/>
      <c r="J6" s="8"/>
      <c r="K6" s="9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2.75" customHeight="1" x14ac:dyDescent="0.25">
      <c r="A7" s="51">
        <v>500</v>
      </c>
      <c r="B7" s="14" t="s">
        <v>169</v>
      </c>
      <c r="C7" s="14">
        <v>0</v>
      </c>
      <c r="D7" s="14"/>
      <c r="E7" s="5">
        <v>5.95</v>
      </c>
      <c r="F7" s="6" t="s">
        <v>168</v>
      </c>
      <c r="G7" s="7"/>
      <c r="H7" s="7">
        <v>5</v>
      </c>
      <c r="I7" s="7"/>
      <c r="J7" s="8">
        <f>SUM(G7:I7)</f>
        <v>5</v>
      </c>
      <c r="K7" s="9">
        <f>SUM(C7*J7)</f>
        <v>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2.75" customHeight="1" x14ac:dyDescent="0.25">
      <c r="A8" s="51">
        <v>500</v>
      </c>
      <c r="B8" s="14" t="s">
        <v>432</v>
      </c>
      <c r="C8" s="14">
        <v>0</v>
      </c>
      <c r="D8" s="14"/>
      <c r="E8" s="5">
        <v>5.95</v>
      </c>
      <c r="F8" s="6" t="s">
        <v>168</v>
      </c>
      <c r="G8" s="7"/>
      <c r="H8" s="7">
        <v>4</v>
      </c>
      <c r="I8" s="7"/>
      <c r="J8" s="8"/>
      <c r="K8" s="9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2.75" customHeight="1" x14ac:dyDescent="0.25">
      <c r="A9" s="51"/>
      <c r="B9" s="14"/>
      <c r="C9" s="14"/>
      <c r="D9" s="14"/>
      <c r="E9" s="5"/>
      <c r="F9" s="6"/>
      <c r="G9" s="7"/>
      <c r="H9" s="7"/>
      <c r="I9" s="7"/>
      <c r="J9" s="8"/>
      <c r="K9" s="9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20"/>
      <c r="B10" s="20"/>
      <c r="C10" s="14"/>
      <c r="D10" s="14"/>
      <c r="E10" s="5"/>
      <c r="F10" s="6"/>
      <c r="G10" s="7"/>
      <c r="H10" s="7"/>
      <c r="I10" s="7"/>
      <c r="J10" s="8"/>
      <c r="K10" s="9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2.75" customHeight="1" x14ac:dyDescent="0.3">
      <c r="A11" s="51"/>
      <c r="B11" s="62" t="s">
        <v>433</v>
      </c>
      <c r="C11" s="14"/>
      <c r="D11" s="14"/>
      <c r="E11" s="5"/>
      <c r="F11" s="6"/>
      <c r="G11" s="7"/>
      <c r="H11" s="7"/>
      <c r="I11" s="7"/>
      <c r="J11" s="8"/>
      <c r="K11" s="9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51"/>
      <c r="B12" s="14"/>
      <c r="C12" s="14"/>
      <c r="D12" s="14"/>
      <c r="E12" s="5"/>
      <c r="F12" s="6"/>
      <c r="G12" s="7"/>
      <c r="H12" s="7"/>
      <c r="I12" s="7"/>
      <c r="J12" s="8"/>
      <c r="K12" s="9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51"/>
      <c r="B13" s="14" t="s">
        <v>434</v>
      </c>
      <c r="C13" s="14"/>
      <c r="D13" s="14"/>
      <c r="E13" s="5">
        <v>7.5</v>
      </c>
      <c r="F13" s="6" t="s">
        <v>27</v>
      </c>
      <c r="G13" s="7"/>
      <c r="H13" s="7"/>
      <c r="I13" s="7"/>
      <c r="J13" s="8">
        <f t="shared" ref="J13:J25" si="0">SUM(G13:I13)</f>
        <v>0</v>
      </c>
      <c r="K13" s="9">
        <f t="shared" ref="K13:K25" si="1">SUM(C13*J13)</f>
        <v>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51">
        <v>350</v>
      </c>
      <c r="B14" s="14" t="s">
        <v>186</v>
      </c>
      <c r="C14" s="14"/>
      <c r="D14" s="14"/>
      <c r="E14" s="5">
        <v>3.95</v>
      </c>
      <c r="F14" s="6" t="s">
        <v>27</v>
      </c>
      <c r="G14" s="7"/>
      <c r="H14" s="7"/>
      <c r="I14" s="7"/>
      <c r="J14" s="8">
        <f t="shared" si="0"/>
        <v>0</v>
      </c>
      <c r="K14" s="9">
        <f t="shared" si="1"/>
        <v>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51"/>
      <c r="B15" s="14" t="s">
        <v>435</v>
      </c>
      <c r="C15" s="14">
        <v>4.22</v>
      </c>
      <c r="D15" s="14"/>
      <c r="E15" s="5">
        <v>4.95</v>
      </c>
      <c r="F15" s="6" t="s">
        <v>27</v>
      </c>
      <c r="G15" s="7"/>
      <c r="H15" s="7">
        <v>2</v>
      </c>
      <c r="I15" s="7"/>
      <c r="J15" s="8">
        <f t="shared" si="0"/>
        <v>2</v>
      </c>
      <c r="K15" s="9">
        <f t="shared" si="1"/>
        <v>8.44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51"/>
      <c r="B16" s="14" t="s">
        <v>436</v>
      </c>
      <c r="C16" s="14">
        <v>4.71</v>
      </c>
      <c r="D16" s="14"/>
      <c r="E16" s="5">
        <v>5.5</v>
      </c>
      <c r="F16" s="6" t="s">
        <v>27</v>
      </c>
      <c r="G16" s="7"/>
      <c r="H16" s="7"/>
      <c r="I16" s="7"/>
      <c r="J16" s="8">
        <f t="shared" si="0"/>
        <v>0</v>
      </c>
      <c r="K16" s="9">
        <f t="shared" si="1"/>
        <v>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51"/>
      <c r="B17" s="14" t="s">
        <v>437</v>
      </c>
      <c r="C17" s="14">
        <v>3.36</v>
      </c>
      <c r="D17" s="14"/>
      <c r="E17" s="5">
        <v>4.95</v>
      </c>
      <c r="F17" s="6" t="s">
        <v>27</v>
      </c>
      <c r="G17" s="7"/>
      <c r="H17" s="7">
        <v>10</v>
      </c>
      <c r="I17" s="7"/>
      <c r="J17" s="8">
        <f t="shared" si="0"/>
        <v>10</v>
      </c>
      <c r="K17" s="9">
        <f t="shared" si="1"/>
        <v>33.6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51">
        <v>350</v>
      </c>
      <c r="B18" s="14" t="s">
        <v>438</v>
      </c>
      <c r="C18" s="14">
        <v>4.4800000000000004</v>
      </c>
      <c r="D18" s="14"/>
      <c r="E18" s="5">
        <v>4.95</v>
      </c>
      <c r="F18" s="6" t="s">
        <v>27</v>
      </c>
      <c r="G18" s="7"/>
      <c r="H18" s="7">
        <v>4</v>
      </c>
      <c r="I18" s="7"/>
      <c r="J18" s="8">
        <f t="shared" si="0"/>
        <v>4</v>
      </c>
      <c r="K18" s="9">
        <f t="shared" si="1"/>
        <v>17.920000000000002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51">
        <v>350</v>
      </c>
      <c r="B19" s="14" t="s">
        <v>288</v>
      </c>
      <c r="C19" s="14">
        <v>4.3600000000000003</v>
      </c>
      <c r="D19" s="14"/>
      <c r="E19" s="5">
        <v>4.95</v>
      </c>
      <c r="F19" s="6" t="s">
        <v>27</v>
      </c>
      <c r="G19" s="7"/>
      <c r="H19" s="7">
        <v>13</v>
      </c>
      <c r="I19" s="7"/>
      <c r="J19" s="8">
        <f t="shared" si="0"/>
        <v>13</v>
      </c>
      <c r="K19" s="9">
        <f t="shared" si="1"/>
        <v>56.680000000000007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51">
        <v>350</v>
      </c>
      <c r="B20" s="14" t="s">
        <v>290</v>
      </c>
      <c r="C20" s="14">
        <v>3.9</v>
      </c>
      <c r="D20" s="14"/>
      <c r="E20" s="5">
        <v>4.95</v>
      </c>
      <c r="F20" s="6" t="s">
        <v>27</v>
      </c>
      <c r="G20" s="7"/>
      <c r="H20" s="7">
        <v>9</v>
      </c>
      <c r="I20" s="7"/>
      <c r="J20" s="8">
        <f t="shared" si="0"/>
        <v>9</v>
      </c>
      <c r="K20" s="9">
        <f t="shared" si="1"/>
        <v>35.1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51">
        <v>350</v>
      </c>
      <c r="B21" s="14" t="s">
        <v>439</v>
      </c>
      <c r="C21" s="14">
        <v>5.0199999999999996</v>
      </c>
      <c r="D21" s="14"/>
      <c r="E21" s="5">
        <v>5.95</v>
      </c>
      <c r="F21" s="6" t="s">
        <v>27</v>
      </c>
      <c r="G21" s="7"/>
      <c r="H21" s="7">
        <v>1</v>
      </c>
      <c r="I21" s="7"/>
      <c r="J21" s="8">
        <f t="shared" si="0"/>
        <v>1</v>
      </c>
      <c r="K21" s="9">
        <f t="shared" si="1"/>
        <v>5.0199999999999996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51"/>
      <c r="B22" s="14" t="s">
        <v>440</v>
      </c>
      <c r="C22" s="14">
        <v>3.36</v>
      </c>
      <c r="D22" s="14"/>
      <c r="E22" s="5">
        <v>3.95</v>
      </c>
      <c r="F22" s="6" t="s">
        <v>27</v>
      </c>
      <c r="G22" s="7"/>
      <c r="H22" s="7">
        <v>8</v>
      </c>
      <c r="I22" s="7"/>
      <c r="J22" s="8">
        <f t="shared" si="0"/>
        <v>8</v>
      </c>
      <c r="K22" s="9">
        <f t="shared" si="1"/>
        <v>26.88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51">
        <v>350</v>
      </c>
      <c r="B23" s="14" t="s">
        <v>441</v>
      </c>
      <c r="C23" s="14">
        <v>3.54</v>
      </c>
      <c r="D23" s="14"/>
      <c r="E23" s="5">
        <v>3.95</v>
      </c>
      <c r="F23" s="6" t="s">
        <v>27</v>
      </c>
      <c r="G23" s="7">
        <v>2</v>
      </c>
      <c r="H23" s="7"/>
      <c r="I23" s="7"/>
      <c r="J23" s="8">
        <f t="shared" si="0"/>
        <v>2</v>
      </c>
      <c r="K23" s="9">
        <f t="shared" si="1"/>
        <v>7.08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51">
        <v>350</v>
      </c>
      <c r="B24" s="14" t="s">
        <v>200</v>
      </c>
      <c r="C24" s="14">
        <v>3.67</v>
      </c>
      <c r="D24" s="14"/>
      <c r="E24" s="5">
        <v>3.95</v>
      </c>
      <c r="F24" s="6" t="s">
        <v>27</v>
      </c>
      <c r="G24" s="7"/>
      <c r="H24" s="7">
        <v>1</v>
      </c>
      <c r="I24" s="7"/>
      <c r="J24" s="8">
        <f t="shared" si="0"/>
        <v>1</v>
      </c>
      <c r="K24" s="9">
        <f t="shared" si="1"/>
        <v>3.67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51">
        <v>350</v>
      </c>
      <c r="B25" s="14" t="s">
        <v>204</v>
      </c>
      <c r="C25" s="14">
        <v>3.76</v>
      </c>
      <c r="D25" s="14"/>
      <c r="E25" s="5">
        <v>3.95</v>
      </c>
      <c r="F25" s="6" t="s">
        <v>27</v>
      </c>
      <c r="G25" s="7"/>
      <c r="H25" s="7">
        <v>9</v>
      </c>
      <c r="I25" s="7"/>
      <c r="J25" s="8">
        <f t="shared" si="0"/>
        <v>9</v>
      </c>
      <c r="K25" s="9">
        <f t="shared" si="1"/>
        <v>33.839999999999996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65"/>
      <c r="B26" s="20"/>
      <c r="C26" s="14"/>
      <c r="D26" s="14"/>
      <c r="E26" s="5"/>
      <c r="F26" s="6"/>
      <c r="G26" s="7"/>
      <c r="H26" s="7"/>
      <c r="I26" s="7"/>
      <c r="J26" s="8"/>
      <c r="K26" s="9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2.75" customHeight="1" x14ac:dyDescent="0.3">
      <c r="A27" s="51"/>
      <c r="B27" s="62" t="s">
        <v>442</v>
      </c>
      <c r="C27" s="14"/>
      <c r="D27" s="14"/>
      <c r="E27" s="5"/>
      <c r="F27" s="6"/>
      <c r="G27" s="7"/>
      <c r="H27" s="7"/>
      <c r="I27" s="7"/>
      <c r="J27" s="8"/>
      <c r="K27" s="9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51"/>
      <c r="B28" s="14"/>
      <c r="C28" s="14"/>
      <c r="D28" s="14"/>
      <c r="E28" s="5"/>
      <c r="F28" s="6"/>
      <c r="G28" s="7"/>
      <c r="H28" s="7"/>
      <c r="I28" s="7"/>
      <c r="J28" s="8"/>
      <c r="K28" s="9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51">
        <v>350</v>
      </c>
      <c r="B29" s="14" t="s">
        <v>363</v>
      </c>
      <c r="C29" s="14">
        <v>4.42</v>
      </c>
      <c r="D29" s="14"/>
      <c r="E29" s="5">
        <v>5.5</v>
      </c>
      <c r="F29" s="6" t="s">
        <v>27</v>
      </c>
      <c r="G29" s="7"/>
      <c r="H29" s="7">
        <v>19</v>
      </c>
      <c r="I29" s="7"/>
      <c r="J29" s="8">
        <f t="shared" ref="J29:J31" si="2">SUM(G29:I29)</f>
        <v>19</v>
      </c>
      <c r="K29" s="9">
        <f t="shared" ref="K29:K31" si="3">SUM(C29*J29)</f>
        <v>83.98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51">
        <v>350</v>
      </c>
      <c r="B30" s="14" t="s">
        <v>443</v>
      </c>
      <c r="C30" s="14">
        <v>6.22</v>
      </c>
      <c r="D30" s="14"/>
      <c r="E30" s="5">
        <v>7.5</v>
      </c>
      <c r="F30" s="6" t="s">
        <v>444</v>
      </c>
      <c r="G30" s="7">
        <v>13</v>
      </c>
      <c r="H30" s="7">
        <v>6</v>
      </c>
      <c r="I30" s="7"/>
      <c r="J30" s="8">
        <f t="shared" si="2"/>
        <v>19</v>
      </c>
      <c r="K30" s="9">
        <f t="shared" si="3"/>
        <v>118.17999999999999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51">
        <v>350</v>
      </c>
      <c r="B31" s="14" t="s">
        <v>318</v>
      </c>
      <c r="C31" s="14">
        <v>8.68</v>
      </c>
      <c r="D31" s="14"/>
      <c r="E31" s="5">
        <v>9.9499999999999993</v>
      </c>
      <c r="F31" s="6" t="s">
        <v>27</v>
      </c>
      <c r="G31" s="7"/>
      <c r="H31" s="7">
        <v>1</v>
      </c>
      <c r="I31" s="7"/>
      <c r="J31" s="8">
        <f t="shared" si="2"/>
        <v>1</v>
      </c>
      <c r="K31" s="9">
        <f t="shared" si="3"/>
        <v>8.68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customHeight="1" x14ac:dyDescent="0.25">
      <c r="A32" s="20"/>
      <c r="B32" s="20"/>
      <c r="C32" s="14"/>
      <c r="D32" s="14"/>
      <c r="E32" s="5"/>
      <c r="F32" s="6"/>
      <c r="G32" s="7"/>
      <c r="H32" s="7"/>
      <c r="I32" s="7"/>
      <c r="J32" s="8"/>
      <c r="K32" s="9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2.75" customHeight="1" x14ac:dyDescent="0.3">
      <c r="A33" s="51"/>
      <c r="B33" s="62" t="s">
        <v>445</v>
      </c>
      <c r="C33" s="14"/>
      <c r="D33" s="14"/>
      <c r="E33" s="5"/>
      <c r="F33" s="6"/>
      <c r="G33" s="7"/>
      <c r="H33" s="7"/>
      <c r="I33" s="7"/>
      <c r="J33" s="8"/>
      <c r="K33" s="9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 customHeight="1" x14ac:dyDescent="0.25">
      <c r="A34" s="51"/>
      <c r="B34" s="14"/>
      <c r="C34" s="14"/>
      <c r="D34" s="14"/>
      <c r="E34" s="5"/>
      <c r="F34" s="6"/>
      <c r="G34" s="7"/>
      <c r="H34" s="7"/>
      <c r="I34" s="7"/>
      <c r="J34" s="8"/>
      <c r="K34" s="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61"/>
      <c r="B35" s="9" t="s">
        <v>63</v>
      </c>
      <c r="C35" s="57"/>
      <c r="D35" s="57"/>
      <c r="E35" s="5"/>
      <c r="F35" s="6"/>
      <c r="G35" s="7"/>
      <c r="H35" s="7"/>
      <c r="I35" s="7"/>
      <c r="J35" s="8"/>
      <c r="K35" s="9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 spans="1:27" ht="12.75" customHeight="1" x14ac:dyDescent="0.25">
      <c r="A36" s="61">
        <v>200</v>
      </c>
      <c r="B36" s="4" t="s">
        <v>446</v>
      </c>
      <c r="C36" s="9">
        <v>6</v>
      </c>
      <c r="D36" s="9"/>
      <c r="E36" s="5">
        <v>7.95</v>
      </c>
      <c r="F36" s="6" t="s">
        <v>168</v>
      </c>
      <c r="G36" s="7"/>
      <c r="H36" s="7">
        <v>25</v>
      </c>
      <c r="I36" s="7"/>
      <c r="J36" s="8">
        <f t="shared" ref="J36:J50" si="4">SUM(G36:I36)</f>
        <v>25</v>
      </c>
      <c r="K36" s="9">
        <f t="shared" ref="K36:K50" si="5">SUM(C36*J36)</f>
        <v>150</v>
      </c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 spans="1:27" ht="12.75" customHeight="1" x14ac:dyDescent="0.25">
      <c r="A37" s="61">
        <v>200</v>
      </c>
      <c r="B37" s="4" t="s">
        <v>447</v>
      </c>
      <c r="C37" s="9">
        <v>10.43</v>
      </c>
      <c r="D37" s="5">
        <v>11.9</v>
      </c>
      <c r="E37" s="5">
        <v>11.9</v>
      </c>
      <c r="F37" s="6" t="s">
        <v>27</v>
      </c>
      <c r="G37" s="7"/>
      <c r="H37" s="7">
        <v>4</v>
      </c>
      <c r="I37" s="7"/>
      <c r="J37" s="8">
        <f t="shared" si="4"/>
        <v>4</v>
      </c>
      <c r="K37" s="9">
        <f t="shared" si="5"/>
        <v>41.72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 spans="1:27" ht="12.75" customHeight="1" x14ac:dyDescent="0.25">
      <c r="A38" s="61">
        <v>200</v>
      </c>
      <c r="B38" s="4" t="s">
        <v>448</v>
      </c>
      <c r="C38" s="9">
        <v>5.4</v>
      </c>
      <c r="D38" s="9"/>
      <c r="E38" s="5">
        <v>5.95</v>
      </c>
      <c r="F38" s="6" t="s">
        <v>27</v>
      </c>
      <c r="G38" s="7"/>
      <c r="H38" s="7">
        <v>8</v>
      </c>
      <c r="I38" s="7"/>
      <c r="J38" s="8">
        <f t="shared" si="4"/>
        <v>8</v>
      </c>
      <c r="K38" s="9">
        <f t="shared" si="5"/>
        <v>43.2</v>
      </c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 spans="1:27" ht="12.75" customHeight="1" x14ac:dyDescent="0.25">
      <c r="A39" s="61"/>
      <c r="B39" s="4" t="s">
        <v>328</v>
      </c>
      <c r="C39" s="9">
        <v>3.81</v>
      </c>
      <c r="D39" s="9"/>
      <c r="E39" s="5">
        <v>4.95</v>
      </c>
      <c r="F39" s="6" t="s">
        <v>27</v>
      </c>
      <c r="G39" s="7"/>
      <c r="H39" s="7"/>
      <c r="I39" s="7"/>
      <c r="J39" s="8">
        <f t="shared" si="4"/>
        <v>0</v>
      </c>
      <c r="K39" s="9">
        <f t="shared" si="5"/>
        <v>0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 spans="1:27" ht="12.75" customHeight="1" x14ac:dyDescent="0.25">
      <c r="A40" s="61">
        <v>200</v>
      </c>
      <c r="B40" s="4" t="s">
        <v>449</v>
      </c>
      <c r="C40" s="9">
        <v>5.09</v>
      </c>
      <c r="D40" s="9"/>
      <c r="E40" s="5">
        <v>5.95</v>
      </c>
      <c r="F40" s="6" t="s">
        <v>27</v>
      </c>
      <c r="G40" s="7"/>
      <c r="H40" s="7"/>
      <c r="I40" s="7"/>
      <c r="J40" s="8">
        <f t="shared" si="4"/>
        <v>0</v>
      </c>
      <c r="K40" s="9">
        <f t="shared" si="5"/>
        <v>0</v>
      </c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 spans="1:27" ht="12.75" customHeight="1" x14ac:dyDescent="0.25">
      <c r="A41" s="20"/>
      <c r="B41" s="20" t="s">
        <v>332</v>
      </c>
      <c r="C41" s="14">
        <v>4.5</v>
      </c>
      <c r="D41" s="14"/>
      <c r="E41" s="5"/>
      <c r="F41" s="6" t="s">
        <v>444</v>
      </c>
      <c r="G41" s="7">
        <v>12</v>
      </c>
      <c r="H41" s="7">
        <v>17</v>
      </c>
      <c r="I41" s="7"/>
      <c r="J41" s="8">
        <f t="shared" si="4"/>
        <v>29</v>
      </c>
      <c r="K41" s="9">
        <f t="shared" si="5"/>
        <v>130.5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 spans="1:27" ht="12.75" customHeight="1" x14ac:dyDescent="0.25">
      <c r="A42" s="20"/>
      <c r="B42" s="20" t="s">
        <v>450</v>
      </c>
      <c r="C42" s="14">
        <v>5.09</v>
      </c>
      <c r="D42" s="14"/>
      <c r="E42" s="5">
        <v>5.95</v>
      </c>
      <c r="F42" s="6" t="s">
        <v>27</v>
      </c>
      <c r="G42" s="7"/>
      <c r="H42" s="7">
        <v>4</v>
      </c>
      <c r="I42" s="7"/>
      <c r="J42" s="8">
        <f t="shared" si="4"/>
        <v>4</v>
      </c>
      <c r="K42" s="9">
        <f t="shared" si="5"/>
        <v>20.36</v>
      </c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 spans="1:27" ht="12.75" customHeight="1" x14ac:dyDescent="0.25">
      <c r="A43" s="20"/>
      <c r="B43" s="20" t="s">
        <v>281</v>
      </c>
      <c r="C43" s="14"/>
      <c r="D43" s="14"/>
      <c r="E43" s="5">
        <v>11.9</v>
      </c>
      <c r="F43" s="6" t="s">
        <v>27</v>
      </c>
      <c r="G43" s="7"/>
      <c r="H43" s="7"/>
      <c r="I43" s="7"/>
      <c r="J43" s="8">
        <f t="shared" si="4"/>
        <v>0</v>
      </c>
      <c r="K43" s="9">
        <f t="shared" si="5"/>
        <v>0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2.75" customHeight="1" x14ac:dyDescent="0.25">
      <c r="A44" s="20"/>
      <c r="B44" s="20" t="s">
        <v>451</v>
      </c>
      <c r="C44" s="14">
        <v>3.94</v>
      </c>
      <c r="D44" s="14"/>
      <c r="E44" s="5">
        <v>4.5</v>
      </c>
      <c r="F44" s="6" t="s">
        <v>27</v>
      </c>
      <c r="G44" s="7"/>
      <c r="H44" s="7">
        <v>10</v>
      </c>
      <c r="I44" s="7"/>
      <c r="J44" s="8">
        <f t="shared" si="4"/>
        <v>10</v>
      </c>
      <c r="K44" s="9">
        <f t="shared" si="5"/>
        <v>39.4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.75" customHeight="1" x14ac:dyDescent="0.25">
      <c r="A45" s="46"/>
      <c r="B45" s="20" t="s">
        <v>452</v>
      </c>
      <c r="C45" s="9">
        <v>4.49</v>
      </c>
      <c r="D45" s="14"/>
      <c r="E45" s="5">
        <v>5.5</v>
      </c>
      <c r="F45" s="6" t="s">
        <v>27</v>
      </c>
      <c r="G45" s="7"/>
      <c r="H45" s="7">
        <v>11</v>
      </c>
      <c r="I45" s="7"/>
      <c r="J45" s="8">
        <f t="shared" si="4"/>
        <v>11</v>
      </c>
      <c r="K45" s="9">
        <f t="shared" si="5"/>
        <v>49.39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 customHeight="1" x14ac:dyDescent="0.25">
      <c r="A46" s="61"/>
      <c r="B46" s="20" t="s">
        <v>453</v>
      </c>
      <c r="C46" s="57">
        <v>5.08</v>
      </c>
      <c r="D46" s="14"/>
      <c r="E46" s="5">
        <v>6.5</v>
      </c>
      <c r="F46" s="6" t="s">
        <v>27</v>
      </c>
      <c r="G46" s="7"/>
      <c r="H46" s="7">
        <v>5</v>
      </c>
      <c r="I46" s="7"/>
      <c r="J46" s="8">
        <f t="shared" si="4"/>
        <v>5</v>
      </c>
      <c r="K46" s="9">
        <f t="shared" si="5"/>
        <v>25.4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.75" customHeight="1" x14ac:dyDescent="0.25">
      <c r="A47" s="20"/>
      <c r="B47" s="20" t="s">
        <v>454</v>
      </c>
      <c r="C47" s="14"/>
      <c r="D47" s="9"/>
      <c r="E47" s="5">
        <v>4.95</v>
      </c>
      <c r="F47" s="6" t="s">
        <v>27</v>
      </c>
      <c r="G47" s="7"/>
      <c r="H47" s="7"/>
      <c r="I47" s="7"/>
      <c r="J47" s="8">
        <f t="shared" si="4"/>
        <v>0</v>
      </c>
      <c r="K47" s="9">
        <f t="shared" si="5"/>
        <v>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.75" customHeight="1" x14ac:dyDescent="0.25">
      <c r="A48" s="20">
        <v>350</v>
      </c>
      <c r="B48" s="20" t="s">
        <v>455</v>
      </c>
      <c r="C48" s="14">
        <v>13.32</v>
      </c>
      <c r="D48" s="14"/>
      <c r="E48" s="5">
        <v>14.95</v>
      </c>
      <c r="F48" s="6" t="s">
        <v>27</v>
      </c>
      <c r="G48" s="7"/>
      <c r="H48" s="7">
        <v>3</v>
      </c>
      <c r="I48" s="7"/>
      <c r="J48" s="8">
        <f t="shared" si="4"/>
        <v>3</v>
      </c>
      <c r="K48" s="9">
        <f t="shared" si="5"/>
        <v>39.96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.75" customHeight="1" x14ac:dyDescent="0.25">
      <c r="A49" s="20"/>
      <c r="B49" s="20" t="s">
        <v>456</v>
      </c>
      <c r="C49" s="9">
        <v>4.7699999999999996</v>
      </c>
      <c r="D49" s="9"/>
      <c r="E49" s="5">
        <v>5.95</v>
      </c>
      <c r="F49" s="6" t="s">
        <v>27</v>
      </c>
      <c r="G49" s="7"/>
      <c r="H49" s="7">
        <v>8</v>
      </c>
      <c r="I49" s="7"/>
      <c r="J49" s="8">
        <f t="shared" si="4"/>
        <v>8</v>
      </c>
      <c r="K49" s="9">
        <f t="shared" si="5"/>
        <v>38.159999999999997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.75" customHeight="1" x14ac:dyDescent="0.25">
      <c r="A50" s="20" t="s">
        <v>63</v>
      </c>
      <c r="B50" s="20" t="s">
        <v>443</v>
      </c>
      <c r="C50" s="14">
        <v>3.5</v>
      </c>
      <c r="D50" s="14"/>
      <c r="E50" s="5">
        <v>4.5</v>
      </c>
      <c r="F50" s="6" t="s">
        <v>444</v>
      </c>
      <c r="G50" s="7">
        <v>41</v>
      </c>
      <c r="H50" s="7">
        <v>6</v>
      </c>
      <c r="I50" s="7"/>
      <c r="J50" s="8">
        <f t="shared" si="4"/>
        <v>47</v>
      </c>
      <c r="K50" s="9">
        <f t="shared" si="5"/>
        <v>164.5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.75" customHeight="1" x14ac:dyDescent="0.25">
      <c r="A51" s="20"/>
      <c r="B51" s="20"/>
      <c r="C51" s="14"/>
      <c r="D51" s="14"/>
      <c r="E51" s="5"/>
      <c r="F51" s="53"/>
      <c r="G51" s="54"/>
      <c r="H51" s="54"/>
      <c r="I51" s="7"/>
      <c r="J51" s="8"/>
      <c r="K51" s="9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.75" customHeight="1" x14ac:dyDescent="0.3">
      <c r="A52" s="51"/>
      <c r="B52" s="62"/>
      <c r="C52" s="14"/>
      <c r="D52" s="14"/>
      <c r="E52" s="5"/>
      <c r="F52" s="53"/>
      <c r="G52" s="54"/>
      <c r="H52" s="54"/>
      <c r="I52" s="7"/>
      <c r="J52" s="9"/>
      <c r="K52" s="21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3">
      <c r="A53" s="51"/>
      <c r="B53" s="62"/>
      <c r="C53" s="14"/>
      <c r="D53" s="14"/>
      <c r="E53" s="5"/>
      <c r="F53" s="53"/>
      <c r="G53" s="54"/>
      <c r="H53" s="54"/>
      <c r="I53" s="7"/>
      <c r="J53" s="9"/>
      <c r="K53" s="21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51"/>
      <c r="B54" s="14"/>
      <c r="C54" s="14"/>
      <c r="D54" s="14"/>
      <c r="E54" s="5"/>
      <c r="F54" s="6"/>
      <c r="G54" s="7"/>
      <c r="H54" s="7"/>
      <c r="I54" s="7"/>
      <c r="J54" s="8"/>
      <c r="K54" s="9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20"/>
      <c r="B55" s="20"/>
      <c r="C55" s="14"/>
      <c r="D55" s="14"/>
      <c r="E55" s="5"/>
      <c r="F55" s="6"/>
      <c r="G55" s="7"/>
      <c r="H55" s="7"/>
      <c r="I55" s="7"/>
      <c r="J55" s="8"/>
      <c r="K55" s="9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 customHeight="1" x14ac:dyDescent="0.25">
      <c r="A56" s="51"/>
      <c r="B56" s="14"/>
      <c r="C56" s="14"/>
      <c r="D56" s="14"/>
      <c r="E56" s="5"/>
      <c r="F56" s="6"/>
      <c r="G56" s="7"/>
      <c r="H56" s="7"/>
      <c r="I56" s="7"/>
      <c r="J56" s="8"/>
      <c r="K56" s="9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51"/>
      <c r="B57" s="14"/>
      <c r="C57" s="14"/>
      <c r="D57" s="14"/>
      <c r="E57" s="5"/>
      <c r="F57" s="6"/>
      <c r="G57" s="7"/>
      <c r="H57" s="7"/>
      <c r="I57" s="7"/>
      <c r="J57" s="8"/>
      <c r="K57" s="9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51"/>
      <c r="B58" s="14"/>
      <c r="C58" s="14"/>
      <c r="D58" s="14"/>
      <c r="E58" s="5"/>
      <c r="F58" s="6"/>
      <c r="G58" s="7"/>
      <c r="H58" s="7"/>
      <c r="I58" s="7"/>
      <c r="J58" s="8"/>
      <c r="K58" s="9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20"/>
      <c r="B59" s="20"/>
      <c r="E59" s="3"/>
      <c r="F59" s="6"/>
      <c r="G59" s="7"/>
      <c r="H59" s="7"/>
      <c r="I59" s="7"/>
      <c r="J59" s="8"/>
      <c r="K59" s="9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 customHeight="1" x14ac:dyDescent="0.25">
      <c r="A60" s="51"/>
      <c r="B60" s="14"/>
      <c r="C60" s="14"/>
      <c r="D60" s="14"/>
      <c r="E60" s="5"/>
      <c r="F60" s="6"/>
      <c r="G60" s="7"/>
      <c r="H60" s="7"/>
      <c r="I60" s="7"/>
      <c r="J60" s="8"/>
      <c r="K60" s="9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75" customHeight="1" x14ac:dyDescent="0.25">
      <c r="A61" s="20"/>
      <c r="B61" s="20"/>
      <c r="C61" s="14"/>
      <c r="D61" s="14"/>
      <c r="E61" s="5"/>
      <c r="F61" s="6"/>
      <c r="G61" s="7"/>
      <c r="H61" s="7"/>
      <c r="I61" s="7"/>
      <c r="J61" s="8"/>
      <c r="K61" s="9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 customHeight="1" x14ac:dyDescent="0.25">
      <c r="A62" s="20"/>
      <c r="B62" s="20"/>
      <c r="C62" s="14"/>
      <c r="D62" s="14"/>
      <c r="E62" s="5"/>
      <c r="F62" s="6"/>
      <c r="G62" s="7"/>
      <c r="H62" s="7"/>
      <c r="I62" s="7"/>
      <c r="J62" s="8"/>
      <c r="K62" s="9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 customHeight="1" x14ac:dyDescent="0.25">
      <c r="A63" s="20"/>
      <c r="B63" s="20"/>
      <c r="C63" s="14"/>
      <c r="D63" s="14"/>
      <c r="E63" s="5"/>
      <c r="F63" s="53"/>
      <c r="G63" s="54"/>
      <c r="H63" s="54"/>
      <c r="I63" s="7"/>
      <c r="J63" s="9"/>
      <c r="K63" s="21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 customHeight="1" x14ac:dyDescent="0.25">
      <c r="A64" s="20"/>
      <c r="B64" s="20"/>
      <c r="C64" s="14"/>
      <c r="D64" s="14"/>
      <c r="E64" s="5"/>
      <c r="F64" s="6"/>
      <c r="G64" s="7"/>
      <c r="H64" s="7"/>
      <c r="I64" s="7"/>
      <c r="J64" s="8"/>
      <c r="K64" s="9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.75" customHeight="1" x14ac:dyDescent="0.25">
      <c r="A65" s="20"/>
      <c r="B65" s="20"/>
      <c r="C65" s="14"/>
      <c r="D65" s="14"/>
      <c r="E65" s="5"/>
      <c r="F65" s="6"/>
      <c r="G65" s="7"/>
      <c r="H65" s="7"/>
      <c r="I65" s="7"/>
      <c r="J65" s="8"/>
      <c r="K65" s="9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.75" customHeight="1" x14ac:dyDescent="0.25">
      <c r="A66" s="20"/>
      <c r="B66" s="20"/>
      <c r="C66" s="14"/>
      <c r="D66" s="14"/>
      <c r="E66" s="5"/>
      <c r="F66" s="6"/>
      <c r="G66" s="7"/>
      <c r="H66" s="7"/>
      <c r="I66" s="7"/>
      <c r="J66" s="8"/>
      <c r="K66" s="9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.75" customHeight="1" x14ac:dyDescent="0.25">
      <c r="A67" s="20"/>
      <c r="B67" s="20"/>
      <c r="C67" s="14"/>
      <c r="D67" s="14"/>
      <c r="E67" s="5"/>
      <c r="F67" s="6"/>
      <c r="G67" s="7"/>
      <c r="H67" s="7"/>
      <c r="I67" s="7"/>
      <c r="J67" s="8"/>
      <c r="K67" s="9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 customHeight="1" x14ac:dyDescent="0.25">
      <c r="A68" s="20"/>
      <c r="B68" s="20"/>
      <c r="C68" s="14"/>
      <c r="D68" s="14"/>
      <c r="E68" s="5"/>
      <c r="F68" s="6"/>
      <c r="G68" s="7"/>
      <c r="H68" s="7"/>
      <c r="I68" s="7"/>
      <c r="J68" s="8"/>
      <c r="K68" s="9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.75" customHeight="1" x14ac:dyDescent="0.25">
      <c r="A69" s="20"/>
      <c r="B69" s="20"/>
      <c r="C69" s="14"/>
      <c r="D69" s="14"/>
      <c r="E69" s="5"/>
      <c r="F69" s="6"/>
      <c r="G69" s="7"/>
      <c r="H69" s="7"/>
      <c r="I69" s="7"/>
      <c r="J69" s="8"/>
      <c r="K69" s="9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.75" customHeight="1" x14ac:dyDescent="0.25">
      <c r="A70" s="20"/>
      <c r="B70" s="20"/>
      <c r="C70" s="14"/>
      <c r="D70" s="14"/>
      <c r="E70" s="5"/>
      <c r="F70" s="6"/>
      <c r="G70" s="7"/>
      <c r="H70" s="7"/>
      <c r="I70" s="7"/>
      <c r="J70" s="8"/>
      <c r="K70" s="9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.75" customHeight="1" x14ac:dyDescent="0.25">
      <c r="A71" s="20"/>
      <c r="B71" s="20"/>
      <c r="C71" s="14"/>
      <c r="D71" s="14"/>
      <c r="E71" s="5"/>
      <c r="F71" s="6"/>
      <c r="G71" s="7"/>
      <c r="H71" s="7"/>
      <c r="I71" s="7"/>
      <c r="J71" s="8"/>
      <c r="K71" s="9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 customHeight="1" x14ac:dyDescent="0.25">
      <c r="A72" s="20"/>
      <c r="B72" s="20"/>
      <c r="C72" s="14"/>
      <c r="D72" s="14"/>
      <c r="E72" s="5"/>
      <c r="F72" s="6"/>
      <c r="G72" s="7"/>
      <c r="H72" s="7"/>
      <c r="I72" s="7"/>
      <c r="J72" s="8"/>
      <c r="K72" s="9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.75" customHeight="1" x14ac:dyDescent="0.25">
      <c r="A73" s="20"/>
      <c r="B73" s="20"/>
      <c r="C73" s="14"/>
      <c r="D73" s="14"/>
      <c r="E73" s="5"/>
      <c r="F73" s="6"/>
      <c r="G73" s="7"/>
      <c r="H73" s="7"/>
      <c r="I73" s="7"/>
      <c r="J73" s="8"/>
      <c r="K73" s="9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 customHeight="1" x14ac:dyDescent="0.25">
      <c r="A74" s="20"/>
      <c r="B74" s="20"/>
      <c r="C74" s="14"/>
      <c r="D74" s="14"/>
      <c r="E74" s="5"/>
      <c r="F74" s="6"/>
      <c r="G74" s="7"/>
      <c r="H74" s="7"/>
      <c r="I74" s="7"/>
      <c r="J74" s="8"/>
      <c r="K74" s="9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 customHeight="1" x14ac:dyDescent="0.25">
      <c r="A75" s="20"/>
      <c r="B75" s="20"/>
      <c r="E75" s="3"/>
      <c r="F75" s="6"/>
      <c r="G75" s="7"/>
      <c r="H75" s="7"/>
      <c r="I75" s="7"/>
      <c r="J75" s="8"/>
      <c r="K75" s="9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 customHeight="1" x14ac:dyDescent="0.25">
      <c r="A76" s="20"/>
      <c r="B76" s="20"/>
      <c r="E76" s="3"/>
      <c r="F76" s="6"/>
      <c r="G76" s="7"/>
      <c r="H76" s="7"/>
      <c r="I76" s="7"/>
      <c r="J76" s="8"/>
      <c r="K76" s="9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 customHeight="1" x14ac:dyDescent="0.25">
      <c r="A77" s="20"/>
      <c r="B77" s="20"/>
      <c r="C77" s="14"/>
      <c r="D77" s="14"/>
      <c r="E77" s="5"/>
      <c r="F77" s="58"/>
      <c r="G77" s="59"/>
      <c r="H77" s="59"/>
      <c r="I77" s="60"/>
      <c r="J77" s="57"/>
      <c r="K77" s="57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 customHeight="1" x14ac:dyDescent="0.3">
      <c r="A78" s="51"/>
      <c r="B78" s="62"/>
      <c r="C78" s="14"/>
      <c r="D78" s="14"/>
      <c r="E78" s="5"/>
      <c r="F78" s="53"/>
      <c r="G78" s="54"/>
      <c r="H78" s="54"/>
      <c r="I78" s="7"/>
      <c r="J78" s="9"/>
      <c r="K78" s="21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20"/>
      <c r="B79" s="20"/>
      <c r="C79" s="14"/>
      <c r="D79" s="14"/>
      <c r="E79" s="5"/>
      <c r="F79" s="53"/>
      <c r="G79" s="54"/>
      <c r="H79" s="54"/>
      <c r="I79" s="7"/>
      <c r="J79" s="9"/>
      <c r="K79" s="21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 customHeight="1" x14ac:dyDescent="0.25">
      <c r="A80" s="51"/>
      <c r="B80" s="14"/>
      <c r="C80" s="14"/>
      <c r="D80" s="14"/>
      <c r="E80" s="5"/>
      <c r="F80" s="53"/>
      <c r="G80" s="54"/>
      <c r="H80" s="54"/>
      <c r="I80" s="7"/>
      <c r="J80" s="9"/>
      <c r="K80" s="21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51"/>
      <c r="B81" s="14"/>
      <c r="C81" s="14"/>
      <c r="D81" s="14"/>
      <c r="E81" s="5"/>
      <c r="F81" s="6"/>
      <c r="G81" s="7"/>
      <c r="H81" s="7"/>
      <c r="I81" s="7"/>
      <c r="J81" s="8"/>
      <c r="K81" s="9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20"/>
      <c r="B82" s="20"/>
      <c r="C82" s="14"/>
      <c r="D82" s="14"/>
      <c r="E82" s="5"/>
      <c r="F82" s="6"/>
      <c r="G82" s="7"/>
      <c r="H82" s="7"/>
      <c r="I82" s="7"/>
      <c r="J82" s="8"/>
      <c r="K82" s="9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 customHeight="1" x14ac:dyDescent="0.25">
      <c r="A83" s="20"/>
      <c r="B83" s="20"/>
      <c r="C83" s="14"/>
      <c r="D83" s="14"/>
      <c r="E83" s="5"/>
      <c r="F83" s="6"/>
      <c r="G83" s="7"/>
      <c r="H83" s="7"/>
      <c r="I83" s="7"/>
      <c r="J83" s="8"/>
      <c r="K83" s="9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 customHeight="1" x14ac:dyDescent="0.25">
      <c r="A84" s="20"/>
      <c r="B84" s="20"/>
      <c r="C84" s="14"/>
      <c r="D84" s="14"/>
      <c r="E84" s="5"/>
      <c r="F84" s="6"/>
      <c r="G84" s="7"/>
      <c r="H84" s="7"/>
      <c r="I84" s="7"/>
      <c r="J84" s="8"/>
      <c r="K84" s="9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.75" customHeight="1" x14ac:dyDescent="0.25">
      <c r="A85" s="20"/>
      <c r="B85" s="20"/>
      <c r="C85" s="14"/>
      <c r="D85" s="14"/>
      <c r="E85" s="5"/>
      <c r="F85" s="6"/>
      <c r="G85" s="7"/>
      <c r="H85" s="7"/>
      <c r="I85" s="7"/>
      <c r="J85" s="8"/>
      <c r="K85" s="9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 customHeight="1" x14ac:dyDescent="0.25">
      <c r="A86" s="20"/>
      <c r="B86" s="20"/>
      <c r="C86" s="5"/>
      <c r="D86" s="14"/>
      <c r="E86" s="5"/>
      <c r="F86" s="53"/>
      <c r="G86" s="54"/>
      <c r="H86" s="54"/>
      <c r="I86" s="7"/>
      <c r="J86" s="9"/>
      <c r="K86" s="21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 customHeight="1" x14ac:dyDescent="0.25">
      <c r="A87" s="20"/>
      <c r="B87" s="20"/>
      <c r="C87" s="14"/>
      <c r="D87" s="14"/>
      <c r="E87" s="5"/>
      <c r="F87" s="53"/>
      <c r="G87" s="54"/>
      <c r="H87" s="54"/>
      <c r="I87" s="7"/>
      <c r="J87" s="9"/>
      <c r="K87" s="21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 customHeight="1" x14ac:dyDescent="0.25">
      <c r="A88" s="20"/>
      <c r="B88" s="20"/>
      <c r="C88" s="14"/>
      <c r="D88" s="14"/>
      <c r="E88" s="5"/>
      <c r="F88" s="53"/>
      <c r="G88" s="54"/>
      <c r="H88" s="54"/>
      <c r="I88" s="7"/>
      <c r="J88" s="9"/>
      <c r="K88" s="21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 customHeight="1" x14ac:dyDescent="0.25">
      <c r="A89" s="20"/>
      <c r="B89" s="20"/>
      <c r="C89" s="14"/>
      <c r="D89" s="14"/>
      <c r="E89" s="5"/>
      <c r="F89" s="53"/>
      <c r="G89" s="54"/>
      <c r="H89" s="54"/>
      <c r="I89" s="7"/>
      <c r="J89" s="9"/>
      <c r="K89" s="2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 customHeight="1" x14ac:dyDescent="0.25">
      <c r="A90" s="20"/>
      <c r="B90" s="20"/>
      <c r="C90" s="14"/>
      <c r="D90" s="14"/>
      <c r="E90" s="5"/>
      <c r="F90" s="53"/>
      <c r="G90" s="54"/>
      <c r="H90" s="54"/>
      <c r="I90" s="7"/>
      <c r="J90" s="9"/>
      <c r="K90" s="2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.75" customHeight="1" x14ac:dyDescent="0.25">
      <c r="A91" s="20"/>
      <c r="B91" s="20"/>
      <c r="C91" s="14"/>
      <c r="D91" s="14"/>
      <c r="E91" s="5"/>
      <c r="F91" s="53"/>
      <c r="G91" s="54"/>
      <c r="H91" s="54"/>
      <c r="I91" s="7"/>
      <c r="J91" s="9"/>
      <c r="K91" s="2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 customHeight="1" x14ac:dyDescent="0.25">
      <c r="A92" s="20"/>
      <c r="B92" s="20"/>
      <c r="C92" s="14"/>
      <c r="D92" s="14"/>
      <c r="E92" s="5"/>
      <c r="F92" s="53"/>
      <c r="G92" s="54"/>
      <c r="H92" s="54"/>
      <c r="I92" s="7"/>
      <c r="J92" s="9"/>
      <c r="K92" s="21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.75" customHeight="1" x14ac:dyDescent="0.25">
      <c r="A93" s="20"/>
      <c r="B93" s="20"/>
      <c r="C93" s="14"/>
      <c r="D93" s="14"/>
      <c r="E93" s="5"/>
      <c r="F93" s="53"/>
      <c r="G93" s="54"/>
      <c r="H93" s="54"/>
      <c r="I93" s="7"/>
      <c r="J93" s="9"/>
      <c r="K93" s="9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.75" customHeight="1" x14ac:dyDescent="0.25">
      <c r="A94" s="20"/>
      <c r="B94" s="20"/>
      <c r="C94" s="14"/>
      <c r="D94" s="14"/>
      <c r="E94" s="5"/>
      <c r="F94" s="53"/>
      <c r="G94" s="54"/>
      <c r="H94" s="54"/>
      <c r="I94" s="7"/>
      <c r="J94" s="9"/>
      <c r="K94" s="9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 customHeight="1" x14ac:dyDescent="0.25">
      <c r="A95" s="20"/>
      <c r="B95" s="20"/>
      <c r="C95" s="14"/>
      <c r="D95" s="14"/>
      <c r="E95" s="5"/>
      <c r="F95" s="53"/>
      <c r="G95" s="54"/>
      <c r="H95" s="54"/>
      <c r="I95" s="7"/>
      <c r="J95" s="9"/>
      <c r="K95" s="9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 customHeight="1" x14ac:dyDescent="0.25">
      <c r="A96" s="20"/>
      <c r="B96" s="20"/>
      <c r="C96" s="14"/>
      <c r="D96" s="14"/>
      <c r="E96" s="5"/>
      <c r="F96" s="53"/>
      <c r="G96" s="54"/>
      <c r="H96" s="54"/>
      <c r="I96" s="7"/>
      <c r="J96" s="9"/>
      <c r="K96" s="9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 customHeight="1" x14ac:dyDescent="0.25">
      <c r="A97" s="20"/>
      <c r="B97" s="20"/>
      <c r="C97" s="14"/>
      <c r="D97" s="14"/>
      <c r="E97" s="5"/>
      <c r="F97" s="53"/>
      <c r="G97" s="54"/>
      <c r="H97" s="54"/>
      <c r="I97" s="7"/>
      <c r="J97" s="9"/>
      <c r="K97" s="9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 customHeight="1" x14ac:dyDescent="0.25">
      <c r="A98" s="20"/>
      <c r="B98" s="20"/>
      <c r="C98" s="14"/>
      <c r="D98" s="14"/>
      <c r="E98" s="5"/>
      <c r="F98" s="53"/>
      <c r="G98" s="54"/>
      <c r="H98" s="54"/>
      <c r="I98" s="7"/>
      <c r="J98" s="9"/>
      <c r="K98" s="9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 customHeight="1" x14ac:dyDescent="0.25">
      <c r="A99" s="20"/>
      <c r="B99" s="20"/>
      <c r="C99" s="14"/>
      <c r="D99" s="14"/>
      <c r="E99" s="5"/>
      <c r="F99" s="53"/>
      <c r="G99" s="54"/>
      <c r="H99" s="54"/>
      <c r="I99" s="7"/>
      <c r="J99" s="9"/>
      <c r="K99" s="9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 customHeight="1" x14ac:dyDescent="0.25">
      <c r="A100" s="20"/>
      <c r="B100" s="20"/>
      <c r="C100" s="14"/>
      <c r="D100" s="14"/>
      <c r="E100" s="5"/>
      <c r="F100" s="53"/>
      <c r="G100" s="54"/>
      <c r="H100" s="54"/>
      <c r="I100" s="7"/>
      <c r="J100" s="9"/>
      <c r="K100" s="9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 customHeight="1" x14ac:dyDescent="0.25">
      <c r="A101" s="20"/>
      <c r="B101" s="20"/>
      <c r="C101" s="14"/>
      <c r="D101" s="14"/>
      <c r="E101" s="5"/>
      <c r="F101" s="53"/>
      <c r="G101" s="54"/>
      <c r="H101" s="54"/>
      <c r="I101" s="7"/>
      <c r="J101" s="9"/>
      <c r="K101" s="21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 customHeight="1" x14ac:dyDescent="0.25">
      <c r="A102" s="20"/>
      <c r="B102" s="20"/>
      <c r="C102" s="14"/>
      <c r="D102" s="14"/>
      <c r="E102" s="5"/>
      <c r="F102" s="53"/>
      <c r="G102" s="54"/>
      <c r="H102" s="54"/>
      <c r="I102" s="7"/>
      <c r="J102" s="9"/>
      <c r="K102" s="21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 customHeight="1" x14ac:dyDescent="0.25">
      <c r="A103" s="20"/>
      <c r="B103" s="20"/>
      <c r="C103" s="14"/>
      <c r="D103" s="14"/>
      <c r="E103" s="5"/>
      <c r="F103" s="53"/>
      <c r="G103" s="54"/>
      <c r="H103" s="54"/>
      <c r="I103" s="7"/>
      <c r="J103" s="9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 customHeight="1" x14ac:dyDescent="0.25">
      <c r="A104" s="20"/>
      <c r="B104" s="20"/>
      <c r="C104" s="14"/>
      <c r="D104" s="14"/>
      <c r="E104" s="5"/>
      <c r="F104" s="53"/>
      <c r="G104" s="54"/>
      <c r="H104" s="54"/>
      <c r="I104" s="7"/>
      <c r="J104" s="9"/>
      <c r="K104" s="9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 customHeight="1" x14ac:dyDescent="0.25">
      <c r="A105" s="20"/>
      <c r="B105" s="20"/>
      <c r="C105" s="14"/>
      <c r="D105" s="14"/>
      <c r="E105" s="5"/>
      <c r="F105" s="53"/>
      <c r="G105" s="54"/>
      <c r="H105" s="54"/>
      <c r="I105" s="7"/>
      <c r="J105" s="9"/>
      <c r="K105" s="9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 customHeight="1" x14ac:dyDescent="0.25">
      <c r="A106" s="20"/>
      <c r="B106" s="20"/>
      <c r="C106" s="14"/>
      <c r="D106" s="14"/>
      <c r="E106" s="5"/>
      <c r="F106" s="53"/>
      <c r="G106" s="54"/>
      <c r="H106" s="54"/>
      <c r="I106" s="7"/>
      <c r="J106" s="9"/>
      <c r="K106" s="9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 customHeight="1" x14ac:dyDescent="0.25">
      <c r="A107" s="20"/>
      <c r="B107" s="20"/>
      <c r="C107" s="14"/>
      <c r="D107" s="14"/>
      <c r="E107" s="5"/>
      <c r="F107" s="53"/>
      <c r="G107" s="54"/>
      <c r="H107" s="54"/>
      <c r="I107" s="7"/>
      <c r="J107" s="9"/>
      <c r="K107" s="21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.75" customHeight="1" x14ac:dyDescent="0.25">
      <c r="A108" s="20"/>
      <c r="B108" s="20"/>
      <c r="C108" s="14"/>
      <c r="D108" s="14"/>
      <c r="E108" s="5"/>
      <c r="F108" s="53"/>
      <c r="G108" s="54"/>
      <c r="H108" s="54"/>
      <c r="I108" s="7"/>
      <c r="J108" s="9"/>
      <c r="K108" s="2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 customHeight="1" x14ac:dyDescent="0.25">
      <c r="A109" s="20"/>
      <c r="B109" s="20"/>
      <c r="C109" s="14"/>
      <c r="D109" s="14"/>
      <c r="E109" s="5"/>
      <c r="F109" s="53"/>
      <c r="G109" s="54"/>
      <c r="H109" s="54"/>
      <c r="I109" s="7"/>
      <c r="J109" s="9"/>
      <c r="K109" s="21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 customHeight="1" x14ac:dyDescent="0.25">
      <c r="A110" s="20"/>
      <c r="B110" s="20"/>
      <c r="C110" s="14"/>
      <c r="D110" s="14"/>
      <c r="E110" s="5"/>
      <c r="F110" s="53"/>
      <c r="G110" s="54"/>
      <c r="H110" s="54"/>
      <c r="I110" s="7"/>
      <c r="J110" s="9"/>
      <c r="K110" s="21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 customHeight="1" x14ac:dyDescent="0.25">
      <c r="A111" s="20"/>
      <c r="B111" s="20"/>
      <c r="C111" s="14"/>
      <c r="D111" s="14"/>
      <c r="E111" s="5"/>
      <c r="F111" s="53"/>
      <c r="G111" s="54"/>
      <c r="H111" s="54"/>
      <c r="I111" s="7"/>
      <c r="J111" s="9"/>
      <c r="K111" s="21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 customHeight="1" x14ac:dyDescent="0.25">
      <c r="A112" s="20"/>
      <c r="B112" s="20"/>
      <c r="C112" s="14"/>
      <c r="D112" s="14"/>
      <c r="E112" s="5"/>
      <c r="F112" s="53"/>
      <c r="G112" s="54"/>
      <c r="H112" s="54"/>
      <c r="I112" s="7"/>
      <c r="J112" s="9"/>
      <c r="K112" s="2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 customHeight="1" x14ac:dyDescent="0.25">
      <c r="A113" s="20"/>
      <c r="B113" s="20"/>
      <c r="C113" s="14"/>
      <c r="D113" s="14"/>
      <c r="E113" s="5"/>
      <c r="F113" s="53"/>
      <c r="G113" s="54"/>
      <c r="H113" s="54"/>
      <c r="I113" s="7"/>
      <c r="J113" s="9"/>
      <c r="K113" s="2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 customHeight="1" x14ac:dyDescent="0.25">
      <c r="A114" s="20"/>
      <c r="B114" s="20"/>
      <c r="C114" s="14"/>
      <c r="D114" s="14"/>
      <c r="E114" s="5"/>
      <c r="F114" s="53"/>
      <c r="G114" s="54"/>
      <c r="H114" s="54"/>
      <c r="I114" s="7"/>
      <c r="J114" s="9"/>
      <c r="K114" s="21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 customHeight="1" x14ac:dyDescent="0.25">
      <c r="A115" s="20"/>
      <c r="B115" s="20"/>
      <c r="C115" s="14"/>
      <c r="D115" s="14"/>
      <c r="E115" s="5"/>
      <c r="F115" s="53"/>
      <c r="G115" s="54"/>
      <c r="H115" s="54"/>
      <c r="I115" s="7"/>
      <c r="J115" s="9"/>
      <c r="K115" s="21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 customHeight="1" x14ac:dyDescent="0.25">
      <c r="A116" s="20"/>
      <c r="B116" s="20"/>
      <c r="C116" s="14"/>
      <c r="D116" s="14"/>
      <c r="E116" s="5"/>
      <c r="F116" s="53"/>
      <c r="G116" s="54"/>
      <c r="H116" s="54"/>
      <c r="I116" s="7"/>
      <c r="J116" s="9"/>
      <c r="K116" s="21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 customHeight="1" x14ac:dyDescent="0.25">
      <c r="A117" s="20"/>
      <c r="B117" s="20"/>
      <c r="C117" s="14"/>
      <c r="D117" s="14"/>
      <c r="E117" s="5"/>
      <c r="F117" s="53"/>
      <c r="G117" s="54"/>
      <c r="H117" s="54"/>
      <c r="I117" s="7"/>
      <c r="J117" s="9"/>
      <c r="K117" s="2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 customHeight="1" x14ac:dyDescent="0.25">
      <c r="A118" s="20"/>
      <c r="B118" s="20"/>
      <c r="C118" s="14"/>
      <c r="D118" s="14"/>
      <c r="E118" s="5"/>
      <c r="F118" s="53"/>
      <c r="G118" s="54"/>
      <c r="H118" s="54"/>
      <c r="I118" s="7"/>
      <c r="J118" s="9"/>
      <c r="K118" s="21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 customHeight="1" x14ac:dyDescent="0.25">
      <c r="A119" s="20"/>
      <c r="B119" s="20"/>
      <c r="C119" s="14"/>
      <c r="D119" s="14"/>
      <c r="E119" s="5"/>
      <c r="F119" s="53"/>
      <c r="G119" s="54"/>
      <c r="H119" s="54"/>
      <c r="I119" s="7"/>
      <c r="J119" s="9"/>
      <c r="K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 customHeight="1" x14ac:dyDescent="0.25">
      <c r="A120" s="20"/>
      <c r="B120" s="20"/>
      <c r="C120" s="14"/>
      <c r="D120" s="14"/>
      <c r="E120" s="5"/>
      <c r="F120" s="53"/>
      <c r="G120" s="54"/>
      <c r="H120" s="54"/>
      <c r="I120" s="7"/>
      <c r="J120" s="9"/>
      <c r="K120" s="2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 customHeight="1" x14ac:dyDescent="0.25">
      <c r="A121" s="20"/>
      <c r="B121" s="20"/>
      <c r="C121" s="14"/>
      <c r="D121" s="14"/>
      <c r="E121" s="5"/>
      <c r="F121" s="53"/>
      <c r="G121" s="54"/>
      <c r="H121" s="54"/>
      <c r="I121" s="7"/>
      <c r="J121" s="9"/>
      <c r="K121" s="21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 customHeight="1" x14ac:dyDescent="0.25">
      <c r="A122" s="20"/>
      <c r="B122" s="20"/>
      <c r="C122" s="14"/>
      <c r="D122" s="14"/>
      <c r="E122" s="5"/>
      <c r="F122" s="53"/>
      <c r="G122" s="54"/>
      <c r="H122" s="54"/>
      <c r="I122" s="7"/>
      <c r="J122" s="9"/>
      <c r="K122" s="21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 customHeight="1" x14ac:dyDescent="0.25">
      <c r="A123" s="20"/>
      <c r="B123" s="20"/>
      <c r="C123" s="14"/>
      <c r="D123" s="14"/>
      <c r="E123" s="5"/>
      <c r="F123" s="53"/>
      <c r="G123" s="54"/>
      <c r="H123" s="54"/>
      <c r="I123" s="7"/>
      <c r="J123" s="9"/>
      <c r="K123" s="21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 customHeight="1" x14ac:dyDescent="0.25">
      <c r="A124" s="20"/>
      <c r="B124" s="20"/>
      <c r="C124" s="14"/>
      <c r="D124" s="14"/>
      <c r="E124" s="5"/>
      <c r="F124" s="53"/>
      <c r="G124" s="54"/>
      <c r="H124" s="54"/>
      <c r="I124" s="7"/>
      <c r="J124" s="9"/>
      <c r="K124" s="2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 customHeight="1" x14ac:dyDescent="0.25">
      <c r="A125" s="20"/>
      <c r="B125" s="20"/>
      <c r="C125" s="14"/>
      <c r="D125" s="14"/>
      <c r="E125" s="5"/>
      <c r="F125" s="53"/>
      <c r="G125" s="54"/>
      <c r="H125" s="54"/>
      <c r="I125" s="7"/>
      <c r="J125" s="9"/>
      <c r="K125" s="21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 customHeight="1" x14ac:dyDescent="0.25">
      <c r="A126" s="20"/>
      <c r="B126" s="20"/>
      <c r="C126" s="14"/>
      <c r="D126" s="14"/>
      <c r="E126" s="5"/>
      <c r="F126" s="53"/>
      <c r="G126" s="54"/>
      <c r="H126" s="54"/>
      <c r="I126" s="7"/>
      <c r="J126" s="9"/>
      <c r="K126" s="9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 customHeight="1" x14ac:dyDescent="0.25">
      <c r="A127" s="20"/>
      <c r="B127" s="20"/>
      <c r="C127" s="14"/>
      <c r="D127" s="14"/>
      <c r="E127" s="5"/>
      <c r="F127" s="53"/>
      <c r="G127" s="54"/>
      <c r="H127" s="54"/>
      <c r="I127" s="7"/>
      <c r="J127" s="9"/>
      <c r="K127" s="2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 customHeight="1" x14ac:dyDescent="0.25">
      <c r="A128" s="20"/>
      <c r="B128" s="20"/>
      <c r="C128" s="14"/>
      <c r="D128" s="14"/>
      <c r="E128" s="5"/>
      <c r="F128" s="53"/>
      <c r="G128" s="54"/>
      <c r="H128" s="54"/>
      <c r="I128" s="7"/>
      <c r="J128" s="9"/>
      <c r="K128" s="2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 customHeight="1" x14ac:dyDescent="0.25">
      <c r="A129" s="20"/>
      <c r="B129" s="20"/>
      <c r="C129" s="14"/>
      <c r="D129" s="14"/>
      <c r="E129" s="5"/>
      <c r="F129" s="53"/>
      <c r="G129" s="54"/>
      <c r="H129" s="54"/>
      <c r="I129" s="7"/>
      <c r="J129" s="9"/>
      <c r="K129" s="2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 customHeight="1" x14ac:dyDescent="0.25">
      <c r="A130" s="20"/>
      <c r="B130" s="20"/>
      <c r="C130" s="14"/>
      <c r="D130" s="14"/>
      <c r="E130" s="5"/>
      <c r="F130" s="53"/>
      <c r="G130" s="54"/>
      <c r="H130" s="54"/>
      <c r="I130" s="7"/>
      <c r="J130" s="9"/>
      <c r="K130" s="21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 customHeight="1" x14ac:dyDescent="0.25">
      <c r="A131" s="20"/>
      <c r="B131" s="20"/>
      <c r="C131" s="14"/>
      <c r="D131" s="14"/>
      <c r="E131" s="5"/>
      <c r="F131" s="53"/>
      <c r="G131" s="54"/>
      <c r="H131" s="54"/>
      <c r="I131" s="7"/>
      <c r="J131" s="9"/>
      <c r="K131" s="2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 customHeight="1" x14ac:dyDescent="0.25">
      <c r="A132" s="20"/>
      <c r="B132" s="20"/>
      <c r="C132" s="14"/>
      <c r="D132" s="14"/>
      <c r="E132" s="5"/>
      <c r="F132" s="53"/>
      <c r="G132" s="54"/>
      <c r="H132" s="54"/>
      <c r="I132" s="7"/>
      <c r="J132" s="9"/>
      <c r="K132" s="21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 customHeight="1" x14ac:dyDescent="0.25">
      <c r="A133" s="20"/>
      <c r="B133" s="20"/>
      <c r="C133" s="14"/>
      <c r="D133" s="14"/>
      <c r="E133" s="5"/>
      <c r="F133" s="53"/>
      <c r="G133" s="54"/>
      <c r="H133" s="54"/>
      <c r="I133" s="7"/>
      <c r="J133" s="9"/>
      <c r="K133" s="21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 customHeight="1" x14ac:dyDescent="0.25">
      <c r="A134" s="20"/>
      <c r="B134" s="20"/>
      <c r="C134" s="14"/>
      <c r="D134" s="14"/>
      <c r="E134" s="5"/>
      <c r="F134" s="53"/>
      <c r="G134" s="54"/>
      <c r="H134" s="54"/>
      <c r="I134" s="7"/>
      <c r="J134" s="9"/>
      <c r="K134" s="21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.75" customHeight="1" x14ac:dyDescent="0.25">
      <c r="A135" s="20"/>
      <c r="B135" s="20"/>
      <c r="C135" s="14"/>
      <c r="D135" s="14"/>
      <c r="E135" s="5"/>
      <c r="F135" s="53"/>
      <c r="G135" s="54"/>
      <c r="H135" s="54"/>
      <c r="I135" s="7"/>
      <c r="J135" s="9"/>
      <c r="K135" s="21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 customHeight="1" x14ac:dyDescent="0.25">
      <c r="A136" s="20"/>
      <c r="B136" s="20"/>
      <c r="C136" s="14"/>
      <c r="D136" s="14"/>
      <c r="E136" s="5"/>
      <c r="F136" s="53"/>
      <c r="G136" s="54"/>
      <c r="H136" s="54"/>
      <c r="I136" s="7"/>
      <c r="J136" s="9"/>
      <c r="K136" s="21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 customHeight="1" x14ac:dyDescent="0.25">
      <c r="A137" s="20"/>
      <c r="B137" s="20"/>
      <c r="C137" s="14"/>
      <c r="D137" s="14"/>
      <c r="E137" s="5"/>
      <c r="F137" s="53"/>
      <c r="G137" s="54"/>
      <c r="H137" s="54"/>
      <c r="I137" s="7"/>
      <c r="J137" s="9"/>
      <c r="K137" s="21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 customHeight="1" x14ac:dyDescent="0.25">
      <c r="A138" s="20"/>
      <c r="B138" s="20"/>
      <c r="C138" s="14"/>
      <c r="D138" s="14"/>
      <c r="E138" s="5"/>
      <c r="F138" s="53"/>
      <c r="G138" s="54"/>
      <c r="H138" s="54"/>
      <c r="I138" s="7"/>
      <c r="J138" s="9"/>
      <c r="K138" s="21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 customHeight="1" x14ac:dyDescent="0.25">
      <c r="A139" s="20"/>
      <c r="B139" s="20"/>
      <c r="C139" s="14"/>
      <c r="D139" s="14"/>
      <c r="E139" s="5"/>
      <c r="F139" s="53"/>
      <c r="G139" s="54"/>
      <c r="H139" s="54"/>
      <c r="I139" s="7"/>
      <c r="J139" s="9"/>
      <c r="K139" s="21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 customHeight="1" x14ac:dyDescent="0.25">
      <c r="A140" s="20"/>
      <c r="B140" s="20"/>
      <c r="C140" s="14"/>
      <c r="D140" s="14"/>
      <c r="E140" s="5"/>
      <c r="F140" s="53"/>
      <c r="G140" s="54"/>
      <c r="H140" s="54"/>
      <c r="I140" s="7"/>
      <c r="J140" s="9"/>
      <c r="K140" s="21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 customHeight="1" x14ac:dyDescent="0.25">
      <c r="A141" s="20"/>
      <c r="B141" s="20"/>
      <c r="C141" s="14"/>
      <c r="D141" s="14"/>
      <c r="E141" s="5"/>
      <c r="F141" s="53"/>
      <c r="G141" s="54"/>
      <c r="H141" s="54"/>
      <c r="I141" s="7"/>
      <c r="J141" s="9"/>
      <c r="K141" s="21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 customHeight="1" x14ac:dyDescent="0.25">
      <c r="A142" s="20"/>
      <c r="B142" s="20"/>
      <c r="C142" s="14"/>
      <c r="D142" s="14"/>
      <c r="E142" s="5"/>
      <c r="F142" s="53"/>
      <c r="G142" s="54"/>
      <c r="H142" s="54"/>
      <c r="I142" s="7"/>
      <c r="J142" s="9"/>
      <c r="K142" s="21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 customHeight="1" x14ac:dyDescent="0.25">
      <c r="A143" s="20"/>
      <c r="B143" s="20"/>
      <c r="C143" s="14"/>
      <c r="D143" s="14"/>
      <c r="E143" s="5"/>
      <c r="F143" s="53"/>
      <c r="G143" s="54"/>
      <c r="H143" s="54"/>
      <c r="I143" s="7"/>
      <c r="J143" s="9"/>
      <c r="K143" s="21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 customHeight="1" x14ac:dyDescent="0.25">
      <c r="A144" s="20"/>
      <c r="B144" s="20"/>
      <c r="C144" s="14"/>
      <c r="D144" s="14"/>
      <c r="E144" s="5"/>
      <c r="F144" s="53"/>
      <c r="G144" s="54"/>
      <c r="H144" s="54"/>
      <c r="I144" s="7"/>
      <c r="J144" s="9"/>
      <c r="K144" s="21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.75" customHeight="1" x14ac:dyDescent="0.25">
      <c r="A145" s="20"/>
      <c r="B145" s="20"/>
      <c r="C145" s="14"/>
      <c r="D145" s="14"/>
      <c r="E145" s="5"/>
      <c r="F145" s="53"/>
      <c r="G145" s="54"/>
      <c r="H145" s="54"/>
      <c r="I145" s="7"/>
      <c r="J145" s="9"/>
      <c r="K145" s="9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.75" customHeight="1" x14ac:dyDescent="0.25">
      <c r="A146" s="20"/>
      <c r="B146" s="20"/>
      <c r="C146" s="14"/>
      <c r="D146" s="14"/>
      <c r="E146" s="5"/>
      <c r="F146" s="53"/>
      <c r="G146" s="54"/>
      <c r="H146" s="54"/>
      <c r="I146" s="7"/>
      <c r="J146" s="9"/>
      <c r="K146" s="9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.75" customHeight="1" x14ac:dyDescent="0.25">
      <c r="A147" s="20"/>
      <c r="B147" s="20"/>
      <c r="C147" s="14"/>
      <c r="D147" s="14"/>
      <c r="E147" s="5"/>
      <c r="F147" s="53"/>
      <c r="G147" s="54"/>
      <c r="H147" s="54"/>
      <c r="I147" s="7"/>
      <c r="J147" s="9"/>
      <c r="K147" s="9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.75" customHeight="1" x14ac:dyDescent="0.25">
      <c r="A148" s="20"/>
      <c r="B148" s="20"/>
      <c r="C148" s="14"/>
      <c r="D148" s="14"/>
      <c r="E148" s="5"/>
      <c r="F148" s="53"/>
      <c r="G148" s="54"/>
      <c r="H148" s="54"/>
      <c r="I148" s="7"/>
      <c r="J148" s="9"/>
      <c r="K148" s="9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.75" customHeight="1" x14ac:dyDescent="0.25">
      <c r="A149" s="20"/>
      <c r="B149" s="20"/>
      <c r="C149" s="14"/>
      <c r="D149" s="14"/>
      <c r="E149" s="5"/>
      <c r="F149" s="53"/>
      <c r="G149" s="54"/>
      <c r="H149" s="54"/>
      <c r="I149" s="7"/>
      <c r="J149" s="9"/>
      <c r="K149" s="9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.75" customHeight="1" x14ac:dyDescent="0.25">
      <c r="A150" s="20"/>
      <c r="B150" s="20"/>
      <c r="C150" s="14"/>
      <c r="D150" s="14"/>
      <c r="E150" s="5"/>
      <c r="F150" s="53"/>
      <c r="G150" s="54"/>
      <c r="H150" s="54"/>
      <c r="I150" s="7"/>
      <c r="J150" s="9"/>
      <c r="K150" s="9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.75" customHeight="1" x14ac:dyDescent="0.25">
      <c r="A151" s="20"/>
      <c r="B151" s="20"/>
      <c r="C151" s="14"/>
      <c r="D151" s="14"/>
      <c r="E151" s="5"/>
      <c r="F151" s="53"/>
      <c r="G151" s="54"/>
      <c r="H151" s="54"/>
      <c r="I151" s="7"/>
      <c r="J151" s="9"/>
      <c r="K151" s="9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.75" customHeight="1" x14ac:dyDescent="0.25">
      <c r="A152" s="20"/>
      <c r="B152" s="20"/>
      <c r="C152" s="14"/>
      <c r="D152" s="14"/>
      <c r="E152" s="5"/>
      <c r="F152" s="53"/>
      <c r="G152" s="54"/>
      <c r="H152" s="54"/>
      <c r="I152" s="7"/>
      <c r="J152" s="9"/>
      <c r="K152" s="9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.75" customHeight="1" x14ac:dyDescent="0.25">
      <c r="A153" s="20"/>
      <c r="B153" s="20"/>
      <c r="C153" s="14"/>
      <c r="D153" s="14"/>
      <c r="E153" s="5"/>
      <c r="F153" s="53"/>
      <c r="G153" s="54"/>
      <c r="H153" s="54"/>
      <c r="I153" s="7"/>
      <c r="J153" s="9"/>
      <c r="K153" s="9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.75" customHeight="1" x14ac:dyDescent="0.25">
      <c r="A154" s="20"/>
      <c r="B154" s="20"/>
      <c r="C154" s="14"/>
      <c r="D154" s="14"/>
      <c r="E154" s="5"/>
      <c r="F154" s="53"/>
      <c r="G154" s="54"/>
      <c r="H154" s="54"/>
      <c r="I154" s="7"/>
      <c r="J154" s="9"/>
      <c r="K154" s="9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.75" customHeight="1" x14ac:dyDescent="0.25">
      <c r="A155" s="20"/>
      <c r="B155" s="20"/>
      <c r="C155" s="14"/>
      <c r="D155" s="14"/>
      <c r="E155" s="5"/>
      <c r="F155" s="53"/>
      <c r="G155" s="54"/>
      <c r="H155" s="54"/>
      <c r="I155" s="7"/>
      <c r="J155" s="9"/>
      <c r="K155" s="9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.75" customHeight="1" x14ac:dyDescent="0.25">
      <c r="A156" s="20"/>
      <c r="B156" s="20"/>
      <c r="C156" s="14"/>
      <c r="D156" s="14"/>
      <c r="E156" s="5"/>
      <c r="F156" s="53"/>
      <c r="G156" s="54"/>
      <c r="H156" s="54"/>
      <c r="I156" s="7"/>
      <c r="J156" s="9"/>
      <c r="K156" s="9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.75" customHeight="1" x14ac:dyDescent="0.25">
      <c r="A157" s="20"/>
      <c r="B157" s="20"/>
      <c r="C157" s="14"/>
      <c r="D157" s="14"/>
      <c r="E157" s="5"/>
      <c r="F157" s="53"/>
      <c r="G157" s="54"/>
      <c r="H157" s="54"/>
      <c r="I157" s="7"/>
      <c r="J157" s="9"/>
      <c r="K157" s="9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.75" customHeight="1" x14ac:dyDescent="0.25">
      <c r="A158" s="20"/>
      <c r="B158" s="20"/>
      <c r="C158" s="14"/>
      <c r="D158" s="14"/>
      <c r="E158" s="5"/>
      <c r="F158" s="53"/>
      <c r="G158" s="54"/>
      <c r="H158" s="54"/>
      <c r="I158" s="7"/>
      <c r="J158" s="9"/>
      <c r="K158" s="9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.75" customHeight="1" x14ac:dyDescent="0.25">
      <c r="A159" s="20"/>
      <c r="B159" s="20"/>
      <c r="C159" s="14"/>
      <c r="D159" s="14"/>
      <c r="E159" s="5"/>
      <c r="F159" s="53"/>
      <c r="G159" s="54"/>
      <c r="H159" s="54"/>
      <c r="I159" s="7"/>
      <c r="J159" s="9"/>
      <c r="K159" s="9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.75" customHeight="1" x14ac:dyDescent="0.25">
      <c r="A160" s="20"/>
      <c r="B160" s="20"/>
      <c r="C160" s="14"/>
      <c r="D160" s="14"/>
      <c r="E160" s="5"/>
      <c r="F160" s="53"/>
      <c r="G160" s="54"/>
      <c r="H160" s="54"/>
      <c r="I160" s="7"/>
      <c r="J160" s="9"/>
      <c r="K160" s="9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.75" customHeight="1" x14ac:dyDescent="0.25">
      <c r="A161" s="20"/>
      <c r="B161" s="20"/>
      <c r="C161" s="14"/>
      <c r="D161" s="14"/>
      <c r="E161" s="5"/>
      <c r="F161" s="53"/>
      <c r="G161" s="54"/>
      <c r="H161" s="54"/>
      <c r="I161" s="7"/>
      <c r="J161" s="9"/>
      <c r="K161" s="9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.75" customHeight="1" x14ac:dyDescent="0.25">
      <c r="A162" s="20"/>
      <c r="B162" s="20"/>
      <c r="C162" s="14"/>
      <c r="D162" s="14"/>
      <c r="E162" s="5"/>
      <c r="F162" s="53"/>
      <c r="G162" s="54"/>
      <c r="H162" s="54"/>
      <c r="I162" s="7"/>
      <c r="J162" s="9"/>
      <c r="K162" s="9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.75" customHeight="1" x14ac:dyDescent="0.25">
      <c r="A163" s="20"/>
      <c r="B163" s="20"/>
      <c r="C163" s="14"/>
      <c r="D163" s="14"/>
      <c r="E163" s="5"/>
      <c r="F163" s="53"/>
      <c r="G163" s="54"/>
      <c r="H163" s="54"/>
      <c r="I163" s="7"/>
      <c r="J163" s="9"/>
      <c r="K163" s="9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.75" customHeight="1" x14ac:dyDescent="0.25">
      <c r="A164" s="20"/>
      <c r="B164" s="20"/>
      <c r="C164" s="14"/>
      <c r="D164" s="14"/>
      <c r="E164" s="5"/>
      <c r="F164" s="53"/>
      <c r="G164" s="54"/>
      <c r="H164" s="54"/>
      <c r="I164" s="7"/>
      <c r="J164" s="9"/>
      <c r="K164" s="9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.75" customHeight="1" x14ac:dyDescent="0.25">
      <c r="A165" s="20"/>
      <c r="B165" s="20"/>
      <c r="C165" s="14"/>
      <c r="D165" s="14"/>
      <c r="E165" s="5"/>
      <c r="F165" s="53"/>
      <c r="G165" s="54"/>
      <c r="H165" s="54"/>
      <c r="I165" s="7"/>
      <c r="J165" s="9"/>
      <c r="K165" s="9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.75" customHeight="1" x14ac:dyDescent="0.25">
      <c r="A166" s="20"/>
      <c r="B166" s="20"/>
      <c r="C166" s="14"/>
      <c r="D166" s="14"/>
      <c r="E166" s="5"/>
      <c r="F166" s="53"/>
      <c r="G166" s="54"/>
      <c r="H166" s="54"/>
      <c r="I166" s="7"/>
      <c r="J166" s="9"/>
      <c r="K166" s="9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.75" customHeight="1" x14ac:dyDescent="0.25">
      <c r="A167" s="20"/>
      <c r="B167" s="20"/>
      <c r="C167" s="14"/>
      <c r="D167" s="14"/>
      <c r="E167" s="5"/>
      <c r="F167" s="53"/>
      <c r="G167" s="54"/>
      <c r="H167" s="54"/>
      <c r="I167" s="7"/>
      <c r="J167" s="9"/>
      <c r="K167" s="9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.75" customHeight="1" x14ac:dyDescent="0.25">
      <c r="A168" s="20"/>
      <c r="B168" s="20"/>
      <c r="C168" s="14"/>
      <c r="D168" s="14"/>
      <c r="E168" s="5"/>
      <c r="F168" s="53"/>
      <c r="G168" s="54"/>
      <c r="H168" s="54"/>
      <c r="I168" s="7"/>
      <c r="J168" s="9"/>
      <c r="K168" s="9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.75" customHeight="1" x14ac:dyDescent="0.25">
      <c r="A169" s="20"/>
      <c r="B169" s="20"/>
      <c r="C169" s="14"/>
      <c r="D169" s="14"/>
      <c r="E169" s="5"/>
      <c r="F169" s="53"/>
      <c r="G169" s="54"/>
      <c r="H169" s="54"/>
      <c r="I169" s="7"/>
      <c r="J169" s="9"/>
      <c r="K169" s="9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.75" customHeight="1" x14ac:dyDescent="0.25">
      <c r="A170" s="20"/>
      <c r="B170" s="20"/>
      <c r="C170" s="14"/>
      <c r="D170" s="14"/>
      <c r="E170" s="5"/>
      <c r="F170" s="53"/>
      <c r="G170" s="54"/>
      <c r="H170" s="54"/>
      <c r="I170" s="7"/>
      <c r="J170" s="9"/>
      <c r="K170" s="9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.75" customHeight="1" x14ac:dyDescent="0.25">
      <c r="A171" s="20"/>
      <c r="B171" s="20"/>
      <c r="C171" s="14"/>
      <c r="D171" s="14"/>
      <c r="E171" s="5"/>
      <c r="F171" s="53"/>
      <c r="G171" s="54"/>
      <c r="H171" s="54"/>
      <c r="I171" s="7"/>
      <c r="J171" s="9"/>
      <c r="K171" s="9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.75" customHeight="1" x14ac:dyDescent="0.25">
      <c r="A172" s="20"/>
      <c r="B172" s="20"/>
      <c r="C172" s="14"/>
      <c r="D172" s="14"/>
      <c r="E172" s="5"/>
      <c r="F172" s="53"/>
      <c r="G172" s="54"/>
      <c r="H172" s="54"/>
      <c r="I172" s="7"/>
      <c r="J172" s="9"/>
      <c r="K172" s="9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.75" customHeight="1" x14ac:dyDescent="0.25">
      <c r="A173" s="20"/>
      <c r="B173" s="20"/>
      <c r="C173" s="14"/>
      <c r="D173" s="14"/>
      <c r="E173" s="5"/>
      <c r="F173" s="53"/>
      <c r="G173" s="54"/>
      <c r="H173" s="54"/>
      <c r="I173" s="7"/>
      <c r="J173" s="9"/>
      <c r="K173" s="9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.75" customHeight="1" x14ac:dyDescent="0.25">
      <c r="A174" s="20"/>
      <c r="B174" s="20"/>
      <c r="C174" s="14"/>
      <c r="D174" s="14"/>
      <c r="E174" s="5"/>
      <c r="F174" s="53"/>
      <c r="G174" s="54"/>
      <c r="H174" s="54"/>
      <c r="I174" s="7"/>
      <c r="J174" s="9"/>
      <c r="K174" s="9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.75" customHeight="1" x14ac:dyDescent="0.25">
      <c r="A175" s="20"/>
      <c r="B175" s="20"/>
      <c r="C175" s="14"/>
      <c r="D175" s="14"/>
      <c r="E175" s="5"/>
      <c r="F175" s="53"/>
      <c r="G175" s="54"/>
      <c r="H175" s="54"/>
      <c r="I175" s="7"/>
      <c r="J175" s="9"/>
      <c r="K175" s="9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.75" customHeight="1" x14ac:dyDescent="0.25">
      <c r="A176" s="20"/>
      <c r="B176" s="20"/>
      <c r="C176" s="14"/>
      <c r="D176" s="14"/>
      <c r="E176" s="5"/>
      <c r="F176" s="53"/>
      <c r="G176" s="54"/>
      <c r="H176" s="54"/>
      <c r="I176" s="7"/>
      <c r="J176" s="9"/>
      <c r="K176" s="9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.75" customHeight="1" x14ac:dyDescent="0.25">
      <c r="A177" s="20"/>
      <c r="B177" s="20"/>
      <c r="C177" s="14"/>
      <c r="D177" s="14"/>
      <c r="E177" s="5"/>
      <c r="F177" s="53"/>
      <c r="G177" s="54"/>
      <c r="H177" s="54"/>
      <c r="I177" s="7"/>
      <c r="J177" s="9"/>
      <c r="K177" s="9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.75" customHeight="1" x14ac:dyDescent="0.25">
      <c r="A178" s="20"/>
      <c r="B178" s="20"/>
      <c r="C178" s="14"/>
      <c r="D178" s="14"/>
      <c r="E178" s="5"/>
      <c r="F178" s="53"/>
      <c r="G178" s="54"/>
      <c r="H178" s="54"/>
      <c r="I178" s="7"/>
      <c r="J178" s="9"/>
      <c r="K178" s="9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.75" customHeight="1" x14ac:dyDescent="0.25">
      <c r="A179" s="20"/>
      <c r="B179" s="20"/>
      <c r="C179" s="14"/>
      <c r="D179" s="14"/>
      <c r="E179" s="5"/>
      <c r="F179" s="53"/>
      <c r="G179" s="54"/>
      <c r="H179" s="54"/>
      <c r="I179" s="7"/>
      <c r="J179" s="9"/>
      <c r="K179" s="9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.75" customHeight="1" x14ac:dyDescent="0.25">
      <c r="A180" s="20"/>
      <c r="B180" s="20"/>
      <c r="C180" s="14"/>
      <c r="D180" s="14"/>
      <c r="E180" s="5"/>
      <c r="F180" s="53"/>
      <c r="G180" s="54"/>
      <c r="H180" s="54"/>
      <c r="I180" s="7"/>
      <c r="J180" s="9"/>
      <c r="K180" s="9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.75" customHeight="1" x14ac:dyDescent="0.25">
      <c r="A181" s="20"/>
      <c r="B181" s="20"/>
      <c r="C181" s="14"/>
      <c r="D181" s="14"/>
      <c r="E181" s="5"/>
      <c r="F181" s="53"/>
      <c r="G181" s="54"/>
      <c r="H181" s="54"/>
      <c r="I181" s="7"/>
      <c r="J181" s="9"/>
      <c r="K181" s="9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.75" customHeight="1" x14ac:dyDescent="0.25">
      <c r="A182" s="20"/>
      <c r="B182" s="20"/>
      <c r="C182" s="14"/>
      <c r="D182" s="14"/>
      <c r="E182" s="5"/>
      <c r="F182" s="53"/>
      <c r="G182" s="54"/>
      <c r="H182" s="54"/>
      <c r="I182" s="7"/>
      <c r="J182" s="9"/>
      <c r="K182" s="9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.75" customHeight="1" x14ac:dyDescent="0.25">
      <c r="A183" s="20"/>
      <c r="B183" s="20"/>
      <c r="C183" s="14"/>
      <c r="D183" s="14"/>
      <c r="E183" s="5"/>
      <c r="F183" s="53"/>
      <c r="G183" s="54"/>
      <c r="H183" s="54"/>
      <c r="I183" s="7"/>
      <c r="J183" s="9"/>
      <c r="K183" s="9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.75" customHeight="1" x14ac:dyDescent="0.25">
      <c r="A184" s="20"/>
      <c r="B184" s="20"/>
      <c r="C184" s="14"/>
      <c r="D184" s="14"/>
      <c r="E184" s="5"/>
      <c r="F184" s="53"/>
      <c r="G184" s="54"/>
      <c r="H184" s="54"/>
      <c r="I184" s="7"/>
      <c r="J184" s="9"/>
      <c r="K184" s="9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.75" customHeight="1" x14ac:dyDescent="0.25">
      <c r="A185" s="20"/>
      <c r="B185" s="20"/>
      <c r="C185" s="14"/>
      <c r="D185" s="14"/>
      <c r="E185" s="5"/>
      <c r="F185" s="53"/>
      <c r="G185" s="54"/>
      <c r="H185" s="54"/>
      <c r="I185" s="7"/>
      <c r="J185" s="9"/>
      <c r="K185" s="9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.75" customHeight="1" x14ac:dyDescent="0.25">
      <c r="A186" s="20"/>
      <c r="B186" s="20"/>
      <c r="C186" s="14"/>
      <c r="D186" s="14"/>
      <c r="E186" s="5"/>
      <c r="F186" s="53"/>
      <c r="G186" s="54"/>
      <c r="H186" s="54"/>
      <c r="I186" s="7"/>
      <c r="J186" s="9"/>
      <c r="K186" s="9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.75" customHeight="1" x14ac:dyDescent="0.25">
      <c r="A187" s="20"/>
      <c r="B187" s="20"/>
      <c r="C187" s="14"/>
      <c r="D187" s="14"/>
      <c r="E187" s="5"/>
      <c r="F187" s="53"/>
      <c r="G187" s="54"/>
      <c r="H187" s="54"/>
      <c r="I187" s="7"/>
      <c r="J187" s="9"/>
      <c r="K187" s="9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.75" customHeight="1" x14ac:dyDescent="0.25">
      <c r="A188" s="20"/>
      <c r="B188" s="20"/>
      <c r="C188" s="14"/>
      <c r="D188" s="14"/>
      <c r="E188" s="5"/>
      <c r="F188" s="53"/>
      <c r="G188" s="54"/>
      <c r="H188" s="54"/>
      <c r="I188" s="7"/>
      <c r="J188" s="9"/>
      <c r="K188" s="9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.75" customHeight="1" x14ac:dyDescent="0.25">
      <c r="A189" s="20"/>
      <c r="B189" s="20"/>
      <c r="C189" s="14"/>
      <c r="D189" s="14"/>
      <c r="E189" s="5"/>
      <c r="F189" s="53"/>
      <c r="G189" s="54"/>
      <c r="H189" s="54"/>
      <c r="I189" s="7"/>
      <c r="J189" s="9"/>
      <c r="K189" s="9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.75" customHeight="1" x14ac:dyDescent="0.25">
      <c r="A190" s="20"/>
      <c r="B190" s="20"/>
      <c r="C190" s="14"/>
      <c r="D190" s="14"/>
      <c r="E190" s="5"/>
      <c r="F190" s="53"/>
      <c r="G190" s="54"/>
      <c r="H190" s="54"/>
      <c r="I190" s="7"/>
      <c r="J190" s="9"/>
      <c r="K190" s="9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.75" customHeight="1" x14ac:dyDescent="0.25">
      <c r="A191" s="20"/>
      <c r="B191" s="20"/>
      <c r="C191" s="14"/>
      <c r="D191" s="14"/>
      <c r="E191" s="5"/>
      <c r="F191" s="53"/>
      <c r="G191" s="54"/>
      <c r="H191" s="54"/>
      <c r="I191" s="7"/>
      <c r="J191" s="9"/>
      <c r="K191" s="9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.75" customHeight="1" x14ac:dyDescent="0.25">
      <c r="A192" s="20"/>
      <c r="B192" s="20"/>
      <c r="C192" s="14"/>
      <c r="D192" s="14"/>
      <c r="E192" s="5"/>
      <c r="F192" s="53"/>
      <c r="G192" s="54"/>
      <c r="H192" s="54"/>
      <c r="I192" s="7"/>
      <c r="J192" s="9"/>
      <c r="K192" s="9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.75" customHeight="1" x14ac:dyDescent="0.25">
      <c r="A193" s="20"/>
      <c r="B193" s="20"/>
      <c r="C193" s="14"/>
      <c r="D193" s="14"/>
      <c r="E193" s="5"/>
      <c r="F193" s="53"/>
      <c r="G193" s="54"/>
      <c r="H193" s="54"/>
      <c r="I193" s="7"/>
      <c r="J193" s="9"/>
      <c r="K193" s="9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.75" customHeight="1" x14ac:dyDescent="0.25">
      <c r="A194" s="20"/>
      <c r="B194" s="20"/>
      <c r="C194" s="14"/>
      <c r="D194" s="14"/>
      <c r="E194" s="5"/>
      <c r="F194" s="53"/>
      <c r="G194" s="54"/>
      <c r="H194" s="54"/>
      <c r="I194" s="7"/>
      <c r="J194" s="9"/>
      <c r="K194" s="9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.75" customHeight="1" x14ac:dyDescent="0.25">
      <c r="A195" s="20"/>
      <c r="B195" s="20"/>
      <c r="C195" s="14"/>
      <c r="D195" s="14"/>
      <c r="E195" s="5"/>
      <c r="F195" s="53"/>
      <c r="G195" s="54"/>
      <c r="H195" s="54"/>
      <c r="I195" s="7"/>
      <c r="J195" s="9"/>
      <c r="K195" s="9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.75" customHeight="1" x14ac:dyDescent="0.25">
      <c r="A196" s="20"/>
      <c r="B196" s="20"/>
      <c r="C196" s="14"/>
      <c r="D196" s="14"/>
      <c r="E196" s="5"/>
      <c r="F196" s="53"/>
      <c r="G196" s="54"/>
      <c r="H196" s="54"/>
      <c r="I196" s="7"/>
      <c r="J196" s="9"/>
      <c r="K196" s="9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.75" customHeight="1" x14ac:dyDescent="0.25">
      <c r="A197" s="20"/>
      <c r="B197" s="20"/>
      <c r="C197" s="14"/>
      <c r="D197" s="14"/>
      <c r="E197" s="5"/>
      <c r="F197" s="53"/>
      <c r="G197" s="54"/>
      <c r="H197" s="54"/>
      <c r="I197" s="7"/>
      <c r="J197" s="9"/>
      <c r="K197" s="9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.75" customHeight="1" x14ac:dyDescent="0.25">
      <c r="A198" s="20"/>
      <c r="B198" s="20"/>
      <c r="C198" s="14"/>
      <c r="D198" s="14"/>
      <c r="E198" s="5"/>
      <c r="F198" s="53"/>
      <c r="G198" s="54"/>
      <c r="H198" s="54"/>
      <c r="I198" s="7"/>
      <c r="J198" s="9"/>
      <c r="K198" s="9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.75" customHeight="1" x14ac:dyDescent="0.25">
      <c r="A199" s="20"/>
      <c r="B199" s="20"/>
      <c r="C199" s="14"/>
      <c r="D199" s="14"/>
      <c r="E199" s="5"/>
      <c r="F199" s="53"/>
      <c r="G199" s="54"/>
      <c r="H199" s="54"/>
      <c r="I199" s="7"/>
      <c r="J199" s="9"/>
      <c r="K199" s="9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.75" customHeight="1" x14ac:dyDescent="0.25">
      <c r="A200" s="20"/>
      <c r="B200" s="20"/>
      <c r="C200" s="14"/>
      <c r="D200" s="14"/>
      <c r="E200" s="5"/>
      <c r="F200" s="53"/>
      <c r="G200" s="54"/>
      <c r="H200" s="54"/>
      <c r="I200" s="7"/>
      <c r="J200" s="9"/>
      <c r="K200" s="9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.75" customHeight="1" x14ac:dyDescent="0.25">
      <c r="A201" s="20"/>
      <c r="B201" s="20"/>
      <c r="C201" s="14"/>
      <c r="D201" s="14"/>
      <c r="E201" s="5"/>
      <c r="F201" s="53"/>
      <c r="G201" s="54"/>
      <c r="H201" s="54"/>
      <c r="I201" s="7"/>
      <c r="J201" s="9"/>
      <c r="K201" s="9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.75" customHeight="1" x14ac:dyDescent="0.25">
      <c r="A202" s="20"/>
      <c r="B202" s="20"/>
      <c r="C202" s="14"/>
      <c r="D202" s="14"/>
      <c r="E202" s="5"/>
      <c r="F202" s="53"/>
      <c r="G202" s="54"/>
      <c r="H202" s="54"/>
      <c r="I202" s="7"/>
      <c r="J202" s="9"/>
      <c r="K202" s="9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.75" customHeight="1" x14ac:dyDescent="0.25">
      <c r="A203" s="20"/>
      <c r="B203" s="20"/>
      <c r="C203" s="14"/>
      <c r="D203" s="14"/>
      <c r="E203" s="5"/>
      <c r="F203" s="53"/>
      <c r="G203" s="54"/>
      <c r="H203" s="54"/>
      <c r="I203" s="7"/>
      <c r="J203" s="9"/>
      <c r="K203" s="9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.75" customHeight="1" x14ac:dyDescent="0.25">
      <c r="A204" s="20"/>
      <c r="B204" s="20"/>
      <c r="C204" s="14"/>
      <c r="D204" s="14"/>
      <c r="E204" s="5"/>
      <c r="F204" s="53"/>
      <c r="G204" s="54"/>
      <c r="H204" s="54"/>
      <c r="I204" s="7"/>
      <c r="J204" s="9"/>
      <c r="K204" s="9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.75" customHeight="1" x14ac:dyDescent="0.25">
      <c r="A205" s="20"/>
      <c r="B205" s="20"/>
      <c r="C205" s="14"/>
      <c r="D205" s="14"/>
      <c r="E205" s="5"/>
      <c r="F205" s="53"/>
      <c r="G205" s="54"/>
      <c r="H205" s="54"/>
      <c r="I205" s="7"/>
      <c r="J205" s="9"/>
      <c r="K205" s="9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.75" customHeight="1" x14ac:dyDescent="0.25">
      <c r="A206" s="20"/>
      <c r="B206" s="20"/>
      <c r="C206" s="14"/>
      <c r="D206" s="14"/>
      <c r="E206" s="5"/>
      <c r="F206" s="53"/>
      <c r="G206" s="54"/>
      <c r="H206" s="54"/>
      <c r="I206" s="7"/>
      <c r="J206" s="9"/>
      <c r="K206" s="21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.75" customHeight="1" x14ac:dyDescent="0.25">
      <c r="A207" s="20"/>
      <c r="B207" s="20"/>
      <c r="C207" s="14"/>
      <c r="D207" s="14"/>
      <c r="E207" s="5"/>
      <c r="F207" s="53"/>
      <c r="G207" s="54"/>
      <c r="H207" s="54"/>
      <c r="I207" s="7"/>
      <c r="J207" s="9"/>
      <c r="K207" s="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.75" customHeight="1" x14ac:dyDescent="0.25">
      <c r="A208" s="20"/>
      <c r="B208" s="20"/>
      <c r="C208" s="14"/>
      <c r="D208" s="14"/>
      <c r="E208" s="5"/>
      <c r="F208" s="53"/>
      <c r="G208" s="54"/>
      <c r="H208" s="54"/>
      <c r="I208" s="7"/>
      <c r="J208" s="9"/>
      <c r="K208" s="9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.75" customHeight="1" x14ac:dyDescent="0.25">
      <c r="A209" s="20"/>
      <c r="B209" s="20"/>
      <c r="C209" s="14"/>
      <c r="D209" s="14"/>
      <c r="E209" s="5"/>
      <c r="F209" s="53"/>
      <c r="G209" s="54"/>
      <c r="H209" s="54"/>
      <c r="I209" s="7"/>
      <c r="J209" s="9"/>
      <c r="K209" s="9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.75" customHeight="1" x14ac:dyDescent="0.25">
      <c r="A210" s="20"/>
      <c r="B210" s="20"/>
      <c r="C210" s="14"/>
      <c r="D210" s="14"/>
      <c r="E210" s="5"/>
      <c r="F210" s="53"/>
      <c r="G210" s="54"/>
      <c r="H210" s="54"/>
      <c r="I210" s="7"/>
      <c r="J210" s="9"/>
      <c r="K210" s="9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.75" customHeight="1" x14ac:dyDescent="0.25">
      <c r="A211" s="20"/>
      <c r="B211" s="20"/>
      <c r="C211" s="14"/>
      <c r="D211" s="14"/>
      <c r="E211" s="5"/>
      <c r="F211" s="53"/>
      <c r="G211" s="54"/>
      <c r="H211" s="54"/>
      <c r="I211" s="7"/>
      <c r="J211" s="9"/>
      <c r="K211" s="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.75" customHeight="1" x14ac:dyDescent="0.25">
      <c r="A212" s="20"/>
      <c r="B212" s="20"/>
      <c r="C212" s="14"/>
      <c r="D212" s="14"/>
      <c r="E212" s="5"/>
      <c r="F212" s="53"/>
      <c r="G212" s="54"/>
      <c r="H212" s="54"/>
      <c r="I212" s="7"/>
      <c r="J212" s="9"/>
      <c r="K212" s="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.75" customHeight="1" x14ac:dyDescent="0.25">
      <c r="A213" s="20"/>
      <c r="B213" s="20"/>
      <c r="C213" s="14"/>
      <c r="D213" s="14"/>
      <c r="E213" s="5"/>
      <c r="F213" s="53"/>
      <c r="G213" s="54"/>
      <c r="H213" s="54"/>
      <c r="I213" s="7"/>
      <c r="J213" s="9"/>
      <c r="K213" s="9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.75" customHeight="1" x14ac:dyDescent="0.25">
      <c r="A214" s="20"/>
      <c r="B214" s="20"/>
      <c r="C214" s="14"/>
      <c r="D214" s="14"/>
      <c r="E214" s="5"/>
      <c r="F214" s="53"/>
      <c r="G214" s="54"/>
      <c r="H214" s="54"/>
      <c r="I214" s="7"/>
      <c r="J214" s="9"/>
      <c r="K214" s="9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.75" customHeight="1" x14ac:dyDescent="0.25">
      <c r="A215" s="20"/>
      <c r="B215" s="20"/>
      <c r="C215" s="14"/>
      <c r="D215" s="14"/>
      <c r="E215" s="5"/>
      <c r="F215" s="53"/>
      <c r="G215" s="54"/>
      <c r="H215" s="54"/>
      <c r="I215" s="7"/>
      <c r="J215" s="9"/>
      <c r="K215" s="9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.75" customHeight="1" x14ac:dyDescent="0.25">
      <c r="A216" s="20"/>
      <c r="B216" s="20"/>
      <c r="C216" s="14"/>
      <c r="D216" s="14"/>
      <c r="E216" s="5"/>
      <c r="F216" s="53"/>
      <c r="G216" s="54"/>
      <c r="H216" s="54"/>
      <c r="I216" s="7"/>
      <c r="J216" s="9"/>
      <c r="K216" s="9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.75" customHeight="1" x14ac:dyDescent="0.25">
      <c r="A217" s="20"/>
      <c r="B217" s="20"/>
      <c r="C217" s="14"/>
      <c r="D217" s="14"/>
      <c r="E217" s="5"/>
      <c r="F217" s="53"/>
      <c r="G217" s="54"/>
      <c r="H217" s="54"/>
      <c r="I217" s="7"/>
      <c r="J217" s="9"/>
      <c r="K217" s="9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.75" customHeight="1" x14ac:dyDescent="0.25">
      <c r="A218" s="20"/>
      <c r="B218" s="20"/>
      <c r="C218" s="14"/>
      <c r="D218" s="14"/>
      <c r="E218" s="5"/>
      <c r="F218" s="53"/>
      <c r="G218" s="54"/>
      <c r="H218" s="54"/>
      <c r="I218" s="7"/>
      <c r="J218" s="9"/>
      <c r="K218" s="9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.75" customHeight="1" x14ac:dyDescent="0.25">
      <c r="A219" s="20"/>
      <c r="B219" s="20"/>
      <c r="C219" s="14"/>
      <c r="D219" s="14"/>
      <c r="E219" s="5"/>
      <c r="F219" s="53"/>
      <c r="G219" s="54"/>
      <c r="H219" s="54"/>
      <c r="I219" s="7"/>
      <c r="J219" s="9"/>
      <c r="K219" s="9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.75" customHeight="1" x14ac:dyDescent="0.25">
      <c r="A220" s="20"/>
      <c r="B220" s="20"/>
      <c r="C220" s="14"/>
      <c r="D220" s="14"/>
      <c r="E220" s="5"/>
      <c r="F220" s="53"/>
      <c r="G220" s="54"/>
      <c r="H220" s="54"/>
      <c r="I220" s="7"/>
      <c r="J220" s="9"/>
      <c r="K220" s="9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.75" customHeight="1" x14ac:dyDescent="0.25">
      <c r="A221" s="20"/>
      <c r="B221" s="20"/>
      <c r="C221" s="14"/>
      <c r="D221" s="14"/>
      <c r="E221" s="5"/>
      <c r="F221" s="53"/>
      <c r="G221" s="54"/>
      <c r="H221" s="54"/>
      <c r="I221" s="7"/>
      <c r="J221" s="9"/>
      <c r="K221" s="9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.75" customHeight="1" x14ac:dyDescent="0.25">
      <c r="A222" s="20"/>
      <c r="B222" s="20"/>
      <c r="C222" s="14"/>
      <c r="D222" s="14"/>
      <c r="E222" s="5"/>
      <c r="F222" s="53"/>
      <c r="G222" s="54"/>
      <c r="H222" s="54"/>
      <c r="I222" s="7"/>
      <c r="J222" s="9"/>
      <c r="K222" s="9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.75" customHeight="1" x14ac:dyDescent="0.25">
      <c r="A223" s="20"/>
      <c r="B223" s="20"/>
      <c r="C223" s="14"/>
      <c r="D223" s="14"/>
      <c r="E223" s="5"/>
      <c r="F223" s="53"/>
      <c r="G223" s="54"/>
      <c r="H223" s="54"/>
      <c r="I223" s="7"/>
      <c r="J223" s="9"/>
      <c r="K223" s="9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.75" customHeight="1" x14ac:dyDescent="0.25">
      <c r="A224" s="20"/>
      <c r="B224" s="20"/>
      <c r="C224" s="14"/>
      <c r="D224" s="14"/>
      <c r="E224" s="5"/>
      <c r="F224" s="53"/>
      <c r="G224" s="54"/>
      <c r="H224" s="54"/>
      <c r="I224" s="7"/>
      <c r="J224" s="9"/>
      <c r="K224" s="9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.75" customHeight="1" x14ac:dyDescent="0.25">
      <c r="A225" s="20"/>
      <c r="B225" s="20"/>
      <c r="C225" s="14"/>
      <c r="D225" s="14"/>
      <c r="E225" s="5"/>
      <c r="F225" s="53"/>
      <c r="G225" s="54"/>
      <c r="H225" s="54"/>
      <c r="I225" s="7"/>
      <c r="J225" s="9"/>
      <c r="K225" s="9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.75" customHeight="1" x14ac:dyDescent="0.25">
      <c r="A226" s="20"/>
      <c r="B226" s="20"/>
      <c r="C226" s="14"/>
      <c r="D226" s="14"/>
      <c r="E226" s="5"/>
      <c r="F226" s="53"/>
      <c r="G226" s="54"/>
      <c r="H226" s="54"/>
      <c r="I226" s="7"/>
      <c r="J226" s="9"/>
      <c r="K226" s="9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.75" customHeight="1" x14ac:dyDescent="0.25">
      <c r="A227" s="20"/>
      <c r="B227" s="20"/>
      <c r="C227" s="14"/>
      <c r="D227" s="14"/>
      <c r="E227" s="5"/>
      <c r="F227" s="53"/>
      <c r="G227" s="54"/>
      <c r="H227" s="54"/>
      <c r="I227" s="7"/>
      <c r="J227" s="9"/>
      <c r="K227" s="9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.75" customHeight="1" x14ac:dyDescent="0.25">
      <c r="A228" s="20"/>
      <c r="B228" s="20"/>
      <c r="C228" s="14"/>
      <c r="D228" s="14"/>
      <c r="E228" s="5"/>
      <c r="F228" s="53"/>
      <c r="G228" s="54"/>
      <c r="H228" s="54"/>
      <c r="I228" s="7"/>
      <c r="J228" s="9"/>
      <c r="K228" s="9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.75" customHeight="1" x14ac:dyDescent="0.25">
      <c r="A229" s="20"/>
      <c r="B229" s="20"/>
      <c r="C229" s="14"/>
      <c r="D229" s="14"/>
      <c r="E229" s="5"/>
      <c r="F229" s="53"/>
      <c r="G229" s="54"/>
      <c r="H229" s="54"/>
      <c r="I229" s="7"/>
      <c r="J229" s="9"/>
      <c r="K229" s="9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.75" customHeight="1" x14ac:dyDescent="0.25">
      <c r="A230" s="20"/>
      <c r="B230" s="20"/>
      <c r="C230" s="14"/>
      <c r="D230" s="14"/>
      <c r="E230" s="5"/>
      <c r="F230" s="53"/>
      <c r="G230" s="54"/>
      <c r="H230" s="54"/>
      <c r="I230" s="7"/>
      <c r="J230" s="9"/>
      <c r="K230" s="9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.75" customHeight="1" x14ac:dyDescent="0.25">
      <c r="A231" s="20"/>
      <c r="B231" s="20"/>
      <c r="C231" s="14"/>
      <c r="D231" s="14"/>
      <c r="E231" s="5"/>
      <c r="F231" s="53"/>
      <c r="G231" s="54"/>
      <c r="H231" s="54"/>
      <c r="I231" s="7"/>
      <c r="J231" s="9"/>
      <c r="K231" s="9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.75" customHeight="1" x14ac:dyDescent="0.25">
      <c r="A232" s="20"/>
      <c r="B232" s="20"/>
      <c r="C232" s="14"/>
      <c r="D232" s="14"/>
      <c r="E232" s="5"/>
      <c r="F232" s="53"/>
      <c r="G232" s="54"/>
      <c r="H232" s="54"/>
      <c r="I232" s="7"/>
      <c r="J232" s="9"/>
      <c r="K232" s="9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.75" customHeight="1" x14ac:dyDescent="0.25">
      <c r="A233" s="20"/>
      <c r="B233" s="20"/>
      <c r="C233" s="14"/>
      <c r="D233" s="14"/>
      <c r="E233" s="5"/>
      <c r="F233" s="53"/>
      <c r="G233" s="54"/>
      <c r="H233" s="54"/>
      <c r="I233" s="7"/>
      <c r="J233" s="9"/>
      <c r="K233" s="9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75" customHeight="1" x14ac:dyDescent="0.25">
      <c r="A234" s="20"/>
      <c r="B234" s="20"/>
      <c r="C234" s="14"/>
      <c r="D234" s="14"/>
      <c r="E234" s="5"/>
      <c r="F234" s="53"/>
      <c r="G234" s="54"/>
      <c r="H234" s="54"/>
      <c r="I234" s="7"/>
      <c r="J234" s="9"/>
      <c r="K234" s="9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.75" customHeight="1" x14ac:dyDescent="0.25">
      <c r="A235" s="20"/>
      <c r="B235" s="20"/>
      <c r="C235" s="14"/>
      <c r="D235" s="14"/>
      <c r="E235" s="5"/>
      <c r="F235" s="53"/>
      <c r="G235" s="54"/>
      <c r="H235" s="54"/>
      <c r="I235" s="7"/>
      <c r="J235" s="9"/>
      <c r="K235" s="9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.75" customHeight="1" x14ac:dyDescent="0.25">
      <c r="A236" s="20"/>
      <c r="B236" s="20"/>
      <c r="C236" s="14"/>
      <c r="D236" s="14"/>
      <c r="E236" s="5"/>
      <c r="F236" s="53"/>
      <c r="G236" s="54"/>
      <c r="H236" s="54"/>
      <c r="I236" s="7"/>
      <c r="J236" s="9"/>
      <c r="K236" s="9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.75" customHeight="1" x14ac:dyDescent="0.25">
      <c r="A237" s="20"/>
      <c r="B237" s="20"/>
      <c r="C237" s="14"/>
      <c r="D237" s="14"/>
      <c r="E237" s="5"/>
      <c r="F237" s="53"/>
      <c r="G237" s="54"/>
      <c r="H237" s="54"/>
      <c r="I237" s="7"/>
      <c r="J237" s="9"/>
      <c r="K237" s="9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2.75" customHeight="1" x14ac:dyDescent="0.25">
      <c r="A238" s="20"/>
      <c r="B238" s="20"/>
      <c r="C238" s="14"/>
      <c r="D238" s="14"/>
      <c r="E238" s="5"/>
      <c r="F238" s="53"/>
      <c r="G238" s="54"/>
      <c r="H238" s="54"/>
      <c r="I238" s="7"/>
      <c r="J238" s="9"/>
      <c r="K238" s="9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2.75" customHeight="1" x14ac:dyDescent="0.25">
      <c r="A239" s="20"/>
      <c r="B239" s="20"/>
      <c r="C239" s="14"/>
      <c r="D239" s="14"/>
      <c r="E239" s="5"/>
      <c r="F239" s="53"/>
      <c r="G239" s="54"/>
      <c r="H239" s="54"/>
      <c r="I239" s="7"/>
      <c r="J239" s="9"/>
      <c r="K239" s="9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2.75" customHeight="1" x14ac:dyDescent="0.25">
      <c r="A240" s="20"/>
      <c r="B240" s="20"/>
      <c r="C240" s="14"/>
      <c r="D240" s="14"/>
      <c r="E240" s="5"/>
      <c r="F240" s="53"/>
      <c r="G240" s="54"/>
      <c r="H240" s="54"/>
      <c r="I240" s="7"/>
      <c r="J240" s="9"/>
      <c r="K240" s="9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2.75" customHeight="1" x14ac:dyDescent="0.25">
      <c r="A241" s="20"/>
      <c r="B241" s="20"/>
      <c r="C241" s="14"/>
      <c r="D241" s="14"/>
      <c r="E241" s="5"/>
      <c r="F241" s="53"/>
      <c r="G241" s="54"/>
      <c r="H241" s="54"/>
      <c r="I241" s="7"/>
      <c r="J241" s="9"/>
      <c r="K241" s="9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2.75" customHeight="1" x14ac:dyDescent="0.25">
      <c r="A242" s="20"/>
      <c r="B242" s="20"/>
      <c r="C242" s="14"/>
      <c r="D242" s="14"/>
      <c r="E242" s="5"/>
      <c r="F242" s="53"/>
      <c r="G242" s="54"/>
      <c r="H242" s="54"/>
      <c r="I242" s="7"/>
      <c r="J242" s="9"/>
      <c r="K242" s="9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2.75" customHeight="1" x14ac:dyDescent="0.25">
      <c r="A243" s="20"/>
      <c r="B243" s="20"/>
      <c r="C243" s="14"/>
      <c r="D243" s="14"/>
      <c r="E243" s="5"/>
      <c r="F243" s="53"/>
      <c r="G243" s="54"/>
      <c r="H243" s="54"/>
      <c r="I243" s="7"/>
      <c r="J243" s="9"/>
      <c r="K243" s="9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2.75" customHeight="1" x14ac:dyDescent="0.25">
      <c r="A244" s="20"/>
      <c r="B244" s="20"/>
      <c r="C244" s="14"/>
      <c r="D244" s="14"/>
      <c r="E244" s="5"/>
      <c r="F244" s="53"/>
      <c r="G244" s="54"/>
      <c r="H244" s="54"/>
      <c r="I244" s="7"/>
      <c r="J244" s="9"/>
      <c r="K244" s="9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2.75" customHeight="1" x14ac:dyDescent="0.25">
      <c r="A245" s="20"/>
      <c r="B245" s="20"/>
      <c r="C245" s="14"/>
      <c r="D245" s="14"/>
      <c r="E245" s="5"/>
      <c r="F245" s="53"/>
      <c r="G245" s="54"/>
      <c r="H245" s="54"/>
      <c r="I245" s="7"/>
      <c r="J245" s="9"/>
      <c r="K245" s="9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2.75" customHeight="1" x14ac:dyDescent="0.25">
      <c r="A246" s="20"/>
      <c r="B246" s="20"/>
      <c r="C246" s="14"/>
      <c r="D246" s="14"/>
      <c r="E246" s="5"/>
      <c r="F246" s="53"/>
      <c r="G246" s="54"/>
      <c r="H246" s="54"/>
      <c r="I246" s="7"/>
      <c r="J246" s="9"/>
      <c r="K246" s="9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2.75" customHeight="1" x14ac:dyDescent="0.25">
      <c r="A247" s="20"/>
      <c r="B247" s="20"/>
      <c r="C247" s="14"/>
      <c r="D247" s="14"/>
      <c r="E247" s="5"/>
      <c r="F247" s="53"/>
      <c r="G247" s="54"/>
      <c r="H247" s="54"/>
      <c r="I247" s="7"/>
      <c r="J247" s="9"/>
      <c r="K247" s="9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2.75" customHeight="1" x14ac:dyDescent="0.25">
      <c r="A248" s="20"/>
      <c r="B248" s="20"/>
      <c r="C248" s="14"/>
      <c r="D248" s="14"/>
      <c r="E248" s="5"/>
      <c r="F248" s="53"/>
      <c r="G248" s="54"/>
      <c r="H248" s="54"/>
      <c r="I248" s="7"/>
      <c r="J248" s="9"/>
      <c r="K248" s="9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2.75" customHeight="1" x14ac:dyDescent="0.25">
      <c r="A249" s="20"/>
      <c r="B249" s="20"/>
      <c r="C249" s="14"/>
      <c r="D249" s="14"/>
      <c r="E249" s="5"/>
      <c r="F249" s="53"/>
      <c r="G249" s="54"/>
      <c r="H249" s="54"/>
      <c r="I249" s="7"/>
      <c r="J249" s="9"/>
      <c r="K249" s="9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2.75" customHeight="1" x14ac:dyDescent="0.25">
      <c r="A250" s="20"/>
      <c r="B250" s="20"/>
      <c r="C250" s="14"/>
      <c r="D250" s="14"/>
      <c r="E250" s="5"/>
      <c r="F250" s="53"/>
      <c r="G250" s="54"/>
      <c r="H250" s="54"/>
      <c r="I250" s="7"/>
      <c r="J250" s="9"/>
      <c r="K250" s="9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2.75" customHeight="1" x14ac:dyDescent="0.25">
      <c r="A251" s="20"/>
      <c r="B251" s="20"/>
      <c r="C251" s="14"/>
      <c r="D251" s="14"/>
      <c r="E251" s="5"/>
      <c r="F251" s="53"/>
      <c r="G251" s="54"/>
      <c r="H251" s="54"/>
      <c r="I251" s="7"/>
      <c r="J251" s="9"/>
      <c r="K251" s="9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2.75" customHeight="1" x14ac:dyDescent="0.25">
      <c r="A252" s="20"/>
      <c r="B252" s="20"/>
      <c r="C252" s="14"/>
      <c r="D252" s="14"/>
      <c r="E252" s="5"/>
      <c r="F252" s="53"/>
      <c r="G252" s="54"/>
      <c r="H252" s="54"/>
      <c r="I252" s="7"/>
      <c r="J252" s="9"/>
      <c r="K252" s="9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2.75" customHeight="1" x14ac:dyDescent="0.25">
      <c r="A253" s="20"/>
      <c r="B253" s="20"/>
      <c r="C253" s="14"/>
      <c r="D253" s="14"/>
      <c r="E253" s="5"/>
      <c r="F253" s="53"/>
      <c r="G253" s="54"/>
      <c r="H253" s="54"/>
      <c r="I253" s="7"/>
      <c r="J253" s="9"/>
      <c r="K253" s="9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2.75" customHeight="1" x14ac:dyDescent="0.25">
      <c r="A254" s="20"/>
      <c r="B254" s="20"/>
      <c r="C254" s="14"/>
      <c r="D254" s="14"/>
      <c r="E254" s="5"/>
      <c r="F254" s="53"/>
      <c r="G254" s="54"/>
      <c r="H254" s="54"/>
      <c r="I254" s="7"/>
      <c r="J254" s="9"/>
      <c r="K254" s="9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2.75" customHeight="1" x14ac:dyDescent="0.25">
      <c r="A255" s="20"/>
      <c r="B255" s="20"/>
      <c r="C255" s="14"/>
      <c r="D255" s="14"/>
      <c r="E255" s="5"/>
      <c r="F255" s="53"/>
      <c r="G255" s="54"/>
      <c r="H255" s="54"/>
      <c r="I255" s="7"/>
      <c r="J255" s="9"/>
      <c r="K255" s="9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2.75" customHeight="1" x14ac:dyDescent="0.25">
      <c r="A256" s="20"/>
      <c r="B256" s="20"/>
      <c r="C256" s="14"/>
      <c r="D256" s="14"/>
      <c r="E256" s="5"/>
      <c r="F256" s="53"/>
      <c r="G256" s="54"/>
      <c r="H256" s="54"/>
      <c r="I256" s="7"/>
      <c r="J256" s="9"/>
      <c r="K256" s="9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2.75" customHeight="1" x14ac:dyDescent="0.25">
      <c r="A257" s="20"/>
      <c r="B257" s="20"/>
      <c r="C257" s="14"/>
      <c r="D257" s="14"/>
      <c r="E257" s="5"/>
      <c r="F257" s="53"/>
      <c r="G257" s="54"/>
      <c r="H257" s="54"/>
      <c r="I257" s="7"/>
      <c r="J257" s="9"/>
      <c r="K257" s="9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2.75" customHeight="1" x14ac:dyDescent="0.25">
      <c r="A258" s="20"/>
      <c r="B258" s="20"/>
      <c r="C258" s="14"/>
      <c r="D258" s="14"/>
      <c r="E258" s="5"/>
      <c r="F258" s="53"/>
      <c r="G258" s="54"/>
      <c r="H258" s="54"/>
      <c r="I258" s="7"/>
      <c r="J258" s="9"/>
      <c r="K258" s="9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2.75" customHeight="1" x14ac:dyDescent="0.25">
      <c r="A259" s="20"/>
      <c r="B259" s="20"/>
      <c r="C259" s="14"/>
      <c r="D259" s="14"/>
      <c r="E259" s="5"/>
      <c r="F259" s="53"/>
      <c r="G259" s="54"/>
      <c r="H259" s="54"/>
      <c r="I259" s="7"/>
      <c r="J259" s="9"/>
      <c r="K259" s="9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2.75" customHeight="1" x14ac:dyDescent="0.25">
      <c r="A260" s="20"/>
      <c r="B260" s="20"/>
      <c r="C260" s="14"/>
      <c r="D260" s="14"/>
      <c r="E260" s="5"/>
      <c r="F260" s="53"/>
      <c r="G260" s="54"/>
      <c r="H260" s="54"/>
      <c r="I260" s="7"/>
      <c r="J260" s="9"/>
      <c r="K260" s="9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2.75" customHeight="1" x14ac:dyDescent="0.25">
      <c r="A261" s="20"/>
      <c r="B261" s="20"/>
      <c r="C261" s="14"/>
      <c r="D261" s="14"/>
      <c r="E261" s="5"/>
      <c r="F261" s="53"/>
      <c r="G261" s="54"/>
      <c r="H261" s="54"/>
      <c r="I261" s="7"/>
      <c r="J261" s="9"/>
      <c r="K261" s="21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2.75" customHeight="1" x14ac:dyDescent="0.25">
      <c r="A262" s="20"/>
      <c r="B262" s="20"/>
      <c r="C262" s="14"/>
      <c r="D262" s="14"/>
      <c r="E262" s="5"/>
      <c r="F262" s="53"/>
      <c r="G262" s="54"/>
      <c r="H262" s="54"/>
      <c r="I262" s="7"/>
      <c r="J262" s="9"/>
      <c r="K262" s="9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2.75" customHeight="1" x14ac:dyDescent="0.25">
      <c r="A263" s="20"/>
      <c r="B263" s="20"/>
      <c r="C263" s="14"/>
      <c r="D263" s="14"/>
      <c r="E263" s="5"/>
      <c r="F263" s="53"/>
      <c r="G263" s="54"/>
      <c r="H263" s="54"/>
      <c r="I263" s="7"/>
      <c r="J263" s="9"/>
      <c r="K263" s="9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2.75" customHeight="1" x14ac:dyDescent="0.25">
      <c r="A264" s="20"/>
      <c r="B264" s="20"/>
      <c r="C264" s="14"/>
      <c r="D264" s="14"/>
      <c r="E264" s="5"/>
      <c r="F264" s="53"/>
      <c r="G264" s="54"/>
      <c r="H264" s="54"/>
      <c r="I264" s="7"/>
      <c r="J264" s="9"/>
      <c r="K264" s="9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2.75" customHeight="1" x14ac:dyDescent="0.25">
      <c r="A265" s="20"/>
      <c r="B265" s="20"/>
      <c r="C265" s="14"/>
      <c r="D265" s="14"/>
      <c r="E265" s="5"/>
      <c r="F265" s="53"/>
      <c r="G265" s="54"/>
      <c r="H265" s="54"/>
      <c r="I265" s="7"/>
      <c r="J265" s="9"/>
      <c r="K265" s="9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2.75" customHeight="1" x14ac:dyDescent="0.25">
      <c r="A266" s="20"/>
      <c r="B266" s="20"/>
      <c r="C266" s="14"/>
      <c r="D266" s="14"/>
      <c r="E266" s="5"/>
      <c r="F266" s="53"/>
      <c r="G266" s="54"/>
      <c r="H266" s="54"/>
      <c r="I266" s="7"/>
      <c r="J266" s="9"/>
      <c r="K266" s="21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2.75" customHeight="1" x14ac:dyDescent="0.25">
      <c r="A267" s="20"/>
      <c r="B267" s="20"/>
      <c r="C267" s="14"/>
      <c r="D267" s="14"/>
      <c r="E267" s="5"/>
      <c r="F267" s="53"/>
      <c r="G267" s="54"/>
      <c r="H267" s="54"/>
      <c r="I267" s="7"/>
      <c r="J267" s="9"/>
      <c r="K267" s="21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2.75" customHeight="1" x14ac:dyDescent="0.25">
      <c r="A268" s="20"/>
      <c r="B268" s="20"/>
      <c r="C268" s="14"/>
      <c r="D268" s="14"/>
      <c r="E268" s="5"/>
      <c r="F268" s="53"/>
      <c r="G268" s="54"/>
      <c r="H268" s="54"/>
      <c r="I268" s="7"/>
      <c r="J268" s="9"/>
      <c r="K268" s="21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2.75" customHeight="1" x14ac:dyDescent="0.25">
      <c r="A269" s="20"/>
      <c r="B269" s="20"/>
      <c r="C269" s="14"/>
      <c r="D269" s="14"/>
      <c r="E269" s="5"/>
      <c r="F269" s="53"/>
      <c r="G269" s="54"/>
      <c r="H269" s="54"/>
      <c r="I269" s="7"/>
      <c r="J269" s="9"/>
      <c r="K269" s="21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 customHeight="1" x14ac:dyDescent="0.25">
      <c r="A270" s="20"/>
      <c r="B270" s="20"/>
      <c r="C270" s="14"/>
      <c r="D270" s="14"/>
      <c r="E270" s="5"/>
      <c r="F270" s="53"/>
      <c r="G270" s="54"/>
      <c r="H270" s="54"/>
      <c r="I270" s="7"/>
      <c r="J270" s="9"/>
      <c r="K270" s="21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 customHeight="1" x14ac:dyDescent="0.25">
      <c r="A271" s="20"/>
      <c r="B271" s="20"/>
      <c r="C271" s="14"/>
      <c r="D271" s="14"/>
      <c r="E271" s="5"/>
      <c r="F271" s="53"/>
      <c r="G271" s="54"/>
      <c r="H271" s="54"/>
      <c r="I271" s="7"/>
      <c r="J271" s="9"/>
      <c r="K271" s="21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 customHeight="1" x14ac:dyDescent="0.25">
      <c r="A272" s="20"/>
      <c r="B272" s="20"/>
      <c r="C272" s="14"/>
      <c r="D272" s="14"/>
      <c r="E272" s="5"/>
      <c r="F272" s="53"/>
      <c r="G272" s="54"/>
      <c r="H272" s="54"/>
      <c r="I272" s="7"/>
      <c r="J272" s="9"/>
      <c r="K272" s="21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 customHeight="1" x14ac:dyDescent="0.25">
      <c r="A273" s="20"/>
      <c r="B273" s="20"/>
      <c r="C273" s="14"/>
      <c r="D273" s="14"/>
      <c r="E273" s="5"/>
      <c r="F273" s="53"/>
      <c r="G273" s="54"/>
      <c r="H273" s="54"/>
      <c r="I273" s="7"/>
      <c r="J273" s="9"/>
      <c r="K273" s="21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 customHeight="1" x14ac:dyDescent="0.25">
      <c r="A274" s="20"/>
      <c r="B274" s="20"/>
      <c r="C274" s="14"/>
      <c r="D274" s="14"/>
      <c r="E274" s="5"/>
      <c r="F274" s="53"/>
      <c r="G274" s="54"/>
      <c r="H274" s="54"/>
      <c r="I274" s="7"/>
      <c r="J274" s="9"/>
      <c r="K274" s="21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 customHeight="1" x14ac:dyDescent="0.25">
      <c r="A275" s="20"/>
      <c r="B275" s="20"/>
      <c r="C275" s="14"/>
      <c r="D275" s="14"/>
      <c r="E275" s="5"/>
      <c r="F275" s="53"/>
      <c r="G275" s="54"/>
      <c r="H275" s="54"/>
      <c r="I275" s="7"/>
      <c r="J275" s="9"/>
      <c r="K275" s="21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 customHeight="1" x14ac:dyDescent="0.25">
      <c r="A276" s="20"/>
      <c r="B276" s="20"/>
      <c r="C276" s="14"/>
      <c r="D276" s="14"/>
      <c r="E276" s="5"/>
      <c r="F276" s="53"/>
      <c r="G276" s="54"/>
      <c r="H276" s="54"/>
      <c r="I276" s="7"/>
      <c r="J276" s="9"/>
      <c r="K276" s="21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2.75" customHeight="1" x14ac:dyDescent="0.25">
      <c r="A277" s="20"/>
      <c r="B277" s="20"/>
      <c r="C277" s="14"/>
      <c r="D277" s="14"/>
      <c r="E277" s="5"/>
      <c r="F277" s="53"/>
      <c r="G277" s="54"/>
      <c r="H277" s="54"/>
      <c r="I277" s="7"/>
      <c r="J277" s="9"/>
      <c r="K277" s="21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 customHeight="1" x14ac:dyDescent="0.25">
      <c r="A278" s="20"/>
      <c r="B278" s="20"/>
      <c r="C278" s="14"/>
      <c r="D278" s="14"/>
      <c r="E278" s="5"/>
      <c r="F278" s="53"/>
      <c r="G278" s="54"/>
      <c r="H278" s="54"/>
      <c r="I278" s="7"/>
      <c r="J278" s="9"/>
      <c r="K278" s="21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 customHeight="1" x14ac:dyDescent="0.25">
      <c r="A279" s="20"/>
      <c r="B279" s="20"/>
      <c r="C279" s="14"/>
      <c r="D279" s="14"/>
      <c r="E279" s="5"/>
      <c r="F279" s="53"/>
      <c r="G279" s="54"/>
      <c r="H279" s="54"/>
      <c r="I279" s="7"/>
      <c r="J279" s="9"/>
      <c r="K279" s="21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 customHeight="1" x14ac:dyDescent="0.25">
      <c r="A280" s="20"/>
      <c r="B280" s="20"/>
      <c r="C280" s="14"/>
      <c r="D280" s="14"/>
      <c r="E280" s="5"/>
      <c r="F280" s="53"/>
      <c r="G280" s="54"/>
      <c r="H280" s="54"/>
      <c r="I280" s="7"/>
      <c r="J280" s="9"/>
      <c r="K280" s="21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 customHeight="1" x14ac:dyDescent="0.25">
      <c r="A281" s="20"/>
      <c r="B281" s="20"/>
      <c r="C281" s="14"/>
      <c r="D281" s="14"/>
      <c r="E281" s="5"/>
      <c r="F281" s="53"/>
      <c r="G281" s="54"/>
      <c r="H281" s="54"/>
      <c r="I281" s="7"/>
      <c r="J281" s="9"/>
      <c r="K281" s="21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 customHeight="1" x14ac:dyDescent="0.25">
      <c r="A282" s="20"/>
      <c r="B282" s="20"/>
      <c r="C282" s="14"/>
      <c r="D282" s="14"/>
      <c r="E282" s="5"/>
      <c r="F282" s="53"/>
      <c r="G282" s="54"/>
      <c r="H282" s="54"/>
      <c r="I282" s="7"/>
      <c r="J282" s="9"/>
      <c r="K282" s="9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 customHeight="1" x14ac:dyDescent="0.25">
      <c r="A283" s="20"/>
      <c r="B283" s="20"/>
      <c r="C283" s="14"/>
      <c r="D283" s="14"/>
      <c r="E283" s="5"/>
      <c r="F283" s="53"/>
      <c r="G283" s="54"/>
      <c r="H283" s="54"/>
      <c r="I283" s="7"/>
      <c r="J283" s="9"/>
      <c r="K283" s="21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 customHeight="1" x14ac:dyDescent="0.25">
      <c r="A284" s="20"/>
      <c r="B284" s="20"/>
      <c r="C284" s="14"/>
      <c r="D284" s="14"/>
      <c r="E284" s="5"/>
      <c r="F284" s="53"/>
      <c r="G284" s="54"/>
      <c r="H284" s="54"/>
      <c r="I284" s="7"/>
      <c r="J284" s="9"/>
      <c r="K284" s="21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 customHeight="1" x14ac:dyDescent="0.25">
      <c r="A285" s="20"/>
      <c r="B285" s="20"/>
      <c r="C285" s="14"/>
      <c r="D285" s="14"/>
      <c r="E285" s="5"/>
      <c r="F285" s="53"/>
      <c r="G285" s="54"/>
      <c r="H285" s="54"/>
      <c r="I285" s="7"/>
      <c r="J285" s="9"/>
      <c r="K285" s="21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 customHeight="1" x14ac:dyDescent="0.25">
      <c r="A286" s="20"/>
      <c r="B286" s="20"/>
      <c r="C286" s="14"/>
      <c r="D286" s="14"/>
      <c r="E286" s="5"/>
      <c r="F286" s="53"/>
      <c r="G286" s="54"/>
      <c r="H286" s="54"/>
      <c r="I286" s="7"/>
      <c r="J286" s="9"/>
      <c r="K286" s="21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2.75" customHeight="1" x14ac:dyDescent="0.25">
      <c r="A287" s="20"/>
      <c r="B287" s="20"/>
      <c r="C287" s="14"/>
      <c r="D287" s="14"/>
      <c r="E287" s="5"/>
      <c r="F287" s="53"/>
      <c r="G287" s="54"/>
      <c r="H287" s="54"/>
      <c r="I287" s="7"/>
      <c r="J287" s="9"/>
      <c r="K287" s="21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2.75" customHeight="1" x14ac:dyDescent="0.25">
      <c r="A288" s="20"/>
      <c r="B288" s="20"/>
      <c r="C288" s="14"/>
      <c r="D288" s="14"/>
      <c r="E288" s="5"/>
      <c r="F288" s="53"/>
      <c r="G288" s="54"/>
      <c r="H288" s="54"/>
      <c r="I288" s="7"/>
      <c r="J288" s="9"/>
      <c r="K288" s="21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2.75" customHeight="1" x14ac:dyDescent="0.25">
      <c r="A289" s="20"/>
      <c r="B289" s="20"/>
      <c r="C289" s="14"/>
      <c r="D289" s="14"/>
      <c r="E289" s="5"/>
      <c r="F289" s="53"/>
      <c r="G289" s="54"/>
      <c r="H289" s="54"/>
      <c r="I289" s="7"/>
      <c r="J289" s="9"/>
      <c r="K289" s="21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2.75" customHeight="1" x14ac:dyDescent="0.25">
      <c r="A290" s="20"/>
      <c r="B290" s="20"/>
      <c r="C290" s="14"/>
      <c r="D290" s="14"/>
      <c r="E290" s="5"/>
      <c r="F290" s="53"/>
      <c r="G290" s="54"/>
      <c r="H290" s="54"/>
      <c r="I290" s="7"/>
      <c r="J290" s="9"/>
      <c r="K290" s="21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2.75" customHeight="1" x14ac:dyDescent="0.25">
      <c r="A291" s="20"/>
      <c r="B291" s="20"/>
      <c r="C291" s="14"/>
      <c r="D291" s="14"/>
      <c r="E291" s="5"/>
      <c r="F291" s="53"/>
      <c r="G291" s="54"/>
      <c r="H291" s="54"/>
      <c r="I291" s="7"/>
      <c r="J291" s="9"/>
      <c r="K291" s="21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2.75" customHeight="1" x14ac:dyDescent="0.25">
      <c r="A292" s="20"/>
      <c r="B292" s="20"/>
      <c r="C292" s="14"/>
      <c r="D292" s="14"/>
      <c r="E292" s="5"/>
      <c r="F292" s="53"/>
      <c r="G292" s="54"/>
      <c r="H292" s="54"/>
      <c r="I292" s="7"/>
      <c r="J292" s="9"/>
      <c r="K292" s="21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2.75" customHeight="1" x14ac:dyDescent="0.25">
      <c r="A293" s="20"/>
      <c r="B293" s="20"/>
      <c r="C293" s="14"/>
      <c r="D293" s="14"/>
      <c r="E293" s="5"/>
      <c r="F293" s="53"/>
      <c r="G293" s="54"/>
      <c r="H293" s="54"/>
      <c r="I293" s="7"/>
      <c r="J293" s="9"/>
      <c r="K293" s="21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2.75" customHeight="1" x14ac:dyDescent="0.25">
      <c r="A294" s="20"/>
      <c r="B294" s="20"/>
      <c r="C294" s="14"/>
      <c r="D294" s="14"/>
      <c r="E294" s="5"/>
      <c r="F294" s="53"/>
      <c r="G294" s="54"/>
      <c r="H294" s="54"/>
      <c r="I294" s="7"/>
      <c r="J294" s="9"/>
      <c r="K294" s="21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2.75" customHeight="1" x14ac:dyDescent="0.25">
      <c r="A295" s="20"/>
      <c r="B295" s="20"/>
      <c r="C295" s="14"/>
      <c r="D295" s="14"/>
      <c r="E295" s="5"/>
      <c r="F295" s="53"/>
      <c r="G295" s="54"/>
      <c r="H295" s="54"/>
      <c r="I295" s="7"/>
      <c r="J295" s="9"/>
      <c r="K295" s="21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2.75" customHeight="1" x14ac:dyDescent="0.25">
      <c r="A296" s="20"/>
      <c r="B296" s="20"/>
      <c r="C296" s="14"/>
      <c r="D296" s="14"/>
      <c r="E296" s="5"/>
      <c r="F296" s="53"/>
      <c r="G296" s="54"/>
      <c r="H296" s="54"/>
      <c r="I296" s="7"/>
      <c r="J296" s="9"/>
      <c r="K296" s="21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2.75" customHeight="1" x14ac:dyDescent="0.25">
      <c r="A297" s="20"/>
      <c r="B297" s="20"/>
      <c r="C297" s="14"/>
      <c r="D297" s="14"/>
      <c r="E297" s="5"/>
      <c r="F297" s="53"/>
      <c r="G297" s="54"/>
      <c r="H297" s="54"/>
      <c r="I297" s="7"/>
      <c r="J297" s="9"/>
      <c r="K297" s="21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2.75" customHeight="1" x14ac:dyDescent="0.25">
      <c r="A298" s="20"/>
      <c r="B298" s="20"/>
      <c r="C298" s="14"/>
      <c r="D298" s="14"/>
      <c r="E298" s="5"/>
      <c r="F298" s="53"/>
      <c r="G298" s="54"/>
      <c r="H298" s="54"/>
      <c r="I298" s="7"/>
      <c r="J298" s="9"/>
      <c r="K298" s="21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2.75" customHeight="1" x14ac:dyDescent="0.25">
      <c r="A299" s="20"/>
      <c r="B299" s="20"/>
      <c r="C299" s="14"/>
      <c r="D299" s="14"/>
      <c r="E299" s="5"/>
      <c r="F299" s="53"/>
      <c r="G299" s="54"/>
      <c r="H299" s="54"/>
      <c r="I299" s="7"/>
      <c r="J299" s="9"/>
      <c r="K299" s="21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2.75" customHeight="1" x14ac:dyDescent="0.25">
      <c r="A300" s="20"/>
      <c r="B300" s="20"/>
      <c r="C300" s="14"/>
      <c r="D300" s="14"/>
      <c r="E300" s="5"/>
      <c r="F300" s="53"/>
      <c r="G300" s="54"/>
      <c r="H300" s="54"/>
      <c r="I300" s="7"/>
      <c r="J300" s="9"/>
      <c r="K300" s="21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2.75" customHeight="1" x14ac:dyDescent="0.25">
      <c r="A301" s="20"/>
      <c r="B301" s="20"/>
      <c r="C301" s="14"/>
      <c r="D301" s="14"/>
      <c r="E301" s="5"/>
      <c r="F301" s="53"/>
      <c r="G301" s="54"/>
      <c r="H301" s="54"/>
      <c r="I301" s="7"/>
      <c r="J301" s="9"/>
      <c r="K301" s="21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2.75" customHeight="1" x14ac:dyDescent="0.25">
      <c r="A302" s="20"/>
      <c r="B302" s="20"/>
      <c r="C302" s="14"/>
      <c r="D302" s="14"/>
      <c r="E302" s="5"/>
      <c r="F302" s="53"/>
      <c r="G302" s="54"/>
      <c r="H302" s="54"/>
      <c r="I302" s="7"/>
      <c r="J302" s="9"/>
      <c r="K302" s="21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2.75" customHeight="1" x14ac:dyDescent="0.25">
      <c r="A303" s="20"/>
      <c r="B303" s="20"/>
      <c r="C303" s="14"/>
      <c r="D303" s="14"/>
      <c r="E303" s="5"/>
      <c r="F303" s="53"/>
      <c r="G303" s="54"/>
      <c r="H303" s="54"/>
      <c r="I303" s="7"/>
      <c r="J303" s="9"/>
      <c r="K303" s="21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2.75" customHeight="1" x14ac:dyDescent="0.25">
      <c r="A304" s="20"/>
      <c r="B304" s="20"/>
      <c r="C304" s="14"/>
      <c r="D304" s="14"/>
      <c r="E304" s="5"/>
      <c r="F304" s="53"/>
      <c r="G304" s="54"/>
      <c r="H304" s="54"/>
      <c r="I304" s="7"/>
      <c r="J304" s="9"/>
      <c r="K304" s="21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2.75" customHeight="1" x14ac:dyDescent="0.25">
      <c r="A305" s="20"/>
      <c r="B305" s="20"/>
      <c r="C305" s="14"/>
      <c r="D305" s="14"/>
      <c r="E305" s="5"/>
      <c r="F305" s="53"/>
      <c r="G305" s="54"/>
      <c r="H305" s="54"/>
      <c r="I305" s="7"/>
      <c r="J305" s="9"/>
      <c r="K305" s="21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2.75" customHeight="1" x14ac:dyDescent="0.25">
      <c r="A306" s="20"/>
      <c r="B306" s="20"/>
      <c r="C306" s="14"/>
      <c r="D306" s="14"/>
      <c r="E306" s="5"/>
      <c r="F306" s="53"/>
      <c r="G306" s="54"/>
      <c r="H306" s="54"/>
      <c r="I306" s="7"/>
      <c r="J306" s="9"/>
      <c r="K306" s="21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2.75" customHeight="1" x14ac:dyDescent="0.25">
      <c r="A307" s="20"/>
      <c r="B307" s="20"/>
      <c r="C307" s="14"/>
      <c r="D307" s="14"/>
      <c r="E307" s="5"/>
      <c r="F307" s="53"/>
      <c r="G307" s="54"/>
      <c r="H307" s="54"/>
      <c r="I307" s="7"/>
      <c r="J307" s="9"/>
      <c r="K307" s="21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2.75" customHeight="1" x14ac:dyDescent="0.25">
      <c r="A308" s="20"/>
      <c r="B308" s="20"/>
      <c r="C308" s="14"/>
      <c r="D308" s="14"/>
      <c r="E308" s="5"/>
      <c r="F308" s="53"/>
      <c r="G308" s="54"/>
      <c r="H308" s="54"/>
      <c r="I308" s="7"/>
      <c r="J308" s="9"/>
      <c r="K308" s="21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2.75" customHeight="1" x14ac:dyDescent="0.25">
      <c r="A309" s="20"/>
      <c r="B309" s="20"/>
      <c r="C309" s="14"/>
      <c r="D309" s="14"/>
      <c r="E309" s="5"/>
      <c r="F309" s="53"/>
      <c r="G309" s="54"/>
      <c r="H309" s="54"/>
      <c r="I309" s="7"/>
      <c r="J309" s="9"/>
      <c r="K309" s="21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2.75" customHeight="1" x14ac:dyDescent="0.25">
      <c r="A310" s="20"/>
      <c r="B310" s="20"/>
      <c r="C310" s="14"/>
      <c r="D310" s="14"/>
      <c r="E310" s="5"/>
      <c r="F310" s="53"/>
      <c r="G310" s="54"/>
      <c r="H310" s="54"/>
      <c r="I310" s="7"/>
      <c r="J310" s="9"/>
      <c r="K310" s="21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2.75" customHeight="1" x14ac:dyDescent="0.25">
      <c r="A311" s="20"/>
      <c r="B311" s="20"/>
      <c r="C311" s="14"/>
      <c r="D311" s="14"/>
      <c r="E311" s="5"/>
      <c r="F311" s="53"/>
      <c r="G311" s="54"/>
      <c r="H311" s="54"/>
      <c r="I311" s="7"/>
      <c r="J311" s="9"/>
      <c r="K311" s="21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2.75" customHeight="1" x14ac:dyDescent="0.25">
      <c r="A312" s="20"/>
      <c r="B312" s="20"/>
      <c r="C312" s="14"/>
      <c r="D312" s="14"/>
      <c r="E312" s="5"/>
      <c r="F312" s="53"/>
      <c r="G312" s="54"/>
      <c r="H312" s="54"/>
      <c r="I312" s="7"/>
      <c r="J312" s="9"/>
      <c r="K312" s="21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2.75" customHeight="1" x14ac:dyDescent="0.25">
      <c r="A313" s="20"/>
      <c r="B313" s="20"/>
      <c r="C313" s="14"/>
      <c r="D313" s="14"/>
      <c r="E313" s="5"/>
      <c r="F313" s="53"/>
      <c r="G313" s="54"/>
      <c r="H313" s="54"/>
      <c r="I313" s="7"/>
      <c r="J313" s="9"/>
      <c r="K313" s="21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2.75" customHeight="1" x14ac:dyDescent="0.25">
      <c r="A314" s="20"/>
      <c r="B314" s="20"/>
      <c r="C314" s="14"/>
      <c r="D314" s="14"/>
      <c r="E314" s="5"/>
      <c r="F314" s="53"/>
      <c r="G314" s="54"/>
      <c r="H314" s="54"/>
      <c r="I314" s="7"/>
      <c r="J314" s="9"/>
      <c r="K314" s="21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2.75" customHeight="1" x14ac:dyDescent="0.25">
      <c r="A315" s="20"/>
      <c r="B315" s="20"/>
      <c r="C315" s="14"/>
      <c r="D315" s="14"/>
      <c r="E315" s="5"/>
      <c r="F315" s="53"/>
      <c r="G315" s="54"/>
      <c r="H315" s="54"/>
      <c r="I315" s="7"/>
      <c r="J315" s="9"/>
      <c r="K315" s="21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2.75" customHeight="1" x14ac:dyDescent="0.25">
      <c r="A316" s="20"/>
      <c r="B316" s="20"/>
      <c r="C316" s="14"/>
      <c r="D316" s="14"/>
      <c r="E316" s="5"/>
      <c r="F316" s="53"/>
      <c r="G316" s="54"/>
      <c r="H316" s="54"/>
      <c r="I316" s="7"/>
      <c r="J316" s="9"/>
      <c r="K316" s="21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2.75" customHeight="1" x14ac:dyDescent="0.25">
      <c r="A317" s="20"/>
      <c r="B317" s="20"/>
      <c r="C317" s="14"/>
      <c r="D317" s="14"/>
      <c r="E317" s="5"/>
      <c r="F317" s="53"/>
      <c r="G317" s="54"/>
      <c r="H317" s="54"/>
      <c r="I317" s="7"/>
      <c r="J317" s="9"/>
      <c r="K317" s="21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2.75" customHeight="1" x14ac:dyDescent="0.25">
      <c r="A318" s="20"/>
      <c r="B318" s="20"/>
      <c r="C318" s="14"/>
      <c r="D318" s="14"/>
      <c r="E318" s="5"/>
      <c r="F318" s="53"/>
      <c r="G318" s="54"/>
      <c r="H318" s="54"/>
      <c r="I318" s="7"/>
      <c r="J318" s="9"/>
      <c r="K318" s="21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2.75" customHeight="1" x14ac:dyDescent="0.25">
      <c r="A319" s="20"/>
      <c r="B319" s="20"/>
      <c r="C319" s="14"/>
      <c r="D319" s="14"/>
      <c r="E319" s="5"/>
      <c r="F319" s="53"/>
      <c r="G319" s="54"/>
      <c r="H319" s="54"/>
      <c r="I319" s="7"/>
      <c r="J319" s="9"/>
      <c r="K319" s="21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2.75" customHeight="1" x14ac:dyDescent="0.25">
      <c r="A320" s="20"/>
      <c r="B320" s="20"/>
      <c r="C320" s="14"/>
      <c r="D320" s="14"/>
      <c r="E320" s="5"/>
      <c r="F320" s="53"/>
      <c r="G320" s="54"/>
      <c r="H320" s="54"/>
      <c r="I320" s="7"/>
      <c r="J320" s="9"/>
      <c r="K320" s="21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2.75" customHeight="1" x14ac:dyDescent="0.25">
      <c r="A321" s="20"/>
      <c r="B321" s="20"/>
      <c r="C321" s="14"/>
      <c r="D321" s="14"/>
      <c r="E321" s="5"/>
      <c r="F321" s="53"/>
      <c r="G321" s="54"/>
      <c r="H321" s="54"/>
      <c r="I321" s="7"/>
      <c r="J321" s="9"/>
      <c r="K321" s="21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2.75" customHeight="1" x14ac:dyDescent="0.25">
      <c r="A322" s="20"/>
      <c r="B322" s="20"/>
      <c r="C322" s="14"/>
      <c r="D322" s="14"/>
      <c r="E322" s="5"/>
      <c r="F322" s="53"/>
      <c r="G322" s="54"/>
      <c r="H322" s="54"/>
      <c r="I322" s="7"/>
      <c r="J322" s="9"/>
      <c r="K322" s="21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2.75" customHeight="1" x14ac:dyDescent="0.25">
      <c r="A323" s="20"/>
      <c r="B323" s="20"/>
      <c r="C323" s="14"/>
      <c r="D323" s="14"/>
      <c r="E323" s="5"/>
      <c r="F323" s="53"/>
      <c r="G323" s="54"/>
      <c r="H323" s="54"/>
      <c r="I323" s="7"/>
      <c r="J323" s="9"/>
      <c r="K323" s="21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2.75" customHeight="1" x14ac:dyDescent="0.25">
      <c r="A324" s="20"/>
      <c r="B324" s="20"/>
      <c r="C324" s="14"/>
      <c r="D324" s="14"/>
      <c r="E324" s="5"/>
      <c r="F324" s="53"/>
      <c r="G324" s="54"/>
      <c r="H324" s="54"/>
      <c r="I324" s="7"/>
      <c r="J324" s="9"/>
      <c r="K324" s="21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2.75" customHeight="1" x14ac:dyDescent="0.25">
      <c r="A325" s="20"/>
      <c r="B325" s="20"/>
      <c r="C325" s="14"/>
      <c r="D325" s="14"/>
      <c r="E325" s="5"/>
      <c r="F325" s="53"/>
      <c r="G325" s="54"/>
      <c r="H325" s="54"/>
      <c r="I325" s="7"/>
      <c r="J325" s="9"/>
      <c r="K325" s="21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2.75" customHeight="1" x14ac:dyDescent="0.25">
      <c r="A326" s="20"/>
      <c r="B326" s="20"/>
      <c r="C326" s="14"/>
      <c r="D326" s="14"/>
      <c r="E326" s="5"/>
      <c r="F326" s="53"/>
      <c r="G326" s="54"/>
      <c r="H326" s="54"/>
      <c r="I326" s="7"/>
      <c r="J326" s="9"/>
      <c r="K326" s="21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2.75" customHeight="1" x14ac:dyDescent="0.25">
      <c r="A327" s="20"/>
      <c r="B327" s="20"/>
      <c r="C327" s="14"/>
      <c r="D327" s="14"/>
      <c r="E327" s="5"/>
      <c r="F327" s="53"/>
      <c r="G327" s="54"/>
      <c r="H327" s="54"/>
      <c r="I327" s="7"/>
      <c r="J327" s="9"/>
      <c r="K327" s="21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 customHeight="1" x14ac:dyDescent="0.25">
      <c r="A328" s="20"/>
      <c r="B328" s="20"/>
      <c r="C328" s="14"/>
      <c r="D328" s="14"/>
      <c r="E328" s="5"/>
      <c r="F328" s="53"/>
      <c r="G328" s="54"/>
      <c r="H328" s="54"/>
      <c r="I328" s="7"/>
      <c r="J328" s="9"/>
      <c r="K328" s="21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 customHeight="1" x14ac:dyDescent="0.25">
      <c r="A329" s="20"/>
      <c r="B329" s="20"/>
      <c r="C329" s="14"/>
      <c r="D329" s="14"/>
      <c r="E329" s="5"/>
      <c r="F329" s="53"/>
      <c r="G329" s="54"/>
      <c r="H329" s="54"/>
      <c r="I329" s="7"/>
      <c r="J329" s="9"/>
      <c r="K329" s="21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2.75" customHeight="1" x14ac:dyDescent="0.25">
      <c r="A330" s="20"/>
      <c r="B330" s="20"/>
      <c r="C330" s="14"/>
      <c r="D330" s="14"/>
      <c r="E330" s="5"/>
      <c r="F330" s="53"/>
      <c r="G330" s="54"/>
      <c r="H330" s="54"/>
      <c r="I330" s="7"/>
      <c r="J330" s="9"/>
      <c r="K330" s="21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 customHeight="1" x14ac:dyDescent="0.25">
      <c r="A331" s="20"/>
      <c r="B331" s="20"/>
      <c r="C331" s="14"/>
      <c r="D331" s="14"/>
      <c r="E331" s="5"/>
      <c r="F331" s="53"/>
      <c r="G331" s="54"/>
      <c r="H331" s="54"/>
      <c r="I331" s="7"/>
      <c r="J331" s="9"/>
      <c r="K331" s="21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 customHeight="1" x14ac:dyDescent="0.25">
      <c r="A332" s="20"/>
      <c r="B332" s="20"/>
      <c r="C332" s="14"/>
      <c r="D332" s="14"/>
      <c r="E332" s="5"/>
      <c r="F332" s="53"/>
      <c r="G332" s="54"/>
      <c r="H332" s="54"/>
      <c r="I332" s="7"/>
      <c r="J332" s="9"/>
      <c r="K332" s="21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 customHeight="1" x14ac:dyDescent="0.25">
      <c r="A333" s="20"/>
      <c r="B333" s="20"/>
      <c r="C333" s="14"/>
      <c r="D333" s="14"/>
      <c r="E333" s="5"/>
      <c r="F333" s="53"/>
      <c r="G333" s="54"/>
      <c r="H333" s="54"/>
      <c r="I333" s="7"/>
      <c r="J333" s="9"/>
      <c r="K333" s="21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 customHeight="1" x14ac:dyDescent="0.25">
      <c r="A334" s="20"/>
      <c r="B334" s="20"/>
      <c r="C334" s="14"/>
      <c r="D334" s="14"/>
      <c r="E334" s="5"/>
      <c r="F334" s="53"/>
      <c r="G334" s="54"/>
      <c r="H334" s="54"/>
      <c r="I334" s="7"/>
      <c r="J334" s="9"/>
      <c r="K334" s="21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2.75" customHeight="1" x14ac:dyDescent="0.25">
      <c r="A335" s="20"/>
      <c r="B335" s="20"/>
      <c r="C335" s="14"/>
      <c r="D335" s="14"/>
      <c r="E335" s="5"/>
      <c r="F335" s="53"/>
      <c r="G335" s="54"/>
      <c r="H335" s="54"/>
      <c r="I335" s="7"/>
      <c r="J335" s="9"/>
      <c r="K335" s="21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2.75" customHeight="1" x14ac:dyDescent="0.25">
      <c r="A336" s="20"/>
      <c r="B336" s="20"/>
      <c r="C336" s="14"/>
      <c r="D336" s="14"/>
      <c r="E336" s="5"/>
      <c r="F336" s="53"/>
      <c r="G336" s="54"/>
      <c r="H336" s="54"/>
      <c r="I336" s="7"/>
      <c r="J336" s="9"/>
      <c r="K336" s="21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2.75" customHeight="1" x14ac:dyDescent="0.25">
      <c r="A337" s="20"/>
      <c r="B337" s="20"/>
      <c r="C337" s="14"/>
      <c r="D337" s="14"/>
      <c r="E337" s="5"/>
      <c r="F337" s="53"/>
      <c r="G337" s="54"/>
      <c r="H337" s="54"/>
      <c r="I337" s="7"/>
      <c r="J337" s="9"/>
      <c r="K337" s="21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2.75" customHeight="1" x14ac:dyDescent="0.25">
      <c r="A338" s="20"/>
      <c r="B338" s="20"/>
      <c r="C338" s="14"/>
      <c r="D338" s="14"/>
      <c r="E338" s="5"/>
      <c r="F338" s="53"/>
      <c r="G338" s="54"/>
      <c r="H338" s="54"/>
      <c r="I338" s="7"/>
      <c r="J338" s="9"/>
      <c r="K338" s="21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2.75" customHeight="1" x14ac:dyDescent="0.25">
      <c r="A339" s="20"/>
      <c r="B339" s="20"/>
      <c r="C339" s="14"/>
      <c r="D339" s="14"/>
      <c r="E339" s="5"/>
      <c r="F339" s="53"/>
      <c r="G339" s="54"/>
      <c r="H339" s="54"/>
      <c r="I339" s="7"/>
      <c r="J339" s="9"/>
      <c r="K339" s="21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 customHeight="1" x14ac:dyDescent="0.25">
      <c r="A340" s="20"/>
      <c r="B340" s="20"/>
      <c r="C340" s="14"/>
      <c r="D340" s="14"/>
      <c r="E340" s="5"/>
      <c r="F340" s="53"/>
      <c r="G340" s="54"/>
      <c r="H340" s="54"/>
      <c r="I340" s="7"/>
      <c r="J340" s="9"/>
      <c r="K340" s="21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2.75" customHeight="1" x14ac:dyDescent="0.25">
      <c r="A341" s="20"/>
      <c r="B341" s="20"/>
      <c r="C341" s="14"/>
      <c r="D341" s="14"/>
      <c r="E341" s="5"/>
      <c r="F341" s="53"/>
      <c r="G341" s="54"/>
      <c r="H341" s="54"/>
      <c r="I341" s="7"/>
      <c r="J341" s="9"/>
      <c r="K341" s="21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2.75" customHeight="1" x14ac:dyDescent="0.25">
      <c r="A342" s="20"/>
      <c r="B342" s="20"/>
      <c r="C342" s="14"/>
      <c r="D342" s="14"/>
      <c r="E342" s="5"/>
      <c r="F342" s="53"/>
      <c r="G342" s="54"/>
      <c r="H342" s="54"/>
      <c r="I342" s="7"/>
      <c r="J342" s="9"/>
      <c r="K342" s="21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 customHeight="1" x14ac:dyDescent="0.25">
      <c r="A343" s="20"/>
      <c r="B343" s="20"/>
      <c r="C343" s="14"/>
      <c r="D343" s="14"/>
      <c r="E343" s="5"/>
      <c r="F343" s="53"/>
      <c r="G343" s="54"/>
      <c r="H343" s="54"/>
      <c r="I343" s="7"/>
      <c r="J343" s="9"/>
      <c r="K343" s="21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2.75" customHeight="1" x14ac:dyDescent="0.25">
      <c r="A344" s="20"/>
      <c r="B344" s="20"/>
      <c r="C344" s="14"/>
      <c r="D344" s="14"/>
      <c r="E344" s="5"/>
      <c r="F344" s="53"/>
      <c r="G344" s="54"/>
      <c r="H344" s="54"/>
      <c r="I344" s="7"/>
      <c r="J344" s="9"/>
      <c r="K344" s="21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2.75" customHeight="1" x14ac:dyDescent="0.25">
      <c r="A345" s="20"/>
      <c r="B345" s="20"/>
      <c r="C345" s="14"/>
      <c r="D345" s="14"/>
      <c r="E345" s="5"/>
      <c r="F345" s="53"/>
      <c r="G345" s="54"/>
      <c r="H345" s="54"/>
      <c r="I345" s="7"/>
      <c r="J345" s="9"/>
      <c r="K345" s="21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2.75" customHeight="1" x14ac:dyDescent="0.25">
      <c r="A346" s="20"/>
      <c r="B346" s="20"/>
      <c r="C346" s="14"/>
      <c r="D346" s="14"/>
      <c r="E346" s="5"/>
      <c r="F346" s="53"/>
      <c r="G346" s="54"/>
      <c r="H346" s="54"/>
      <c r="I346" s="7"/>
      <c r="J346" s="9"/>
      <c r="K346" s="21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 customHeight="1" x14ac:dyDescent="0.25">
      <c r="A347" s="20"/>
      <c r="B347" s="20"/>
      <c r="C347" s="14"/>
      <c r="D347" s="14"/>
      <c r="E347" s="5"/>
      <c r="F347" s="53"/>
      <c r="G347" s="54"/>
      <c r="H347" s="54"/>
      <c r="I347" s="7"/>
      <c r="J347" s="9"/>
      <c r="K347" s="21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 customHeight="1" x14ac:dyDescent="0.25">
      <c r="A348" s="20"/>
      <c r="B348" s="20"/>
      <c r="C348" s="14"/>
      <c r="D348" s="14"/>
      <c r="E348" s="5"/>
      <c r="F348" s="53"/>
      <c r="G348" s="54"/>
      <c r="H348" s="54"/>
      <c r="I348" s="7"/>
      <c r="J348" s="9"/>
      <c r="K348" s="21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 customHeight="1" x14ac:dyDescent="0.25">
      <c r="A349" s="20"/>
      <c r="B349" s="20"/>
      <c r="C349" s="14"/>
      <c r="D349" s="14"/>
      <c r="E349" s="5"/>
      <c r="F349" s="53"/>
      <c r="G349" s="54"/>
      <c r="H349" s="54"/>
      <c r="I349" s="7"/>
      <c r="J349" s="9"/>
      <c r="K349" s="21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 customHeight="1" x14ac:dyDescent="0.25">
      <c r="A350" s="20"/>
      <c r="B350" s="20"/>
      <c r="C350" s="14"/>
      <c r="D350" s="14"/>
      <c r="E350" s="5"/>
      <c r="F350" s="53"/>
      <c r="G350" s="54"/>
      <c r="H350" s="54"/>
      <c r="I350" s="7"/>
      <c r="J350" s="9"/>
      <c r="K350" s="21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 customHeight="1" x14ac:dyDescent="0.25">
      <c r="A351" s="20"/>
      <c r="B351" s="20"/>
      <c r="C351" s="14"/>
      <c r="D351" s="14"/>
      <c r="E351" s="5"/>
      <c r="F351" s="53"/>
      <c r="G351" s="54"/>
      <c r="H351" s="54"/>
      <c r="I351" s="7"/>
      <c r="J351" s="9"/>
      <c r="K351" s="21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 customHeight="1" x14ac:dyDescent="0.25">
      <c r="A352" s="20"/>
      <c r="B352" s="20"/>
      <c r="C352" s="14"/>
      <c r="D352" s="14"/>
      <c r="E352" s="5"/>
      <c r="F352" s="53"/>
      <c r="G352" s="54"/>
      <c r="H352" s="54"/>
      <c r="I352" s="7"/>
      <c r="J352" s="9"/>
      <c r="K352" s="21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2.75" customHeight="1" x14ac:dyDescent="0.25">
      <c r="A353" s="20"/>
      <c r="B353" s="20"/>
      <c r="C353" s="14"/>
      <c r="D353" s="14"/>
      <c r="E353" s="5"/>
      <c r="F353" s="53"/>
      <c r="G353" s="54"/>
      <c r="H353" s="54"/>
      <c r="I353" s="7"/>
      <c r="J353" s="9"/>
      <c r="K353" s="21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2.75" customHeight="1" x14ac:dyDescent="0.25">
      <c r="A354" s="20"/>
      <c r="B354" s="20"/>
      <c r="C354" s="14"/>
      <c r="D354" s="14"/>
      <c r="E354" s="5"/>
      <c r="F354" s="53"/>
      <c r="G354" s="54"/>
      <c r="H354" s="54"/>
      <c r="I354" s="7"/>
      <c r="J354" s="9"/>
      <c r="K354" s="21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 customHeight="1" x14ac:dyDescent="0.25">
      <c r="A355" s="20"/>
      <c r="B355" s="20"/>
      <c r="C355" s="14"/>
      <c r="D355" s="14"/>
      <c r="E355" s="5"/>
      <c r="F355" s="53"/>
      <c r="G355" s="54"/>
      <c r="H355" s="54"/>
      <c r="I355" s="7"/>
      <c r="J355" s="9"/>
      <c r="K355" s="21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 customHeight="1" x14ac:dyDescent="0.25">
      <c r="A356" s="20"/>
      <c r="B356" s="20"/>
      <c r="C356" s="14"/>
      <c r="D356" s="14"/>
      <c r="E356" s="5"/>
      <c r="F356" s="53"/>
      <c r="G356" s="54"/>
      <c r="H356" s="54"/>
      <c r="I356" s="7"/>
      <c r="J356" s="9"/>
      <c r="K356" s="21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 customHeight="1" x14ac:dyDescent="0.25">
      <c r="A357" s="20"/>
      <c r="B357" s="20"/>
      <c r="C357" s="14"/>
      <c r="D357" s="14"/>
      <c r="E357" s="5"/>
      <c r="F357" s="53"/>
      <c r="G357" s="54"/>
      <c r="H357" s="54"/>
      <c r="I357" s="7"/>
      <c r="J357" s="9"/>
      <c r="K357" s="21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 customHeight="1" x14ac:dyDescent="0.25">
      <c r="A358" s="20"/>
      <c r="B358" s="20"/>
      <c r="C358" s="14"/>
      <c r="D358" s="14"/>
      <c r="E358" s="5"/>
      <c r="F358" s="53"/>
      <c r="G358" s="54"/>
      <c r="H358" s="54"/>
      <c r="I358" s="7"/>
      <c r="J358" s="9"/>
      <c r="K358" s="21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2.75" customHeight="1" x14ac:dyDescent="0.25">
      <c r="A359" s="20"/>
      <c r="B359" s="20"/>
      <c r="C359" s="14"/>
      <c r="D359" s="14"/>
      <c r="E359" s="5"/>
      <c r="F359" s="53"/>
      <c r="G359" s="54"/>
      <c r="H359" s="54"/>
      <c r="I359" s="7"/>
      <c r="J359" s="9"/>
      <c r="K359" s="21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2.75" customHeight="1" x14ac:dyDescent="0.25">
      <c r="A360" s="20"/>
      <c r="B360" s="20"/>
      <c r="C360" s="14"/>
      <c r="D360" s="14"/>
      <c r="E360" s="5"/>
      <c r="F360" s="53"/>
      <c r="G360" s="54"/>
      <c r="H360" s="54"/>
      <c r="I360" s="7"/>
      <c r="J360" s="9"/>
      <c r="K360" s="21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 customHeight="1" x14ac:dyDescent="0.25">
      <c r="A361" s="20"/>
      <c r="B361" s="20"/>
      <c r="C361" s="14"/>
      <c r="D361" s="14"/>
      <c r="E361" s="5"/>
      <c r="F361" s="53"/>
      <c r="G361" s="54"/>
      <c r="H361" s="54"/>
      <c r="I361" s="7"/>
      <c r="J361" s="9"/>
      <c r="K361" s="21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 customHeight="1" x14ac:dyDescent="0.25">
      <c r="A362" s="20"/>
      <c r="B362" s="20"/>
      <c r="C362" s="14"/>
      <c r="D362" s="14"/>
      <c r="E362" s="5"/>
      <c r="F362" s="53"/>
      <c r="G362" s="54"/>
      <c r="H362" s="54"/>
      <c r="I362" s="7"/>
      <c r="J362" s="9"/>
      <c r="K362" s="21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2.75" customHeight="1" x14ac:dyDescent="0.25">
      <c r="A363" s="20"/>
      <c r="B363" s="20"/>
      <c r="C363" s="14"/>
      <c r="D363" s="14"/>
      <c r="E363" s="5"/>
      <c r="F363" s="53"/>
      <c r="G363" s="54"/>
      <c r="H363" s="54"/>
      <c r="I363" s="7"/>
      <c r="J363" s="9"/>
      <c r="K363" s="21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2.75" customHeight="1" x14ac:dyDescent="0.25">
      <c r="A364" s="20"/>
      <c r="B364" s="20"/>
      <c r="C364" s="14"/>
      <c r="D364" s="14"/>
      <c r="E364" s="5"/>
      <c r="F364" s="53"/>
      <c r="G364" s="54"/>
      <c r="H364" s="54"/>
      <c r="I364" s="7"/>
      <c r="J364" s="9"/>
      <c r="K364" s="21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2.75" customHeight="1" x14ac:dyDescent="0.25">
      <c r="A365" s="20"/>
      <c r="B365" s="20"/>
      <c r="C365" s="14"/>
      <c r="D365" s="14"/>
      <c r="E365" s="5"/>
      <c r="F365" s="53"/>
      <c r="G365" s="54"/>
      <c r="H365" s="54"/>
      <c r="I365" s="7"/>
      <c r="J365" s="9"/>
      <c r="K365" s="21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 customHeight="1" x14ac:dyDescent="0.25">
      <c r="A366" s="20"/>
      <c r="B366" s="20"/>
      <c r="C366" s="14"/>
      <c r="D366" s="14"/>
      <c r="E366" s="5"/>
      <c r="F366" s="53"/>
      <c r="G366" s="54"/>
      <c r="H366" s="54"/>
      <c r="I366" s="7"/>
      <c r="J366" s="9"/>
      <c r="K366" s="21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 customHeight="1" x14ac:dyDescent="0.25">
      <c r="A367" s="20"/>
      <c r="B367" s="20"/>
      <c r="C367" s="14"/>
      <c r="D367" s="14"/>
      <c r="E367" s="5"/>
      <c r="F367" s="53"/>
      <c r="G367" s="54"/>
      <c r="H367" s="54"/>
      <c r="I367" s="7"/>
      <c r="J367" s="9"/>
      <c r="K367" s="21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 customHeight="1" x14ac:dyDescent="0.25">
      <c r="A368" s="20"/>
      <c r="B368" s="20"/>
      <c r="C368" s="14"/>
      <c r="D368" s="14"/>
      <c r="E368" s="5"/>
      <c r="F368" s="53"/>
      <c r="G368" s="54"/>
      <c r="H368" s="54"/>
      <c r="I368" s="7"/>
      <c r="J368" s="9"/>
      <c r="K368" s="21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 customHeight="1" x14ac:dyDescent="0.25">
      <c r="A369" s="20"/>
      <c r="B369" s="20"/>
      <c r="C369" s="14"/>
      <c r="D369" s="14"/>
      <c r="E369" s="5"/>
      <c r="F369" s="53"/>
      <c r="G369" s="54"/>
      <c r="H369" s="54"/>
      <c r="I369" s="7"/>
      <c r="J369" s="9"/>
      <c r="K369" s="21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2.75" customHeight="1" x14ac:dyDescent="0.25">
      <c r="A370" s="20"/>
      <c r="B370" s="20"/>
      <c r="C370" s="14"/>
      <c r="D370" s="14"/>
      <c r="E370" s="5"/>
      <c r="F370" s="53"/>
      <c r="G370" s="54"/>
      <c r="H370" s="54"/>
      <c r="I370" s="7"/>
      <c r="J370" s="9"/>
      <c r="K370" s="21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2.75" customHeight="1" x14ac:dyDescent="0.25">
      <c r="A371" s="20"/>
      <c r="B371" s="20"/>
      <c r="C371" s="14"/>
      <c r="D371" s="14"/>
      <c r="E371" s="5"/>
      <c r="F371" s="53"/>
      <c r="G371" s="54"/>
      <c r="H371" s="54"/>
      <c r="I371" s="7"/>
      <c r="J371" s="9"/>
      <c r="K371" s="21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2.75" customHeight="1" x14ac:dyDescent="0.25">
      <c r="A372" s="20"/>
      <c r="B372" s="20"/>
      <c r="C372" s="14"/>
      <c r="D372" s="14"/>
      <c r="E372" s="5"/>
      <c r="F372" s="53"/>
      <c r="G372" s="54"/>
      <c r="H372" s="54"/>
      <c r="I372" s="7"/>
      <c r="J372" s="9"/>
      <c r="K372" s="21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2.75" customHeight="1" x14ac:dyDescent="0.25">
      <c r="A373" s="20"/>
      <c r="B373" s="20"/>
      <c r="C373" s="14"/>
      <c r="D373" s="14"/>
      <c r="E373" s="5"/>
      <c r="F373" s="53"/>
      <c r="G373" s="54"/>
      <c r="H373" s="54"/>
      <c r="I373" s="7"/>
      <c r="J373" s="9"/>
      <c r="K373" s="21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2.75" customHeight="1" x14ac:dyDescent="0.25">
      <c r="A374" s="20"/>
      <c r="B374" s="20"/>
      <c r="C374" s="14"/>
      <c r="D374" s="14"/>
      <c r="E374" s="5"/>
      <c r="F374" s="53"/>
      <c r="G374" s="54"/>
      <c r="H374" s="54"/>
      <c r="I374" s="7"/>
      <c r="J374" s="9"/>
      <c r="K374" s="21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 customHeight="1" x14ac:dyDescent="0.25">
      <c r="A375" s="20"/>
      <c r="B375" s="20"/>
      <c r="C375" s="14"/>
      <c r="D375" s="14"/>
      <c r="E375" s="5"/>
      <c r="F375" s="53"/>
      <c r="G375" s="54"/>
      <c r="H375" s="54"/>
      <c r="I375" s="7"/>
      <c r="J375" s="9"/>
      <c r="K375" s="21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 customHeight="1" x14ac:dyDescent="0.25">
      <c r="A376" s="20"/>
      <c r="B376" s="20"/>
      <c r="C376" s="14"/>
      <c r="D376" s="14"/>
      <c r="E376" s="5"/>
      <c r="F376" s="53"/>
      <c r="G376" s="54"/>
      <c r="H376" s="54"/>
      <c r="I376" s="7"/>
      <c r="J376" s="9"/>
      <c r="K376" s="21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 customHeight="1" x14ac:dyDescent="0.25">
      <c r="A377" s="20"/>
      <c r="B377" s="20"/>
      <c r="C377" s="14"/>
      <c r="D377" s="14"/>
      <c r="E377" s="5"/>
      <c r="F377" s="53"/>
      <c r="G377" s="54"/>
      <c r="H377" s="54"/>
      <c r="I377" s="7"/>
      <c r="J377" s="9"/>
      <c r="K377" s="21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 customHeight="1" x14ac:dyDescent="0.25">
      <c r="A378" s="20"/>
      <c r="B378" s="20"/>
      <c r="C378" s="14"/>
      <c r="D378" s="14"/>
      <c r="E378" s="5"/>
      <c r="F378" s="53"/>
      <c r="G378" s="54"/>
      <c r="H378" s="54"/>
      <c r="I378" s="7"/>
      <c r="J378" s="9"/>
      <c r="K378" s="21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 customHeight="1" x14ac:dyDescent="0.25">
      <c r="A379" s="20"/>
      <c r="B379" s="20"/>
      <c r="C379" s="14"/>
      <c r="D379" s="14"/>
      <c r="E379" s="5"/>
      <c r="F379" s="53"/>
      <c r="G379" s="54"/>
      <c r="H379" s="54"/>
      <c r="I379" s="7"/>
      <c r="J379" s="9"/>
      <c r="K379" s="21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 customHeight="1" x14ac:dyDescent="0.25">
      <c r="A380" s="20"/>
      <c r="B380" s="20"/>
      <c r="C380" s="14"/>
      <c r="D380" s="14"/>
      <c r="E380" s="5"/>
      <c r="F380" s="53"/>
      <c r="G380" s="54"/>
      <c r="H380" s="54"/>
      <c r="I380" s="7"/>
      <c r="J380" s="9"/>
      <c r="K380" s="21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2.75" customHeight="1" x14ac:dyDescent="0.25">
      <c r="A381" s="20"/>
      <c r="B381" s="20"/>
      <c r="C381" s="14"/>
      <c r="D381" s="14"/>
      <c r="E381" s="5"/>
      <c r="F381" s="53"/>
      <c r="G381" s="54"/>
      <c r="H381" s="54"/>
      <c r="I381" s="7"/>
      <c r="J381" s="9"/>
      <c r="K381" s="21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2.75" customHeight="1" x14ac:dyDescent="0.25">
      <c r="A382" s="20"/>
      <c r="B382" s="20"/>
      <c r="C382" s="14"/>
      <c r="D382" s="14"/>
      <c r="E382" s="5"/>
      <c r="F382" s="53"/>
      <c r="G382" s="54"/>
      <c r="H382" s="54"/>
      <c r="I382" s="7"/>
      <c r="J382" s="9"/>
      <c r="K382" s="21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2.75" customHeight="1" x14ac:dyDescent="0.25">
      <c r="A383" s="20"/>
      <c r="B383" s="20"/>
      <c r="C383" s="14"/>
      <c r="D383" s="14"/>
      <c r="E383" s="5"/>
      <c r="F383" s="53"/>
      <c r="G383" s="54"/>
      <c r="H383" s="54"/>
      <c r="I383" s="7"/>
      <c r="J383" s="9"/>
      <c r="K383" s="21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2.75" customHeight="1" x14ac:dyDescent="0.25">
      <c r="A384" s="20"/>
      <c r="B384" s="20"/>
      <c r="C384" s="14"/>
      <c r="D384" s="14"/>
      <c r="E384" s="5"/>
      <c r="F384" s="53"/>
      <c r="G384" s="54"/>
      <c r="H384" s="54"/>
      <c r="I384" s="7"/>
      <c r="J384" s="9"/>
      <c r="K384" s="21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2.75" customHeight="1" x14ac:dyDescent="0.25">
      <c r="A385" s="20"/>
      <c r="B385" s="20"/>
      <c r="C385" s="14"/>
      <c r="D385" s="14"/>
      <c r="E385" s="5"/>
      <c r="F385" s="53"/>
      <c r="G385" s="54"/>
      <c r="H385" s="54"/>
      <c r="I385" s="7"/>
      <c r="J385" s="9"/>
      <c r="K385" s="21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2.75" customHeight="1" x14ac:dyDescent="0.25">
      <c r="A386" s="20"/>
      <c r="B386" s="20"/>
      <c r="C386" s="14"/>
      <c r="D386" s="14"/>
      <c r="E386" s="5"/>
      <c r="F386" s="53"/>
      <c r="G386" s="54"/>
      <c r="H386" s="54"/>
      <c r="I386" s="7"/>
      <c r="J386" s="9"/>
      <c r="K386" s="21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2.75" customHeight="1" x14ac:dyDescent="0.25">
      <c r="A387" s="20"/>
      <c r="B387" s="20"/>
      <c r="C387" s="14"/>
      <c r="D387" s="14"/>
      <c r="E387" s="5"/>
      <c r="F387" s="53"/>
      <c r="G387" s="54"/>
      <c r="H387" s="54"/>
      <c r="I387" s="7"/>
      <c r="J387" s="9"/>
      <c r="K387" s="21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2.75" customHeight="1" x14ac:dyDescent="0.25">
      <c r="A388" s="20"/>
      <c r="B388" s="20"/>
      <c r="C388" s="14"/>
      <c r="D388" s="14"/>
      <c r="E388" s="5"/>
      <c r="F388" s="53"/>
      <c r="G388" s="54"/>
      <c r="H388" s="54"/>
      <c r="I388" s="7"/>
      <c r="J388" s="9"/>
      <c r="K388" s="21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2.75" customHeight="1" x14ac:dyDescent="0.25">
      <c r="A389" s="20"/>
      <c r="B389" s="20"/>
      <c r="C389" s="14"/>
      <c r="D389" s="14"/>
      <c r="E389" s="5"/>
      <c r="F389" s="53"/>
      <c r="G389" s="54"/>
      <c r="H389" s="54"/>
      <c r="I389" s="7"/>
      <c r="J389" s="9"/>
      <c r="K389" s="21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2.75" customHeight="1" x14ac:dyDescent="0.25">
      <c r="A390" s="20"/>
      <c r="B390" s="20"/>
      <c r="C390" s="14"/>
      <c r="D390" s="14"/>
      <c r="E390" s="5"/>
      <c r="F390" s="53"/>
      <c r="G390" s="54"/>
      <c r="H390" s="54"/>
      <c r="I390" s="7"/>
      <c r="J390" s="9"/>
      <c r="K390" s="21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2.75" customHeight="1" x14ac:dyDescent="0.25">
      <c r="A391" s="20"/>
      <c r="B391" s="20"/>
      <c r="C391" s="14"/>
      <c r="D391" s="14"/>
      <c r="E391" s="5"/>
      <c r="F391" s="53"/>
      <c r="G391" s="54"/>
      <c r="H391" s="54"/>
      <c r="I391" s="7"/>
      <c r="J391" s="9"/>
      <c r="K391" s="21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2.75" customHeight="1" x14ac:dyDescent="0.25">
      <c r="A392" s="20"/>
      <c r="B392" s="20"/>
      <c r="C392" s="14"/>
      <c r="D392" s="14"/>
      <c r="E392" s="5"/>
      <c r="F392" s="53"/>
      <c r="G392" s="54"/>
      <c r="H392" s="54"/>
      <c r="I392" s="7"/>
      <c r="J392" s="9"/>
      <c r="K392" s="21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2.75" customHeight="1" x14ac:dyDescent="0.25">
      <c r="A393" s="20"/>
      <c r="B393" s="20"/>
      <c r="C393" s="14"/>
      <c r="D393" s="14"/>
      <c r="E393" s="5"/>
      <c r="F393" s="53"/>
      <c r="G393" s="54"/>
      <c r="H393" s="54"/>
      <c r="I393" s="7"/>
      <c r="J393" s="9"/>
      <c r="K393" s="21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2.75" customHeight="1" x14ac:dyDescent="0.25">
      <c r="A394" s="20"/>
      <c r="B394" s="20"/>
      <c r="C394" s="14"/>
      <c r="D394" s="14"/>
      <c r="E394" s="5"/>
      <c r="F394" s="53"/>
      <c r="G394" s="54"/>
      <c r="H394" s="54"/>
      <c r="I394" s="7"/>
      <c r="J394" s="9"/>
      <c r="K394" s="21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2.75" customHeight="1" x14ac:dyDescent="0.25">
      <c r="A395" s="20"/>
      <c r="B395" s="20"/>
      <c r="C395" s="14"/>
      <c r="D395" s="14"/>
      <c r="E395" s="5"/>
      <c r="F395" s="53"/>
      <c r="G395" s="54"/>
      <c r="H395" s="54"/>
      <c r="I395" s="7"/>
      <c r="J395" s="9"/>
      <c r="K395" s="21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2.75" customHeight="1" x14ac:dyDescent="0.25">
      <c r="A396" s="20"/>
      <c r="B396" s="20"/>
      <c r="C396" s="14"/>
      <c r="D396" s="14"/>
      <c r="E396" s="5"/>
      <c r="F396" s="53"/>
      <c r="G396" s="54"/>
      <c r="H396" s="54"/>
      <c r="I396" s="7"/>
      <c r="J396" s="9"/>
      <c r="K396" s="21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2.75" customHeight="1" x14ac:dyDescent="0.25">
      <c r="A397" s="20"/>
      <c r="B397" s="20"/>
      <c r="C397" s="14"/>
      <c r="D397" s="14"/>
      <c r="E397" s="5"/>
      <c r="F397" s="53"/>
      <c r="G397" s="54"/>
      <c r="H397" s="54"/>
      <c r="I397" s="7"/>
      <c r="J397" s="9"/>
      <c r="K397" s="21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2.75" customHeight="1" x14ac:dyDescent="0.25">
      <c r="A398" s="20"/>
      <c r="B398" s="20"/>
      <c r="C398" s="14"/>
      <c r="D398" s="14"/>
      <c r="E398" s="5"/>
      <c r="F398" s="53"/>
      <c r="G398" s="54"/>
      <c r="H398" s="54"/>
      <c r="I398" s="7"/>
      <c r="J398" s="9"/>
      <c r="K398" s="21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2.75" customHeight="1" x14ac:dyDescent="0.25">
      <c r="A399" s="20"/>
      <c r="B399" s="20"/>
      <c r="C399" s="14"/>
      <c r="D399" s="14"/>
      <c r="E399" s="5"/>
      <c r="F399" s="53"/>
      <c r="G399" s="54"/>
      <c r="H399" s="54"/>
      <c r="I399" s="7"/>
      <c r="J399" s="9"/>
      <c r="K399" s="21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2.75" customHeight="1" x14ac:dyDescent="0.25">
      <c r="A400" s="20"/>
      <c r="B400" s="20"/>
      <c r="C400" s="14"/>
      <c r="D400" s="14"/>
      <c r="E400" s="5"/>
      <c r="F400" s="53"/>
      <c r="G400" s="54"/>
      <c r="H400" s="54"/>
      <c r="I400" s="7"/>
      <c r="J400" s="9"/>
      <c r="K400" s="21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2.75" customHeight="1" x14ac:dyDescent="0.25">
      <c r="A401" s="20"/>
      <c r="B401" s="20"/>
      <c r="C401" s="14"/>
      <c r="D401" s="14"/>
      <c r="E401" s="5"/>
      <c r="F401" s="53"/>
      <c r="G401" s="54"/>
      <c r="H401" s="54"/>
      <c r="I401" s="7"/>
      <c r="J401" s="9"/>
      <c r="K401" s="21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2.75" customHeight="1" x14ac:dyDescent="0.25">
      <c r="A402" s="20"/>
      <c r="B402" s="20"/>
      <c r="C402" s="14"/>
      <c r="D402" s="14"/>
      <c r="E402" s="5"/>
      <c r="F402" s="53"/>
      <c r="G402" s="54"/>
      <c r="H402" s="54"/>
      <c r="I402" s="7"/>
      <c r="J402" s="9"/>
      <c r="K402" s="21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2.75" customHeight="1" x14ac:dyDescent="0.25">
      <c r="A403" s="20"/>
      <c r="B403" s="20"/>
      <c r="C403" s="14"/>
      <c r="D403" s="14"/>
      <c r="E403" s="5"/>
      <c r="F403" s="53"/>
      <c r="G403" s="54"/>
      <c r="H403" s="54"/>
      <c r="I403" s="7"/>
      <c r="J403" s="9"/>
      <c r="K403" s="21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2.75" customHeight="1" x14ac:dyDescent="0.25">
      <c r="A404" s="20"/>
      <c r="B404" s="20"/>
      <c r="C404" s="14"/>
      <c r="D404" s="14"/>
      <c r="E404" s="5"/>
      <c r="F404" s="53"/>
      <c r="G404" s="54"/>
      <c r="H404" s="54"/>
      <c r="I404" s="7"/>
      <c r="J404" s="9"/>
      <c r="K404" s="21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2.75" customHeight="1" x14ac:dyDescent="0.25">
      <c r="A405" s="20"/>
      <c r="B405" s="20"/>
      <c r="C405" s="14"/>
      <c r="D405" s="14"/>
      <c r="E405" s="5"/>
      <c r="F405" s="53"/>
      <c r="G405" s="54"/>
      <c r="H405" s="54"/>
      <c r="I405" s="7"/>
      <c r="J405" s="9"/>
      <c r="K405" s="21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2.75" customHeight="1" x14ac:dyDescent="0.25">
      <c r="A406" s="20"/>
      <c r="B406" s="20"/>
      <c r="C406" s="14"/>
      <c r="D406" s="14"/>
      <c r="E406" s="5"/>
      <c r="F406" s="53"/>
      <c r="G406" s="54"/>
      <c r="H406" s="54"/>
      <c r="I406" s="7"/>
      <c r="J406" s="9"/>
      <c r="K406" s="21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2.75" customHeight="1" x14ac:dyDescent="0.25">
      <c r="A407" s="20"/>
      <c r="B407" s="20"/>
      <c r="C407" s="14"/>
      <c r="D407" s="14"/>
      <c r="E407" s="5"/>
      <c r="F407" s="53"/>
      <c r="G407" s="54"/>
      <c r="H407" s="54"/>
      <c r="I407" s="7"/>
      <c r="J407" s="9"/>
      <c r="K407" s="21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2.75" customHeight="1" x14ac:dyDescent="0.25">
      <c r="A408" s="20"/>
      <c r="B408" s="20"/>
      <c r="C408" s="14"/>
      <c r="D408" s="14"/>
      <c r="E408" s="5"/>
      <c r="F408" s="53"/>
      <c r="G408" s="54"/>
      <c r="H408" s="54"/>
      <c r="I408" s="7"/>
      <c r="J408" s="9"/>
      <c r="K408" s="21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2.75" customHeight="1" x14ac:dyDescent="0.25">
      <c r="A409" s="20"/>
      <c r="B409" s="20"/>
      <c r="C409" s="14"/>
      <c r="D409" s="14"/>
      <c r="E409" s="5"/>
      <c r="F409" s="53"/>
      <c r="G409" s="54"/>
      <c r="H409" s="54"/>
      <c r="I409" s="7"/>
      <c r="J409" s="9"/>
      <c r="K409" s="21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2.75" customHeight="1" x14ac:dyDescent="0.25">
      <c r="A410" s="20"/>
      <c r="B410" s="20"/>
      <c r="C410" s="14"/>
      <c r="D410" s="14"/>
      <c r="E410" s="5"/>
      <c r="F410" s="53"/>
      <c r="G410" s="54"/>
      <c r="H410" s="54"/>
      <c r="I410" s="7"/>
      <c r="J410" s="9"/>
      <c r="K410" s="21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2.75" customHeight="1" x14ac:dyDescent="0.25">
      <c r="A411" s="20"/>
      <c r="B411" s="20"/>
      <c r="C411" s="14"/>
      <c r="D411" s="14"/>
      <c r="E411" s="5"/>
      <c r="F411" s="53"/>
      <c r="G411" s="54"/>
      <c r="H411" s="54"/>
      <c r="I411" s="7"/>
      <c r="J411" s="9"/>
      <c r="K411" s="21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2.75" customHeight="1" x14ac:dyDescent="0.25">
      <c r="A412" s="20"/>
      <c r="B412" s="20"/>
      <c r="C412" s="14"/>
      <c r="D412" s="14"/>
      <c r="E412" s="5"/>
      <c r="F412" s="53"/>
      <c r="G412" s="54"/>
      <c r="H412" s="54"/>
      <c r="I412" s="7"/>
      <c r="J412" s="9"/>
      <c r="K412" s="21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2.75" customHeight="1" x14ac:dyDescent="0.25">
      <c r="A413" s="20"/>
      <c r="B413" s="20"/>
      <c r="C413" s="14"/>
      <c r="D413" s="14"/>
      <c r="E413" s="5"/>
      <c r="F413" s="53"/>
      <c r="G413" s="54"/>
      <c r="H413" s="54"/>
      <c r="I413" s="7"/>
      <c r="J413" s="9"/>
      <c r="K413" s="21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2.75" customHeight="1" x14ac:dyDescent="0.25">
      <c r="A414" s="20"/>
      <c r="B414" s="20"/>
      <c r="C414" s="14"/>
      <c r="D414" s="14"/>
      <c r="E414" s="5"/>
      <c r="F414" s="53"/>
      <c r="G414" s="54"/>
      <c r="H414" s="54"/>
      <c r="I414" s="7"/>
      <c r="J414" s="9"/>
      <c r="K414" s="21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2.75" customHeight="1" x14ac:dyDescent="0.25">
      <c r="A415" s="20"/>
      <c r="B415" s="20"/>
      <c r="C415" s="14"/>
      <c r="D415" s="14"/>
      <c r="E415" s="5"/>
      <c r="F415" s="53"/>
      <c r="G415" s="54"/>
      <c r="H415" s="54"/>
      <c r="I415" s="7"/>
      <c r="J415" s="9"/>
      <c r="K415" s="21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2.75" customHeight="1" x14ac:dyDescent="0.25">
      <c r="A416" s="20"/>
      <c r="B416" s="20"/>
      <c r="C416" s="14"/>
      <c r="D416" s="14"/>
      <c r="E416" s="5"/>
      <c r="F416" s="53"/>
      <c r="G416" s="54"/>
      <c r="H416" s="54"/>
      <c r="I416" s="7"/>
      <c r="J416" s="9"/>
      <c r="K416" s="21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2.75" customHeight="1" x14ac:dyDescent="0.25">
      <c r="A417" s="20"/>
      <c r="B417" s="20"/>
      <c r="C417" s="14"/>
      <c r="D417" s="14"/>
      <c r="E417" s="5"/>
      <c r="F417" s="53"/>
      <c r="G417" s="54"/>
      <c r="H417" s="54"/>
      <c r="I417" s="7"/>
      <c r="J417" s="9"/>
      <c r="K417" s="21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2.75" customHeight="1" x14ac:dyDescent="0.25">
      <c r="A418" s="20"/>
      <c r="B418" s="20"/>
      <c r="C418" s="14"/>
      <c r="D418" s="14"/>
      <c r="E418" s="5"/>
      <c r="F418" s="53"/>
      <c r="G418" s="54"/>
      <c r="H418" s="54"/>
      <c r="I418" s="7"/>
      <c r="J418" s="9"/>
      <c r="K418" s="21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2.75" customHeight="1" x14ac:dyDescent="0.25">
      <c r="A419" s="20"/>
      <c r="B419" s="20"/>
      <c r="C419" s="14"/>
      <c r="D419" s="14"/>
      <c r="E419" s="5"/>
      <c r="F419" s="53"/>
      <c r="G419" s="54"/>
      <c r="H419" s="54"/>
      <c r="I419" s="7"/>
      <c r="J419" s="9"/>
      <c r="K419" s="21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2.75" customHeight="1" x14ac:dyDescent="0.25">
      <c r="A420" s="20"/>
      <c r="B420" s="20"/>
      <c r="C420" s="14"/>
      <c r="D420" s="14"/>
      <c r="E420" s="5"/>
      <c r="F420" s="53"/>
      <c r="G420" s="54"/>
      <c r="H420" s="54"/>
      <c r="I420" s="7"/>
      <c r="J420" s="9"/>
      <c r="K420" s="21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2.75" customHeight="1" x14ac:dyDescent="0.25">
      <c r="A421" s="20"/>
      <c r="B421" s="20"/>
      <c r="C421" s="14"/>
      <c r="D421" s="14"/>
      <c r="E421" s="5"/>
      <c r="F421" s="53"/>
      <c r="G421" s="54"/>
      <c r="H421" s="54"/>
      <c r="I421" s="7"/>
      <c r="J421" s="9"/>
      <c r="K421" s="21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2.75" customHeight="1" x14ac:dyDescent="0.25">
      <c r="A422" s="20"/>
      <c r="B422" s="20"/>
      <c r="C422" s="14"/>
      <c r="D422" s="14"/>
      <c r="E422" s="5"/>
      <c r="F422" s="53"/>
      <c r="G422" s="54"/>
      <c r="H422" s="54"/>
      <c r="I422" s="7"/>
      <c r="J422" s="9"/>
      <c r="K422" s="21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2.75" customHeight="1" x14ac:dyDescent="0.25">
      <c r="A423" s="20"/>
      <c r="B423" s="20"/>
      <c r="C423" s="14"/>
      <c r="D423" s="14"/>
      <c r="E423" s="5"/>
      <c r="F423" s="53"/>
      <c r="G423" s="54"/>
      <c r="H423" s="54"/>
      <c r="I423" s="7"/>
      <c r="J423" s="9"/>
      <c r="K423" s="21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2.75" customHeight="1" x14ac:dyDescent="0.25">
      <c r="A424" s="20"/>
      <c r="B424" s="20"/>
      <c r="C424" s="14"/>
      <c r="D424" s="14"/>
      <c r="E424" s="5"/>
      <c r="F424" s="53"/>
      <c r="G424" s="54"/>
      <c r="H424" s="54"/>
      <c r="I424" s="7"/>
      <c r="J424" s="9"/>
      <c r="K424" s="21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2.75" customHeight="1" x14ac:dyDescent="0.25">
      <c r="A425" s="20"/>
      <c r="B425" s="20"/>
      <c r="C425" s="14"/>
      <c r="D425" s="14"/>
      <c r="E425" s="5"/>
      <c r="F425" s="53"/>
      <c r="G425" s="54"/>
      <c r="H425" s="54"/>
      <c r="I425" s="7"/>
      <c r="J425" s="9"/>
      <c r="K425" s="21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2.75" customHeight="1" x14ac:dyDescent="0.25">
      <c r="A426" s="20"/>
      <c r="B426" s="20"/>
      <c r="C426" s="14"/>
      <c r="D426" s="14"/>
      <c r="E426" s="5"/>
      <c r="F426" s="53"/>
      <c r="G426" s="54"/>
      <c r="H426" s="54"/>
      <c r="I426" s="7"/>
      <c r="J426" s="9"/>
      <c r="K426" s="21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2.75" customHeight="1" x14ac:dyDescent="0.25">
      <c r="A427" s="20"/>
      <c r="B427" s="20"/>
      <c r="C427" s="14"/>
      <c r="D427" s="14"/>
      <c r="E427" s="5"/>
      <c r="F427" s="53"/>
      <c r="G427" s="54"/>
      <c r="H427" s="54"/>
      <c r="I427" s="7"/>
      <c r="J427" s="9"/>
      <c r="K427" s="21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2.75" customHeight="1" x14ac:dyDescent="0.25">
      <c r="A428" s="20"/>
      <c r="B428" s="20"/>
      <c r="C428" s="14"/>
      <c r="D428" s="14"/>
      <c r="E428" s="5"/>
      <c r="F428" s="53"/>
      <c r="G428" s="54"/>
      <c r="H428" s="54"/>
      <c r="I428" s="7"/>
      <c r="J428" s="9"/>
      <c r="K428" s="21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2.75" customHeight="1" x14ac:dyDescent="0.25">
      <c r="A429" s="20"/>
      <c r="B429" s="20"/>
      <c r="C429" s="14"/>
      <c r="D429" s="14"/>
      <c r="E429" s="5"/>
      <c r="F429" s="53"/>
      <c r="G429" s="54"/>
      <c r="H429" s="54"/>
      <c r="I429" s="7"/>
      <c r="J429" s="9"/>
      <c r="K429" s="21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2.75" customHeight="1" x14ac:dyDescent="0.25">
      <c r="A430" s="20"/>
      <c r="B430" s="20"/>
      <c r="C430" s="14"/>
      <c r="D430" s="14"/>
      <c r="E430" s="5"/>
      <c r="F430" s="53"/>
      <c r="G430" s="54"/>
      <c r="H430" s="54"/>
      <c r="I430" s="7"/>
      <c r="J430" s="9"/>
      <c r="K430" s="21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2.75" customHeight="1" x14ac:dyDescent="0.25">
      <c r="A431" s="20"/>
      <c r="B431" s="20"/>
      <c r="C431" s="14"/>
      <c r="D431" s="14"/>
      <c r="E431" s="5"/>
      <c r="F431" s="53"/>
      <c r="G431" s="54"/>
      <c r="H431" s="54"/>
      <c r="I431" s="7"/>
      <c r="J431" s="9"/>
      <c r="K431" s="21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2.75" customHeight="1" x14ac:dyDescent="0.25">
      <c r="A432" s="20"/>
      <c r="B432" s="20"/>
      <c r="C432" s="14"/>
      <c r="D432" s="14"/>
      <c r="E432" s="5"/>
      <c r="F432" s="53"/>
      <c r="G432" s="54"/>
      <c r="H432" s="54"/>
      <c r="I432" s="7"/>
      <c r="J432" s="9"/>
      <c r="K432" s="21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2.75" customHeight="1" x14ac:dyDescent="0.25">
      <c r="A433" s="20"/>
      <c r="B433" s="20"/>
      <c r="C433" s="14"/>
      <c r="D433" s="14"/>
      <c r="E433" s="5"/>
      <c r="F433" s="53"/>
      <c r="G433" s="54"/>
      <c r="H433" s="54"/>
      <c r="I433" s="7"/>
      <c r="J433" s="9"/>
      <c r="K433" s="21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2.75" customHeight="1" x14ac:dyDescent="0.25">
      <c r="A434" s="20"/>
      <c r="B434" s="20"/>
      <c r="C434" s="14"/>
      <c r="D434" s="14"/>
      <c r="E434" s="5"/>
      <c r="F434" s="53"/>
      <c r="G434" s="54"/>
      <c r="H434" s="54"/>
      <c r="I434" s="7"/>
      <c r="J434" s="9"/>
      <c r="K434" s="21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2.75" customHeight="1" x14ac:dyDescent="0.25">
      <c r="A435" s="20"/>
      <c r="B435" s="20"/>
      <c r="C435" s="14"/>
      <c r="D435" s="14"/>
      <c r="E435" s="5"/>
      <c r="F435" s="53"/>
      <c r="G435" s="54"/>
      <c r="H435" s="54"/>
      <c r="I435" s="7"/>
      <c r="J435" s="9"/>
      <c r="K435" s="21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2.75" customHeight="1" x14ac:dyDescent="0.25">
      <c r="A436" s="20"/>
      <c r="B436" s="20"/>
      <c r="C436" s="14"/>
      <c r="D436" s="14"/>
      <c r="E436" s="5"/>
      <c r="F436" s="53"/>
      <c r="G436" s="54"/>
      <c r="H436" s="54"/>
      <c r="I436" s="7"/>
      <c r="J436" s="9"/>
      <c r="K436" s="21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2.75" customHeight="1" x14ac:dyDescent="0.25">
      <c r="A437" s="20"/>
      <c r="B437" s="20"/>
      <c r="C437" s="14"/>
      <c r="D437" s="14"/>
      <c r="E437" s="5"/>
      <c r="F437" s="53"/>
      <c r="G437" s="54"/>
      <c r="H437" s="54"/>
      <c r="I437" s="7"/>
      <c r="J437" s="9"/>
      <c r="K437" s="21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2.75" customHeight="1" x14ac:dyDescent="0.25">
      <c r="A438" s="20"/>
      <c r="B438" s="20"/>
      <c r="C438" s="14"/>
      <c r="D438" s="14"/>
      <c r="E438" s="5"/>
      <c r="F438" s="53"/>
      <c r="G438" s="54"/>
      <c r="H438" s="54"/>
      <c r="I438" s="7"/>
      <c r="J438" s="9"/>
      <c r="K438" s="21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2.75" customHeight="1" x14ac:dyDescent="0.25">
      <c r="A439" s="20"/>
      <c r="B439" s="20"/>
      <c r="C439" s="14"/>
      <c r="D439" s="14"/>
      <c r="E439" s="5"/>
      <c r="F439" s="53"/>
      <c r="G439" s="54"/>
      <c r="H439" s="54"/>
      <c r="I439" s="7"/>
      <c r="J439" s="9"/>
      <c r="K439" s="21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2.75" customHeight="1" x14ac:dyDescent="0.25">
      <c r="A440" s="20"/>
      <c r="B440" s="20"/>
      <c r="C440" s="14"/>
      <c r="D440" s="14"/>
      <c r="E440" s="5"/>
      <c r="F440" s="53"/>
      <c r="G440" s="54"/>
      <c r="H440" s="54"/>
      <c r="I440" s="7"/>
      <c r="J440" s="9"/>
      <c r="K440" s="21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2.75" customHeight="1" x14ac:dyDescent="0.25">
      <c r="A441" s="20"/>
      <c r="B441" s="20"/>
      <c r="C441" s="14"/>
      <c r="D441" s="14"/>
      <c r="E441" s="5"/>
      <c r="F441" s="53"/>
      <c r="G441" s="54"/>
      <c r="H441" s="54"/>
      <c r="I441" s="7"/>
      <c r="J441" s="9"/>
      <c r="K441" s="21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2.75" customHeight="1" x14ac:dyDescent="0.25">
      <c r="A442" s="20"/>
      <c r="B442" s="20"/>
      <c r="C442" s="14"/>
      <c r="D442" s="14"/>
      <c r="E442" s="5"/>
      <c r="F442" s="53"/>
      <c r="G442" s="54"/>
      <c r="H442" s="54"/>
      <c r="I442" s="7"/>
      <c r="J442" s="9"/>
      <c r="K442" s="21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2.75" customHeight="1" x14ac:dyDescent="0.25">
      <c r="A443" s="20"/>
      <c r="B443" s="20"/>
      <c r="C443" s="14"/>
      <c r="D443" s="14"/>
      <c r="E443" s="5"/>
      <c r="F443" s="53"/>
      <c r="G443" s="54"/>
      <c r="H443" s="54"/>
      <c r="I443" s="7"/>
      <c r="J443" s="9"/>
      <c r="K443" s="21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2.75" customHeight="1" x14ac:dyDescent="0.25">
      <c r="A444" s="20"/>
      <c r="B444" s="20"/>
      <c r="C444" s="14"/>
      <c r="D444" s="14"/>
      <c r="E444" s="5"/>
      <c r="F444" s="53"/>
      <c r="G444" s="54"/>
      <c r="H444" s="54"/>
      <c r="I444" s="7"/>
      <c r="J444" s="9"/>
      <c r="K444" s="21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2.75" customHeight="1" x14ac:dyDescent="0.25">
      <c r="A445" s="20"/>
      <c r="B445" s="20"/>
      <c r="C445" s="14"/>
      <c r="D445" s="14"/>
      <c r="E445" s="5"/>
      <c r="F445" s="53"/>
      <c r="G445" s="54"/>
      <c r="H445" s="54"/>
      <c r="I445" s="7"/>
      <c r="J445" s="9"/>
      <c r="K445" s="21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2.75" customHeight="1" x14ac:dyDescent="0.25">
      <c r="A446" s="20"/>
      <c r="B446" s="20"/>
      <c r="C446" s="14"/>
      <c r="D446" s="14"/>
      <c r="E446" s="5"/>
      <c r="F446" s="53"/>
      <c r="G446" s="54"/>
      <c r="H446" s="54"/>
      <c r="I446" s="7"/>
      <c r="J446" s="9"/>
      <c r="K446" s="21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2.75" customHeight="1" x14ac:dyDescent="0.25">
      <c r="A447" s="20"/>
      <c r="B447" s="20"/>
      <c r="C447" s="14"/>
      <c r="D447" s="14"/>
      <c r="E447" s="5"/>
      <c r="F447" s="53"/>
      <c r="G447" s="54"/>
      <c r="H447" s="54"/>
      <c r="I447" s="7"/>
      <c r="J447" s="9"/>
      <c r="K447" s="21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2.75" customHeight="1" x14ac:dyDescent="0.25">
      <c r="A448" s="20"/>
      <c r="B448" s="20"/>
      <c r="C448" s="14"/>
      <c r="D448" s="14"/>
      <c r="E448" s="5"/>
      <c r="F448" s="53"/>
      <c r="G448" s="54"/>
      <c r="H448" s="54"/>
      <c r="I448" s="7"/>
      <c r="J448" s="9"/>
      <c r="K448" s="21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2.75" customHeight="1" x14ac:dyDescent="0.25">
      <c r="A449" s="20"/>
      <c r="B449" s="20"/>
      <c r="C449" s="14"/>
      <c r="D449" s="14"/>
      <c r="E449" s="5"/>
      <c r="F449" s="53"/>
      <c r="G449" s="54"/>
      <c r="H449" s="54"/>
      <c r="I449" s="7"/>
      <c r="J449" s="9"/>
      <c r="K449" s="21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2.75" customHeight="1" x14ac:dyDescent="0.25">
      <c r="A450" s="20"/>
      <c r="B450" s="20"/>
      <c r="C450" s="14"/>
      <c r="D450" s="14"/>
      <c r="E450" s="5"/>
      <c r="F450" s="53"/>
      <c r="G450" s="54"/>
      <c r="H450" s="54"/>
      <c r="I450" s="7"/>
      <c r="J450" s="9"/>
      <c r="K450" s="21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2.75" customHeight="1" x14ac:dyDescent="0.25">
      <c r="A451" s="20"/>
      <c r="B451" s="20"/>
      <c r="C451" s="14"/>
      <c r="D451" s="14"/>
      <c r="E451" s="5"/>
      <c r="F451" s="53"/>
      <c r="G451" s="54"/>
      <c r="H451" s="54"/>
      <c r="I451" s="7"/>
      <c r="J451" s="9"/>
      <c r="K451" s="21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2.75" customHeight="1" x14ac:dyDescent="0.25">
      <c r="A452" s="20"/>
      <c r="B452" s="20"/>
      <c r="C452" s="14"/>
      <c r="D452" s="14"/>
      <c r="E452" s="5"/>
      <c r="F452" s="53"/>
      <c r="G452" s="54"/>
      <c r="H452" s="54"/>
      <c r="I452" s="7"/>
      <c r="J452" s="9"/>
      <c r="K452" s="21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2.75" customHeight="1" x14ac:dyDescent="0.25">
      <c r="A453" s="20"/>
      <c r="B453" s="20"/>
      <c r="C453" s="14"/>
      <c r="D453" s="14"/>
      <c r="E453" s="5"/>
      <c r="F453" s="53"/>
      <c r="G453" s="54"/>
      <c r="H453" s="54"/>
      <c r="I453" s="7"/>
      <c r="J453" s="9"/>
      <c r="K453" s="21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2.75" customHeight="1" x14ac:dyDescent="0.25">
      <c r="A454" s="20"/>
      <c r="B454" s="20"/>
      <c r="C454" s="14"/>
      <c r="D454" s="14"/>
      <c r="E454" s="5"/>
      <c r="F454" s="53"/>
      <c r="G454" s="54"/>
      <c r="H454" s="54"/>
      <c r="I454" s="7"/>
      <c r="J454" s="9"/>
      <c r="K454" s="21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2.75" customHeight="1" x14ac:dyDescent="0.25">
      <c r="A455" s="20"/>
      <c r="B455" s="20"/>
      <c r="C455" s="14"/>
      <c r="D455" s="14"/>
      <c r="E455" s="5"/>
      <c r="F455" s="53"/>
      <c r="G455" s="54"/>
      <c r="H455" s="54"/>
      <c r="I455" s="7"/>
      <c r="J455" s="9"/>
      <c r="K455" s="21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2.75" customHeight="1" x14ac:dyDescent="0.25">
      <c r="A456" s="20"/>
      <c r="B456" s="20"/>
      <c r="C456" s="14"/>
      <c r="D456" s="14"/>
      <c r="E456" s="5"/>
      <c r="F456" s="53"/>
      <c r="G456" s="54"/>
      <c r="H456" s="54"/>
      <c r="I456" s="7"/>
      <c r="J456" s="9"/>
      <c r="K456" s="21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2.75" customHeight="1" x14ac:dyDescent="0.25">
      <c r="A457" s="20"/>
      <c r="B457" s="20"/>
      <c r="C457" s="14"/>
      <c r="D457" s="14"/>
      <c r="E457" s="5"/>
      <c r="F457" s="53"/>
      <c r="G457" s="54"/>
      <c r="H457" s="54"/>
      <c r="I457" s="7"/>
      <c r="J457" s="9"/>
      <c r="K457" s="21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2.75" customHeight="1" x14ac:dyDescent="0.25">
      <c r="A458" s="20"/>
      <c r="B458" s="20"/>
      <c r="C458" s="14"/>
      <c r="D458" s="14"/>
      <c r="E458" s="5"/>
      <c r="F458" s="53"/>
      <c r="G458" s="54"/>
      <c r="H458" s="54"/>
      <c r="I458" s="7"/>
      <c r="J458" s="9"/>
      <c r="K458" s="21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2.75" customHeight="1" x14ac:dyDescent="0.25">
      <c r="A459" s="20"/>
      <c r="B459" s="20"/>
      <c r="C459" s="14"/>
      <c r="D459" s="14"/>
      <c r="E459" s="5"/>
      <c r="F459" s="53"/>
      <c r="G459" s="54"/>
      <c r="H459" s="54"/>
      <c r="I459" s="7"/>
      <c r="J459" s="9"/>
      <c r="K459" s="21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2.75" customHeight="1" x14ac:dyDescent="0.25">
      <c r="A460" s="20"/>
      <c r="B460" s="20"/>
      <c r="C460" s="14"/>
      <c r="D460" s="14"/>
      <c r="E460" s="5"/>
      <c r="F460" s="53"/>
      <c r="G460" s="54"/>
      <c r="H460" s="54"/>
      <c r="I460" s="7"/>
      <c r="J460" s="9"/>
      <c r="K460" s="21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2.75" customHeight="1" x14ac:dyDescent="0.25">
      <c r="A461" s="20"/>
      <c r="B461" s="20"/>
      <c r="C461" s="14"/>
      <c r="D461" s="14"/>
      <c r="E461" s="5"/>
      <c r="F461" s="53"/>
      <c r="G461" s="54"/>
      <c r="H461" s="54"/>
      <c r="I461" s="7"/>
      <c r="J461" s="9"/>
      <c r="K461" s="21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2.75" customHeight="1" x14ac:dyDescent="0.25">
      <c r="A462" s="20"/>
      <c r="B462" s="20"/>
      <c r="C462" s="14"/>
      <c r="D462" s="14"/>
      <c r="E462" s="5"/>
      <c r="F462" s="53"/>
      <c r="G462" s="54"/>
      <c r="H462" s="54"/>
      <c r="I462" s="7"/>
      <c r="J462" s="9"/>
      <c r="K462" s="21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2.75" customHeight="1" x14ac:dyDescent="0.25">
      <c r="A463" s="20"/>
      <c r="B463" s="20"/>
      <c r="C463" s="14"/>
      <c r="D463" s="14"/>
      <c r="E463" s="5"/>
      <c r="F463" s="53"/>
      <c r="G463" s="54"/>
      <c r="H463" s="54"/>
      <c r="I463" s="7"/>
      <c r="J463" s="9"/>
      <c r="K463" s="21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2.75" customHeight="1" x14ac:dyDescent="0.25">
      <c r="A464" s="20"/>
      <c r="B464" s="20"/>
      <c r="C464" s="14"/>
      <c r="D464" s="14"/>
      <c r="E464" s="5"/>
      <c r="F464" s="53"/>
      <c r="G464" s="54"/>
      <c r="H464" s="54"/>
      <c r="I464" s="7"/>
      <c r="J464" s="9"/>
      <c r="K464" s="21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2.75" customHeight="1" x14ac:dyDescent="0.25">
      <c r="A465" s="20"/>
      <c r="B465" s="20"/>
      <c r="C465" s="14"/>
      <c r="D465" s="14"/>
      <c r="E465" s="5"/>
      <c r="F465" s="53"/>
      <c r="G465" s="54"/>
      <c r="H465" s="54"/>
      <c r="I465" s="7"/>
      <c r="J465" s="9"/>
      <c r="K465" s="21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2.75" customHeight="1" x14ac:dyDescent="0.25">
      <c r="A466" s="20"/>
      <c r="B466" s="20"/>
      <c r="C466" s="14"/>
      <c r="D466" s="14"/>
      <c r="E466" s="5"/>
      <c r="F466" s="53"/>
      <c r="G466" s="54"/>
      <c r="H466" s="54"/>
      <c r="I466" s="7"/>
      <c r="J466" s="9"/>
      <c r="K466" s="21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2.75" customHeight="1" x14ac:dyDescent="0.25">
      <c r="A467" s="20"/>
      <c r="B467" s="20"/>
      <c r="C467" s="14"/>
      <c r="D467" s="14"/>
      <c r="E467" s="5"/>
      <c r="F467" s="53"/>
      <c r="G467" s="54"/>
      <c r="H467" s="54"/>
      <c r="I467" s="7"/>
      <c r="J467" s="9"/>
      <c r="K467" s="21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2.75" customHeight="1" x14ac:dyDescent="0.25">
      <c r="A468" s="20"/>
      <c r="B468" s="20"/>
      <c r="C468" s="14"/>
      <c r="D468" s="14"/>
      <c r="E468" s="5"/>
      <c r="F468" s="53"/>
      <c r="G468" s="54"/>
      <c r="H468" s="54"/>
      <c r="I468" s="7"/>
      <c r="J468" s="9"/>
      <c r="K468" s="21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2.75" customHeight="1" x14ac:dyDescent="0.25">
      <c r="A469" s="20"/>
      <c r="B469" s="20"/>
      <c r="C469" s="14"/>
      <c r="D469" s="14"/>
      <c r="E469" s="5"/>
      <c r="F469" s="53"/>
      <c r="G469" s="54"/>
      <c r="H469" s="54"/>
      <c r="I469" s="7"/>
      <c r="J469" s="9"/>
      <c r="K469" s="21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2.75" customHeight="1" x14ac:dyDescent="0.25">
      <c r="A470" s="20"/>
      <c r="B470" s="20"/>
      <c r="C470" s="14"/>
      <c r="D470" s="14"/>
      <c r="E470" s="5"/>
      <c r="F470" s="53"/>
      <c r="G470" s="54"/>
      <c r="H470" s="54"/>
      <c r="I470" s="7"/>
      <c r="J470" s="9"/>
      <c r="K470" s="21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2.75" customHeight="1" x14ac:dyDescent="0.25">
      <c r="A471" s="20"/>
      <c r="B471" s="20"/>
      <c r="C471" s="14"/>
      <c r="D471" s="14"/>
      <c r="E471" s="5"/>
      <c r="F471" s="53"/>
      <c r="G471" s="54"/>
      <c r="H471" s="54"/>
      <c r="I471" s="7"/>
      <c r="J471" s="9"/>
      <c r="K471" s="21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2.75" customHeight="1" x14ac:dyDescent="0.25">
      <c r="A472" s="20"/>
      <c r="B472" s="20"/>
      <c r="C472" s="14"/>
      <c r="D472" s="14"/>
      <c r="E472" s="5"/>
      <c r="F472" s="53"/>
      <c r="G472" s="54"/>
      <c r="H472" s="54"/>
      <c r="I472" s="7"/>
      <c r="J472" s="9"/>
      <c r="K472" s="21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2.75" customHeight="1" x14ac:dyDescent="0.25">
      <c r="A473" s="20"/>
      <c r="B473" s="20"/>
      <c r="C473" s="14"/>
      <c r="D473" s="14"/>
      <c r="E473" s="5"/>
      <c r="F473" s="53"/>
      <c r="G473" s="54"/>
      <c r="H473" s="54"/>
      <c r="I473" s="7"/>
      <c r="J473" s="9"/>
      <c r="K473" s="21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2.75" customHeight="1" x14ac:dyDescent="0.25">
      <c r="A474" s="20"/>
      <c r="B474" s="20"/>
      <c r="C474" s="14"/>
      <c r="D474" s="14"/>
      <c r="E474" s="5"/>
      <c r="F474" s="53"/>
      <c r="G474" s="54"/>
      <c r="H474" s="54"/>
      <c r="I474" s="7"/>
      <c r="J474" s="9"/>
      <c r="K474" s="21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2.75" customHeight="1" x14ac:dyDescent="0.25">
      <c r="A475" s="20"/>
      <c r="B475" s="20"/>
      <c r="C475" s="14"/>
      <c r="D475" s="14"/>
      <c r="E475" s="5"/>
      <c r="F475" s="53"/>
      <c r="G475" s="54"/>
      <c r="H475" s="54"/>
      <c r="I475" s="7"/>
      <c r="J475" s="9"/>
      <c r="K475" s="21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2.75" customHeight="1" x14ac:dyDescent="0.25">
      <c r="A476" s="20"/>
      <c r="B476" s="20"/>
      <c r="C476" s="14"/>
      <c r="D476" s="14"/>
      <c r="E476" s="5"/>
      <c r="F476" s="53"/>
      <c r="G476" s="54"/>
      <c r="H476" s="54"/>
      <c r="I476" s="7"/>
      <c r="J476" s="9"/>
      <c r="K476" s="21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2.75" customHeight="1" x14ac:dyDescent="0.25">
      <c r="A477" s="20"/>
      <c r="B477" s="20"/>
      <c r="C477" s="14"/>
      <c r="D477" s="14"/>
      <c r="E477" s="5"/>
      <c r="F477" s="53"/>
      <c r="G477" s="54"/>
      <c r="H477" s="54"/>
      <c r="I477" s="7"/>
      <c r="J477" s="9"/>
      <c r="K477" s="21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2.75" customHeight="1" x14ac:dyDescent="0.25">
      <c r="A478" s="20"/>
      <c r="B478" s="20"/>
      <c r="C478" s="14"/>
      <c r="D478" s="14"/>
      <c r="E478" s="5"/>
      <c r="F478" s="53"/>
      <c r="G478" s="54"/>
      <c r="H478" s="54"/>
      <c r="I478" s="7"/>
      <c r="J478" s="9"/>
      <c r="K478" s="21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2.75" customHeight="1" x14ac:dyDescent="0.25">
      <c r="A479" s="20"/>
      <c r="B479" s="20"/>
      <c r="C479" s="14"/>
      <c r="D479" s="14"/>
      <c r="E479" s="5"/>
      <c r="F479" s="53"/>
      <c r="G479" s="54"/>
      <c r="H479" s="54"/>
      <c r="I479" s="7"/>
      <c r="J479" s="9"/>
      <c r="K479" s="21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2.75" customHeight="1" x14ac:dyDescent="0.25">
      <c r="A480" s="20"/>
      <c r="B480" s="20"/>
      <c r="C480" s="14"/>
      <c r="D480" s="14"/>
      <c r="E480" s="5"/>
      <c r="F480" s="53"/>
      <c r="G480" s="54"/>
      <c r="H480" s="54"/>
      <c r="I480" s="7"/>
      <c r="J480" s="9"/>
      <c r="K480" s="21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2.75" customHeight="1" x14ac:dyDescent="0.25">
      <c r="A481" s="20"/>
      <c r="B481" s="20"/>
      <c r="C481" s="14"/>
      <c r="D481" s="14"/>
      <c r="E481" s="5"/>
      <c r="F481" s="53"/>
      <c r="G481" s="54"/>
      <c r="H481" s="54"/>
      <c r="I481" s="7"/>
      <c r="J481" s="9"/>
      <c r="K481" s="21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2.75" customHeight="1" x14ac:dyDescent="0.25">
      <c r="A482" s="20"/>
      <c r="B482" s="20"/>
      <c r="C482" s="14"/>
      <c r="D482" s="14"/>
      <c r="E482" s="5"/>
      <c r="F482" s="53"/>
      <c r="G482" s="54"/>
      <c r="H482" s="54"/>
      <c r="I482" s="7"/>
      <c r="J482" s="9"/>
      <c r="K482" s="21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2.75" customHeight="1" x14ac:dyDescent="0.25">
      <c r="A483" s="20"/>
      <c r="B483" s="20"/>
      <c r="C483" s="14"/>
      <c r="D483" s="14"/>
      <c r="E483" s="5"/>
      <c r="F483" s="53"/>
      <c r="G483" s="54"/>
      <c r="H483" s="54"/>
      <c r="I483" s="7"/>
      <c r="J483" s="9"/>
      <c r="K483" s="21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2.75" customHeight="1" x14ac:dyDescent="0.25">
      <c r="A484" s="20"/>
      <c r="B484" s="20"/>
      <c r="C484" s="14"/>
      <c r="D484" s="14"/>
      <c r="E484" s="5"/>
      <c r="F484" s="53"/>
      <c r="G484" s="54"/>
      <c r="H484" s="54"/>
      <c r="I484" s="7"/>
      <c r="J484" s="9"/>
      <c r="K484" s="21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2.75" customHeight="1" x14ac:dyDescent="0.25">
      <c r="A485" s="20"/>
      <c r="B485" s="20"/>
      <c r="C485" s="14"/>
      <c r="D485" s="14"/>
      <c r="E485" s="5"/>
      <c r="F485" s="53"/>
      <c r="G485" s="54"/>
      <c r="H485" s="54"/>
      <c r="I485" s="7"/>
      <c r="J485" s="9"/>
      <c r="K485" s="21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2.75" customHeight="1" x14ac:dyDescent="0.25">
      <c r="A486" s="20"/>
      <c r="B486" s="20"/>
      <c r="C486" s="14"/>
      <c r="D486" s="14"/>
      <c r="E486" s="5"/>
      <c r="F486" s="53"/>
      <c r="G486" s="54"/>
      <c r="H486" s="54"/>
      <c r="I486" s="7"/>
      <c r="J486" s="9"/>
      <c r="K486" s="21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2.75" customHeight="1" x14ac:dyDescent="0.25">
      <c r="A487" s="20"/>
      <c r="B487" s="20"/>
      <c r="C487" s="14"/>
      <c r="D487" s="14"/>
      <c r="E487" s="5"/>
      <c r="F487" s="53"/>
      <c r="G487" s="54"/>
      <c r="H487" s="54"/>
      <c r="I487" s="7"/>
      <c r="J487" s="9"/>
      <c r="K487" s="21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2.75" customHeight="1" x14ac:dyDescent="0.25">
      <c r="A488" s="20"/>
      <c r="B488" s="20"/>
      <c r="C488" s="14"/>
      <c r="D488" s="14"/>
      <c r="E488" s="5"/>
      <c r="F488" s="53"/>
      <c r="G488" s="54"/>
      <c r="H488" s="54"/>
      <c r="I488" s="7"/>
      <c r="J488" s="9"/>
      <c r="K488" s="21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2.75" customHeight="1" x14ac:dyDescent="0.25">
      <c r="A489" s="20"/>
      <c r="B489" s="20"/>
      <c r="C489" s="14"/>
      <c r="D489" s="14"/>
      <c r="E489" s="5"/>
      <c r="F489" s="53"/>
      <c r="G489" s="54"/>
      <c r="H489" s="54"/>
      <c r="I489" s="7"/>
      <c r="J489" s="9"/>
      <c r="K489" s="21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2.75" customHeight="1" x14ac:dyDescent="0.25">
      <c r="A490" s="20"/>
      <c r="B490" s="20"/>
      <c r="C490" s="14"/>
      <c r="D490" s="14"/>
      <c r="E490" s="5"/>
      <c r="F490" s="53"/>
      <c r="G490" s="54"/>
      <c r="H490" s="54"/>
      <c r="I490" s="7"/>
      <c r="J490" s="9"/>
      <c r="K490" s="21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2.75" customHeight="1" x14ac:dyDescent="0.25">
      <c r="A491" s="20"/>
      <c r="B491" s="20"/>
      <c r="C491" s="14"/>
      <c r="D491" s="14"/>
      <c r="E491" s="5"/>
      <c r="F491" s="53"/>
      <c r="G491" s="54"/>
      <c r="H491" s="54"/>
      <c r="I491" s="7"/>
      <c r="J491" s="9"/>
      <c r="K491" s="21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2.75" customHeight="1" x14ac:dyDescent="0.25">
      <c r="A492" s="20"/>
      <c r="B492" s="20"/>
      <c r="C492" s="14"/>
      <c r="D492" s="14"/>
      <c r="E492" s="5"/>
      <c r="F492" s="53"/>
      <c r="G492" s="54"/>
      <c r="H492" s="54"/>
      <c r="I492" s="7"/>
      <c r="J492" s="9"/>
      <c r="K492" s="21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2.75" customHeight="1" x14ac:dyDescent="0.25">
      <c r="A493" s="20"/>
      <c r="B493" s="20"/>
      <c r="C493" s="14"/>
      <c r="D493" s="14"/>
      <c r="E493" s="5"/>
      <c r="F493" s="53"/>
      <c r="G493" s="54"/>
      <c r="H493" s="54"/>
      <c r="I493" s="7"/>
      <c r="J493" s="9"/>
      <c r="K493" s="21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2.75" customHeight="1" x14ac:dyDescent="0.25">
      <c r="A494" s="20"/>
      <c r="B494" s="20"/>
      <c r="C494" s="14"/>
      <c r="D494" s="14"/>
      <c r="E494" s="5"/>
      <c r="F494" s="53"/>
      <c r="G494" s="54"/>
      <c r="H494" s="54"/>
      <c r="I494" s="7"/>
      <c r="J494" s="9"/>
      <c r="K494" s="21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2.75" customHeight="1" x14ac:dyDescent="0.25">
      <c r="A495" s="20"/>
      <c r="B495" s="20"/>
      <c r="C495" s="14"/>
      <c r="D495" s="14"/>
      <c r="E495" s="5"/>
      <c r="F495" s="53"/>
      <c r="G495" s="54"/>
      <c r="H495" s="54"/>
      <c r="I495" s="7"/>
      <c r="J495" s="9"/>
      <c r="K495" s="21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2.75" customHeight="1" x14ac:dyDescent="0.25">
      <c r="A496" s="20"/>
      <c r="B496" s="20"/>
      <c r="C496" s="14"/>
      <c r="D496" s="14"/>
      <c r="E496" s="5"/>
      <c r="F496" s="53"/>
      <c r="G496" s="54"/>
      <c r="H496" s="54"/>
      <c r="I496" s="7"/>
      <c r="J496" s="9"/>
      <c r="K496" s="21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2.75" customHeight="1" x14ac:dyDescent="0.25">
      <c r="A497" s="20"/>
      <c r="B497" s="20"/>
      <c r="C497" s="14"/>
      <c r="D497" s="14"/>
      <c r="E497" s="5"/>
      <c r="F497" s="53"/>
      <c r="G497" s="54"/>
      <c r="H497" s="54"/>
      <c r="I497" s="7"/>
      <c r="J497" s="9"/>
      <c r="K497" s="21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2.75" customHeight="1" x14ac:dyDescent="0.25">
      <c r="A498" s="20"/>
      <c r="B498" s="20"/>
      <c r="C498" s="14"/>
      <c r="D498" s="14"/>
      <c r="E498" s="5"/>
      <c r="F498" s="53"/>
      <c r="G498" s="54"/>
      <c r="H498" s="54"/>
      <c r="I498" s="7"/>
      <c r="J498" s="9"/>
      <c r="K498" s="21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2.75" customHeight="1" x14ac:dyDescent="0.25">
      <c r="A499" s="20"/>
      <c r="B499" s="20"/>
      <c r="C499" s="14"/>
      <c r="D499" s="14"/>
      <c r="E499" s="5"/>
      <c r="F499" s="53"/>
      <c r="G499" s="54"/>
      <c r="H499" s="54"/>
      <c r="I499" s="7"/>
      <c r="J499" s="9"/>
      <c r="K499" s="21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2.75" customHeight="1" x14ac:dyDescent="0.25">
      <c r="A500" s="20"/>
      <c r="B500" s="20"/>
      <c r="C500" s="14"/>
      <c r="D500" s="14"/>
      <c r="E500" s="5"/>
      <c r="F500" s="53"/>
      <c r="G500" s="54"/>
      <c r="H500" s="54"/>
      <c r="I500" s="7"/>
      <c r="J500" s="9"/>
      <c r="K500" s="21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2.75" customHeight="1" x14ac:dyDescent="0.25">
      <c r="A501" s="20"/>
      <c r="B501" s="20"/>
      <c r="C501" s="14"/>
      <c r="D501" s="14"/>
      <c r="E501" s="5"/>
      <c r="F501" s="53"/>
      <c r="G501" s="54"/>
      <c r="H501" s="54"/>
      <c r="I501" s="7"/>
      <c r="J501" s="9"/>
      <c r="K501" s="21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2.75" customHeight="1" x14ac:dyDescent="0.25">
      <c r="A502" s="20"/>
      <c r="B502" s="20"/>
      <c r="C502" s="14"/>
      <c r="D502" s="14"/>
      <c r="E502" s="5"/>
      <c r="F502" s="53"/>
      <c r="G502" s="54"/>
      <c r="H502" s="54"/>
      <c r="I502" s="7"/>
      <c r="J502" s="9"/>
      <c r="K502" s="21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2.75" customHeight="1" x14ac:dyDescent="0.25">
      <c r="A503" s="20"/>
      <c r="B503" s="20"/>
      <c r="C503" s="14"/>
      <c r="D503" s="14"/>
      <c r="E503" s="5"/>
      <c r="F503" s="53"/>
      <c r="G503" s="54"/>
      <c r="H503" s="54"/>
      <c r="I503" s="7"/>
      <c r="J503" s="9"/>
      <c r="K503" s="21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2.75" customHeight="1" x14ac:dyDescent="0.25">
      <c r="A504" s="20"/>
      <c r="B504" s="20"/>
      <c r="C504" s="14"/>
      <c r="D504" s="14"/>
      <c r="E504" s="5"/>
      <c r="F504" s="53"/>
      <c r="G504" s="54"/>
      <c r="H504" s="54"/>
      <c r="I504" s="7"/>
      <c r="J504" s="9"/>
      <c r="K504" s="21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2.75" customHeight="1" x14ac:dyDescent="0.25">
      <c r="A505" s="20"/>
      <c r="B505" s="20"/>
      <c r="C505" s="14"/>
      <c r="D505" s="14"/>
      <c r="E505" s="5"/>
      <c r="F505" s="53"/>
      <c r="G505" s="54"/>
      <c r="H505" s="54"/>
      <c r="I505" s="7"/>
      <c r="J505" s="9"/>
      <c r="K505" s="21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2.75" customHeight="1" x14ac:dyDescent="0.25">
      <c r="A506" s="20"/>
      <c r="B506" s="20"/>
      <c r="C506" s="14"/>
      <c r="D506" s="14"/>
      <c r="E506" s="5"/>
      <c r="F506" s="53"/>
      <c r="G506" s="54"/>
      <c r="H506" s="54"/>
      <c r="I506" s="7"/>
      <c r="J506" s="9"/>
      <c r="K506" s="21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2.75" customHeight="1" x14ac:dyDescent="0.25">
      <c r="A507" s="20"/>
      <c r="B507" s="20"/>
      <c r="C507" s="14"/>
      <c r="D507" s="14"/>
      <c r="E507" s="5"/>
      <c r="F507" s="53"/>
      <c r="G507" s="54"/>
      <c r="H507" s="54"/>
      <c r="I507" s="7"/>
      <c r="J507" s="9"/>
      <c r="K507" s="21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2.75" customHeight="1" x14ac:dyDescent="0.25">
      <c r="A508" s="20"/>
      <c r="B508" s="20"/>
      <c r="C508" s="14"/>
      <c r="D508" s="14"/>
      <c r="E508" s="5"/>
      <c r="F508" s="53"/>
      <c r="G508" s="54"/>
      <c r="H508" s="54"/>
      <c r="I508" s="7"/>
      <c r="J508" s="9"/>
      <c r="K508" s="21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2.75" customHeight="1" x14ac:dyDescent="0.25">
      <c r="A509" s="20"/>
      <c r="B509" s="20"/>
      <c r="C509" s="14"/>
      <c r="D509" s="14"/>
      <c r="E509" s="5"/>
      <c r="F509" s="53"/>
      <c r="G509" s="54"/>
      <c r="H509" s="54"/>
      <c r="I509" s="7"/>
      <c r="J509" s="9"/>
      <c r="K509" s="21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2.75" customHeight="1" x14ac:dyDescent="0.25">
      <c r="A510" s="20"/>
      <c r="B510" s="20"/>
      <c r="C510" s="14"/>
      <c r="D510" s="14"/>
      <c r="E510" s="5"/>
      <c r="F510" s="53"/>
      <c r="G510" s="54"/>
      <c r="H510" s="54"/>
      <c r="I510" s="7"/>
      <c r="J510" s="9"/>
      <c r="K510" s="21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2.75" customHeight="1" x14ac:dyDescent="0.25">
      <c r="A511" s="20"/>
      <c r="B511" s="20"/>
      <c r="C511" s="14"/>
      <c r="D511" s="14"/>
      <c r="E511" s="5"/>
      <c r="F511" s="53"/>
      <c r="G511" s="54"/>
      <c r="H511" s="54"/>
      <c r="I511" s="7"/>
      <c r="J511" s="9"/>
      <c r="K511" s="21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2.75" customHeight="1" x14ac:dyDescent="0.25">
      <c r="A512" s="20"/>
      <c r="B512" s="20"/>
      <c r="C512" s="14"/>
      <c r="D512" s="14"/>
      <c r="E512" s="5"/>
      <c r="F512" s="53"/>
      <c r="G512" s="54"/>
      <c r="H512" s="54"/>
      <c r="I512" s="7"/>
      <c r="J512" s="9"/>
      <c r="K512" s="21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2.75" customHeight="1" x14ac:dyDescent="0.25">
      <c r="A513" s="20"/>
      <c r="B513" s="20"/>
      <c r="C513" s="14"/>
      <c r="D513" s="14"/>
      <c r="E513" s="5"/>
      <c r="F513" s="53"/>
      <c r="G513" s="54"/>
      <c r="H513" s="54"/>
      <c r="I513" s="7"/>
      <c r="J513" s="9"/>
      <c r="K513" s="21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2.75" customHeight="1" x14ac:dyDescent="0.25">
      <c r="A514" s="20"/>
      <c r="B514" s="20"/>
      <c r="C514" s="14"/>
      <c r="D514" s="14"/>
      <c r="E514" s="5"/>
      <c r="F514" s="53"/>
      <c r="G514" s="54"/>
      <c r="H514" s="54"/>
      <c r="I514" s="7"/>
      <c r="J514" s="9"/>
      <c r="K514" s="21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2.75" customHeight="1" x14ac:dyDescent="0.25">
      <c r="A515" s="20"/>
      <c r="B515" s="20"/>
      <c r="C515" s="14"/>
      <c r="D515" s="14"/>
      <c r="E515" s="5"/>
      <c r="F515" s="53"/>
      <c r="G515" s="54"/>
      <c r="H515" s="54"/>
      <c r="I515" s="7"/>
      <c r="J515" s="9"/>
      <c r="K515" s="21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2.75" customHeight="1" x14ac:dyDescent="0.25">
      <c r="A516" s="20"/>
      <c r="B516" s="20"/>
      <c r="C516" s="14"/>
      <c r="D516" s="14"/>
      <c r="E516" s="5"/>
      <c r="F516" s="53"/>
      <c r="G516" s="54"/>
      <c r="H516" s="54"/>
      <c r="I516" s="7"/>
      <c r="J516" s="9"/>
      <c r="K516" s="21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2.75" customHeight="1" x14ac:dyDescent="0.25">
      <c r="A517" s="20"/>
      <c r="B517" s="20"/>
      <c r="C517" s="14"/>
      <c r="D517" s="14"/>
      <c r="E517" s="5"/>
      <c r="F517" s="53"/>
      <c r="G517" s="54"/>
      <c r="H517" s="54"/>
      <c r="I517" s="7"/>
      <c r="J517" s="9"/>
      <c r="K517" s="21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2.75" customHeight="1" x14ac:dyDescent="0.25">
      <c r="A518" s="20"/>
      <c r="B518" s="20"/>
      <c r="C518" s="14"/>
      <c r="D518" s="14"/>
      <c r="E518" s="5"/>
      <c r="F518" s="53"/>
      <c r="G518" s="54"/>
      <c r="H518" s="54"/>
      <c r="I518" s="7"/>
      <c r="J518" s="9"/>
      <c r="K518" s="21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2.75" customHeight="1" x14ac:dyDescent="0.25">
      <c r="A519" s="20"/>
      <c r="B519" s="20"/>
      <c r="C519" s="14"/>
      <c r="D519" s="14"/>
      <c r="E519" s="5"/>
      <c r="F519" s="53"/>
      <c r="G519" s="54"/>
      <c r="H519" s="54"/>
      <c r="I519" s="7"/>
      <c r="J519" s="9"/>
      <c r="K519" s="21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2.75" customHeight="1" x14ac:dyDescent="0.25">
      <c r="A520" s="20"/>
      <c r="B520" s="20"/>
      <c r="C520" s="14"/>
      <c r="D520" s="14"/>
      <c r="E520" s="5"/>
      <c r="F520" s="53"/>
      <c r="G520" s="54"/>
      <c r="H520" s="54"/>
      <c r="I520" s="7"/>
      <c r="J520" s="9"/>
      <c r="K520" s="21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2.75" customHeight="1" x14ac:dyDescent="0.25">
      <c r="A521" s="20"/>
      <c r="B521" s="20"/>
      <c r="C521" s="14"/>
      <c r="D521" s="14"/>
      <c r="E521" s="5"/>
      <c r="F521" s="53"/>
      <c r="G521" s="54"/>
      <c r="H521" s="54"/>
      <c r="I521" s="7"/>
      <c r="J521" s="9"/>
      <c r="K521" s="21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2.75" customHeight="1" x14ac:dyDescent="0.25">
      <c r="A522" s="20"/>
      <c r="B522" s="20"/>
      <c r="C522" s="14"/>
      <c r="D522" s="14"/>
      <c r="E522" s="5"/>
      <c r="F522" s="53"/>
      <c r="G522" s="54"/>
      <c r="H522" s="54"/>
      <c r="I522" s="7"/>
      <c r="J522" s="9"/>
      <c r="K522" s="21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2.75" customHeight="1" x14ac:dyDescent="0.25">
      <c r="A523" s="20"/>
      <c r="B523" s="20"/>
      <c r="C523" s="14"/>
      <c r="D523" s="14"/>
      <c r="E523" s="5"/>
      <c r="F523" s="53"/>
      <c r="G523" s="54"/>
      <c r="H523" s="54"/>
      <c r="I523" s="7"/>
      <c r="J523" s="9"/>
      <c r="K523" s="21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2.75" customHeight="1" x14ac:dyDescent="0.25">
      <c r="A524" s="20"/>
      <c r="B524" s="20"/>
      <c r="C524" s="14"/>
      <c r="D524" s="14"/>
      <c r="E524" s="5"/>
      <c r="F524" s="53"/>
      <c r="G524" s="54"/>
      <c r="H524" s="54"/>
      <c r="I524" s="7"/>
      <c r="J524" s="9"/>
      <c r="K524" s="21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2.75" customHeight="1" x14ac:dyDescent="0.25">
      <c r="A525" s="20"/>
      <c r="B525" s="20"/>
      <c r="C525" s="14"/>
      <c r="D525" s="14"/>
      <c r="E525" s="5"/>
      <c r="F525" s="53"/>
      <c r="G525" s="54"/>
      <c r="H525" s="54"/>
      <c r="I525" s="7"/>
      <c r="J525" s="9"/>
      <c r="K525" s="21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2.75" customHeight="1" x14ac:dyDescent="0.25">
      <c r="A526" s="20"/>
      <c r="B526" s="20"/>
      <c r="C526" s="14"/>
      <c r="D526" s="14"/>
      <c r="E526" s="5"/>
      <c r="F526" s="53"/>
      <c r="G526" s="54"/>
      <c r="H526" s="54"/>
      <c r="I526" s="7"/>
      <c r="J526" s="9"/>
      <c r="K526" s="21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2.75" customHeight="1" x14ac:dyDescent="0.25">
      <c r="A527" s="20"/>
      <c r="B527" s="20"/>
      <c r="C527" s="14"/>
      <c r="D527" s="14"/>
      <c r="E527" s="5"/>
      <c r="F527" s="53"/>
      <c r="G527" s="54"/>
      <c r="H527" s="54"/>
      <c r="I527" s="7"/>
      <c r="J527" s="9"/>
      <c r="K527" s="21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2.75" customHeight="1" x14ac:dyDescent="0.25">
      <c r="A528" s="20"/>
      <c r="B528" s="20"/>
      <c r="C528" s="14"/>
      <c r="D528" s="14"/>
      <c r="E528" s="5"/>
      <c r="F528" s="53"/>
      <c r="G528" s="54"/>
      <c r="H528" s="54"/>
      <c r="I528" s="7"/>
      <c r="J528" s="9"/>
      <c r="K528" s="21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2.75" customHeight="1" x14ac:dyDescent="0.25">
      <c r="A529" s="20"/>
      <c r="B529" s="20"/>
      <c r="C529" s="14"/>
      <c r="D529" s="14"/>
      <c r="E529" s="5"/>
      <c r="F529" s="53"/>
      <c r="G529" s="54"/>
      <c r="H529" s="54"/>
      <c r="I529" s="7"/>
      <c r="J529" s="9"/>
      <c r="K529" s="21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2.75" customHeight="1" x14ac:dyDescent="0.25">
      <c r="A530" s="20"/>
      <c r="B530" s="20"/>
      <c r="C530" s="14"/>
      <c r="D530" s="14"/>
      <c r="E530" s="5"/>
      <c r="F530" s="53"/>
      <c r="G530" s="54"/>
      <c r="H530" s="54"/>
      <c r="I530" s="7"/>
      <c r="J530" s="9"/>
      <c r="K530" s="21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2.75" customHeight="1" x14ac:dyDescent="0.25">
      <c r="A531" s="20"/>
      <c r="B531" s="20"/>
      <c r="C531" s="14"/>
      <c r="D531" s="14"/>
      <c r="E531" s="5"/>
      <c r="F531" s="53"/>
      <c r="G531" s="54"/>
      <c r="H531" s="54"/>
      <c r="I531" s="7"/>
      <c r="J531" s="9"/>
      <c r="K531" s="21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2.75" customHeight="1" x14ac:dyDescent="0.25">
      <c r="A532" s="20"/>
      <c r="B532" s="20"/>
      <c r="C532" s="14"/>
      <c r="D532" s="14"/>
      <c r="E532" s="5"/>
      <c r="F532" s="53"/>
      <c r="G532" s="54"/>
      <c r="H532" s="54"/>
      <c r="I532" s="7"/>
      <c r="J532" s="9"/>
      <c r="K532" s="21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2.75" customHeight="1" x14ac:dyDescent="0.25">
      <c r="A533" s="20"/>
      <c r="B533" s="20"/>
      <c r="C533" s="14"/>
      <c r="D533" s="14"/>
      <c r="E533" s="5"/>
      <c r="F533" s="53"/>
      <c r="G533" s="54"/>
      <c r="H533" s="54"/>
      <c r="I533" s="7"/>
      <c r="J533" s="9"/>
      <c r="K533" s="21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2.75" customHeight="1" x14ac:dyDescent="0.25">
      <c r="A534" s="20"/>
      <c r="B534" s="20"/>
      <c r="C534" s="14"/>
      <c r="D534" s="14"/>
      <c r="E534" s="5"/>
      <c r="F534" s="53"/>
      <c r="G534" s="54"/>
      <c r="H534" s="54"/>
      <c r="I534" s="7"/>
      <c r="J534" s="9"/>
      <c r="K534" s="21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2.75" customHeight="1" x14ac:dyDescent="0.25">
      <c r="A535" s="20"/>
      <c r="B535" s="20"/>
      <c r="C535" s="14"/>
      <c r="D535" s="14"/>
      <c r="E535" s="5"/>
      <c r="F535" s="53"/>
      <c r="G535" s="54"/>
      <c r="H535" s="54"/>
      <c r="I535" s="7"/>
      <c r="J535" s="9"/>
      <c r="K535" s="21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2.75" customHeight="1" x14ac:dyDescent="0.25">
      <c r="A536" s="20"/>
      <c r="B536" s="20"/>
      <c r="C536" s="14"/>
      <c r="D536" s="14"/>
      <c r="E536" s="5"/>
      <c r="F536" s="53"/>
      <c r="G536" s="54"/>
      <c r="H536" s="54"/>
      <c r="I536" s="7"/>
      <c r="J536" s="9"/>
      <c r="K536" s="21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2.75" customHeight="1" x14ac:dyDescent="0.25">
      <c r="A537" s="20"/>
      <c r="B537" s="20"/>
      <c r="C537" s="14"/>
      <c r="D537" s="14"/>
      <c r="E537" s="5"/>
      <c r="F537" s="53"/>
      <c r="G537" s="54"/>
      <c r="H537" s="54"/>
      <c r="I537" s="7"/>
      <c r="J537" s="9"/>
      <c r="K537" s="21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2.75" customHeight="1" x14ac:dyDescent="0.25">
      <c r="A538" s="20"/>
      <c r="B538" s="20"/>
      <c r="C538" s="14"/>
      <c r="D538" s="14"/>
      <c r="E538" s="5"/>
      <c r="F538" s="53"/>
      <c r="G538" s="54"/>
      <c r="H538" s="54"/>
      <c r="I538" s="7"/>
      <c r="J538" s="9"/>
      <c r="K538" s="21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2.75" customHeight="1" x14ac:dyDescent="0.25">
      <c r="A539" s="20"/>
      <c r="B539" s="20"/>
      <c r="C539" s="14"/>
      <c r="D539" s="14"/>
      <c r="E539" s="5"/>
      <c r="F539" s="53"/>
      <c r="G539" s="54"/>
      <c r="H539" s="54"/>
      <c r="I539" s="7"/>
      <c r="J539" s="9"/>
      <c r="K539" s="21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2.75" customHeight="1" x14ac:dyDescent="0.25">
      <c r="A540" s="20"/>
      <c r="B540" s="20"/>
      <c r="C540" s="14"/>
      <c r="D540" s="14"/>
      <c r="E540" s="5"/>
      <c r="F540" s="53"/>
      <c r="G540" s="54"/>
      <c r="H540" s="54"/>
      <c r="I540" s="7"/>
      <c r="J540" s="9"/>
      <c r="K540" s="21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2.75" customHeight="1" x14ac:dyDescent="0.25">
      <c r="A541" s="20"/>
      <c r="B541" s="20"/>
      <c r="C541" s="14"/>
      <c r="D541" s="14"/>
      <c r="E541" s="5"/>
      <c r="F541" s="53"/>
      <c r="G541" s="54"/>
      <c r="H541" s="54"/>
      <c r="I541" s="7"/>
      <c r="J541" s="9"/>
      <c r="K541" s="21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2.75" customHeight="1" x14ac:dyDescent="0.25">
      <c r="A542" s="20"/>
      <c r="B542" s="20"/>
      <c r="C542" s="14"/>
      <c r="D542" s="14"/>
      <c r="E542" s="5"/>
      <c r="F542" s="53"/>
      <c r="G542" s="54"/>
      <c r="H542" s="54"/>
      <c r="I542" s="7"/>
      <c r="J542" s="9"/>
      <c r="K542" s="21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2.75" customHeight="1" x14ac:dyDescent="0.25">
      <c r="A543" s="20"/>
      <c r="B543" s="20"/>
      <c r="C543" s="14"/>
      <c r="D543" s="14"/>
      <c r="E543" s="5"/>
      <c r="F543" s="53"/>
      <c r="G543" s="54"/>
      <c r="H543" s="54"/>
      <c r="I543" s="7"/>
      <c r="J543" s="9"/>
      <c r="K543" s="21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2.75" customHeight="1" x14ac:dyDescent="0.25">
      <c r="A544" s="20"/>
      <c r="B544" s="20"/>
      <c r="C544" s="14"/>
      <c r="D544" s="14"/>
      <c r="E544" s="5"/>
      <c r="F544" s="53"/>
      <c r="G544" s="54"/>
      <c r="H544" s="54"/>
      <c r="I544" s="7"/>
      <c r="J544" s="9"/>
      <c r="K544" s="21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2.75" customHeight="1" x14ac:dyDescent="0.25">
      <c r="A545" s="20"/>
      <c r="B545" s="20"/>
      <c r="C545" s="14"/>
      <c r="D545" s="14"/>
      <c r="E545" s="5"/>
      <c r="F545" s="53"/>
      <c r="G545" s="54"/>
      <c r="H545" s="54"/>
      <c r="I545" s="7"/>
      <c r="J545" s="9"/>
      <c r="K545" s="21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2.75" customHeight="1" x14ac:dyDescent="0.25">
      <c r="A546" s="20"/>
      <c r="B546" s="20"/>
      <c r="C546" s="14"/>
      <c r="D546" s="14"/>
      <c r="E546" s="5"/>
      <c r="F546" s="53"/>
      <c r="G546" s="54"/>
      <c r="H546" s="54"/>
      <c r="I546" s="7"/>
      <c r="J546" s="9"/>
      <c r="K546" s="21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2.75" customHeight="1" x14ac:dyDescent="0.25">
      <c r="A547" s="20"/>
      <c r="B547" s="20"/>
      <c r="C547" s="14"/>
      <c r="D547" s="14"/>
      <c r="E547" s="5"/>
      <c r="F547" s="53"/>
      <c r="G547" s="54"/>
      <c r="H547" s="54"/>
      <c r="I547" s="7"/>
      <c r="J547" s="9"/>
      <c r="K547" s="21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2.75" customHeight="1" x14ac:dyDescent="0.25">
      <c r="A548" s="20"/>
      <c r="B548" s="20"/>
      <c r="C548" s="14"/>
      <c r="D548" s="14"/>
      <c r="E548" s="5"/>
      <c r="F548" s="53"/>
      <c r="G548" s="54"/>
      <c r="H548" s="54"/>
      <c r="I548" s="7"/>
      <c r="J548" s="9"/>
      <c r="K548" s="21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2.75" customHeight="1" x14ac:dyDescent="0.25">
      <c r="A549" s="20"/>
      <c r="B549" s="20"/>
      <c r="C549" s="14"/>
      <c r="D549" s="14"/>
      <c r="E549" s="5"/>
      <c r="F549" s="53"/>
      <c r="G549" s="54"/>
      <c r="H549" s="54"/>
      <c r="I549" s="7"/>
      <c r="J549" s="9"/>
      <c r="K549" s="21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2.75" customHeight="1" x14ac:dyDescent="0.25">
      <c r="A550" s="20"/>
      <c r="B550" s="20"/>
      <c r="C550" s="14"/>
      <c r="D550" s="14"/>
      <c r="E550" s="5"/>
      <c r="F550" s="53"/>
      <c r="G550" s="54"/>
      <c r="H550" s="54"/>
      <c r="I550" s="7"/>
      <c r="J550" s="9"/>
      <c r="K550" s="21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2.75" customHeight="1" x14ac:dyDescent="0.25">
      <c r="A551" s="20"/>
      <c r="B551" s="20"/>
      <c r="C551" s="14"/>
      <c r="D551" s="14"/>
      <c r="E551" s="5"/>
      <c r="F551" s="53"/>
      <c r="G551" s="54"/>
      <c r="H551" s="54"/>
      <c r="I551" s="7"/>
      <c r="J551" s="9"/>
      <c r="K551" s="21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2.75" customHeight="1" x14ac:dyDescent="0.25">
      <c r="A552" s="20"/>
      <c r="B552" s="20"/>
      <c r="C552" s="14"/>
      <c r="D552" s="14"/>
      <c r="E552" s="5"/>
      <c r="F552" s="53"/>
      <c r="G552" s="54"/>
      <c r="H552" s="54"/>
      <c r="I552" s="7"/>
      <c r="J552" s="9"/>
      <c r="K552" s="21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2.75" customHeight="1" x14ac:dyDescent="0.25">
      <c r="A553" s="20"/>
      <c r="B553" s="20"/>
      <c r="C553" s="14"/>
      <c r="D553" s="14"/>
      <c r="E553" s="5"/>
      <c r="F553" s="53"/>
      <c r="G553" s="54"/>
      <c r="H553" s="54"/>
      <c r="I553" s="7"/>
      <c r="J553" s="9"/>
      <c r="K553" s="21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2.75" customHeight="1" x14ac:dyDescent="0.25">
      <c r="A554" s="20"/>
      <c r="B554" s="20"/>
      <c r="C554" s="14"/>
      <c r="D554" s="14"/>
      <c r="E554" s="5"/>
      <c r="F554" s="53"/>
      <c r="G554" s="54"/>
      <c r="H554" s="54"/>
      <c r="I554" s="7"/>
      <c r="J554" s="9"/>
      <c r="K554" s="21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2.75" customHeight="1" x14ac:dyDescent="0.25">
      <c r="A555" s="20"/>
      <c r="B555" s="20"/>
      <c r="C555" s="14"/>
      <c r="D555" s="14"/>
      <c r="E555" s="5"/>
      <c r="F555" s="53"/>
      <c r="G555" s="54"/>
      <c r="H555" s="54"/>
      <c r="I555" s="7"/>
      <c r="J555" s="9"/>
      <c r="K555" s="21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2.75" customHeight="1" x14ac:dyDescent="0.25">
      <c r="A556" s="20"/>
      <c r="B556" s="20"/>
      <c r="C556" s="14"/>
      <c r="D556" s="14"/>
      <c r="E556" s="5"/>
      <c r="F556" s="53"/>
      <c r="G556" s="54"/>
      <c r="H556" s="54"/>
      <c r="I556" s="7"/>
      <c r="J556" s="9"/>
      <c r="K556" s="21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2.75" customHeight="1" x14ac:dyDescent="0.25">
      <c r="A557" s="20"/>
      <c r="B557" s="20"/>
      <c r="C557" s="14"/>
      <c r="D557" s="14"/>
      <c r="E557" s="5"/>
      <c r="F557" s="53"/>
      <c r="G557" s="54"/>
      <c r="H557" s="54"/>
      <c r="I557" s="7"/>
      <c r="J557" s="9"/>
      <c r="K557" s="21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2.75" customHeight="1" x14ac:dyDescent="0.25">
      <c r="A558" s="20"/>
      <c r="B558" s="20"/>
      <c r="C558" s="14"/>
      <c r="D558" s="14"/>
      <c r="E558" s="5"/>
      <c r="F558" s="53"/>
      <c r="G558" s="54"/>
      <c r="H558" s="54"/>
      <c r="I558" s="7"/>
      <c r="J558" s="9"/>
      <c r="K558" s="21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2.75" customHeight="1" x14ac:dyDescent="0.25">
      <c r="A559" s="20"/>
      <c r="B559" s="20"/>
      <c r="C559" s="14"/>
      <c r="D559" s="14"/>
      <c r="E559" s="5"/>
      <c r="F559" s="53"/>
      <c r="G559" s="54"/>
      <c r="H559" s="54"/>
      <c r="I559" s="7"/>
      <c r="J559" s="9"/>
      <c r="K559" s="21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2.75" customHeight="1" x14ac:dyDescent="0.25">
      <c r="A560" s="20"/>
      <c r="B560" s="20"/>
      <c r="C560" s="14"/>
      <c r="D560" s="14"/>
      <c r="E560" s="5"/>
      <c r="F560" s="53"/>
      <c r="G560" s="54"/>
      <c r="H560" s="54"/>
      <c r="I560" s="7"/>
      <c r="J560" s="9"/>
      <c r="K560" s="21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2.75" customHeight="1" x14ac:dyDescent="0.25">
      <c r="A561" s="20"/>
      <c r="B561" s="20"/>
      <c r="C561" s="14"/>
      <c r="D561" s="14"/>
      <c r="E561" s="5"/>
      <c r="F561" s="53"/>
      <c r="G561" s="54"/>
      <c r="H561" s="54"/>
      <c r="I561" s="7"/>
      <c r="J561" s="9"/>
      <c r="K561" s="21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2.75" customHeight="1" x14ac:dyDescent="0.25">
      <c r="A562" s="20"/>
      <c r="B562" s="20"/>
      <c r="C562" s="14"/>
      <c r="D562" s="14"/>
      <c r="E562" s="5"/>
      <c r="F562" s="53"/>
      <c r="G562" s="54"/>
      <c r="H562" s="54"/>
      <c r="I562" s="7"/>
      <c r="J562" s="9"/>
      <c r="K562" s="21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2.75" customHeight="1" x14ac:dyDescent="0.25">
      <c r="A563" s="20"/>
      <c r="B563" s="20"/>
      <c r="C563" s="14"/>
      <c r="D563" s="14"/>
      <c r="E563" s="5"/>
      <c r="F563" s="53"/>
      <c r="G563" s="54"/>
      <c r="H563" s="54"/>
      <c r="I563" s="7"/>
      <c r="J563" s="9"/>
      <c r="K563" s="21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2.75" customHeight="1" x14ac:dyDescent="0.25">
      <c r="A564" s="20"/>
      <c r="B564" s="20"/>
      <c r="C564" s="14"/>
      <c r="D564" s="14"/>
      <c r="E564" s="5"/>
      <c r="F564" s="53"/>
      <c r="G564" s="54"/>
      <c r="H564" s="54"/>
      <c r="I564" s="7"/>
      <c r="J564" s="9"/>
      <c r="K564" s="21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2.75" customHeight="1" x14ac:dyDescent="0.25">
      <c r="A565" s="20"/>
      <c r="B565" s="20"/>
      <c r="C565" s="14"/>
      <c r="D565" s="14"/>
      <c r="E565" s="5"/>
      <c r="F565" s="53"/>
      <c r="G565" s="54"/>
      <c r="H565" s="54"/>
      <c r="I565" s="7"/>
      <c r="J565" s="9"/>
      <c r="K565" s="21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2.75" customHeight="1" x14ac:dyDescent="0.25">
      <c r="A566" s="20"/>
      <c r="B566" s="20"/>
      <c r="C566" s="14"/>
      <c r="D566" s="14"/>
      <c r="E566" s="5"/>
      <c r="F566" s="53"/>
      <c r="G566" s="54"/>
      <c r="H566" s="54"/>
      <c r="I566" s="7"/>
      <c r="J566" s="9"/>
      <c r="K566" s="21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2.75" customHeight="1" x14ac:dyDescent="0.25">
      <c r="A567" s="20"/>
      <c r="B567" s="20"/>
      <c r="C567" s="14"/>
      <c r="D567" s="14"/>
      <c r="E567" s="5"/>
      <c r="F567" s="53"/>
      <c r="G567" s="54"/>
      <c r="H567" s="54"/>
      <c r="I567" s="7"/>
      <c r="J567" s="9"/>
      <c r="K567" s="21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2.75" customHeight="1" x14ac:dyDescent="0.25">
      <c r="A568" s="20"/>
      <c r="B568" s="20"/>
      <c r="C568" s="14"/>
      <c r="D568" s="14"/>
      <c r="E568" s="5"/>
      <c r="F568" s="53"/>
      <c r="G568" s="54"/>
      <c r="H568" s="54"/>
      <c r="I568" s="7"/>
      <c r="J568" s="9"/>
      <c r="K568" s="21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2.75" customHeight="1" x14ac:dyDescent="0.25">
      <c r="A569" s="20"/>
      <c r="B569" s="20"/>
      <c r="C569" s="14"/>
      <c r="D569" s="14"/>
      <c r="E569" s="5"/>
      <c r="F569" s="53"/>
      <c r="G569" s="54"/>
      <c r="H569" s="54"/>
      <c r="I569" s="7"/>
      <c r="J569" s="9"/>
      <c r="K569" s="21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2.75" customHeight="1" x14ac:dyDescent="0.25">
      <c r="A570" s="20"/>
      <c r="B570" s="20"/>
      <c r="C570" s="14"/>
      <c r="D570" s="14"/>
      <c r="E570" s="5"/>
      <c r="F570" s="53"/>
      <c r="G570" s="54"/>
      <c r="H570" s="54"/>
      <c r="I570" s="7"/>
      <c r="J570" s="9"/>
      <c r="K570" s="21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2.75" customHeight="1" x14ac:dyDescent="0.25">
      <c r="A571" s="20"/>
      <c r="B571" s="20"/>
      <c r="C571" s="14"/>
      <c r="D571" s="14"/>
      <c r="E571" s="5"/>
      <c r="F571" s="53"/>
      <c r="G571" s="54"/>
      <c r="H571" s="54"/>
      <c r="I571" s="7"/>
      <c r="J571" s="9"/>
      <c r="K571" s="21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2.75" customHeight="1" x14ac:dyDescent="0.25">
      <c r="A572" s="20"/>
      <c r="B572" s="20"/>
      <c r="C572" s="14"/>
      <c r="D572" s="14"/>
      <c r="E572" s="5"/>
      <c r="F572" s="53"/>
      <c r="G572" s="54"/>
      <c r="H572" s="54"/>
      <c r="I572" s="7"/>
      <c r="J572" s="9"/>
      <c r="K572" s="21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2.75" customHeight="1" x14ac:dyDescent="0.25">
      <c r="A573" s="20"/>
      <c r="B573" s="20"/>
      <c r="C573" s="14"/>
      <c r="D573" s="14"/>
      <c r="E573" s="5"/>
      <c r="F573" s="53"/>
      <c r="G573" s="54"/>
      <c r="H573" s="54"/>
      <c r="I573" s="7"/>
      <c r="J573" s="9"/>
      <c r="K573" s="21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2.75" customHeight="1" x14ac:dyDescent="0.25">
      <c r="A574" s="20"/>
      <c r="B574" s="20"/>
      <c r="C574" s="14"/>
      <c r="D574" s="14"/>
      <c r="E574" s="5"/>
      <c r="F574" s="53"/>
      <c r="G574" s="54"/>
      <c r="H574" s="54"/>
      <c r="I574" s="7"/>
      <c r="J574" s="9"/>
      <c r="K574" s="21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2.75" customHeight="1" x14ac:dyDescent="0.25">
      <c r="A575" s="20"/>
      <c r="B575" s="20"/>
      <c r="C575" s="14"/>
      <c r="D575" s="14"/>
      <c r="E575" s="5"/>
      <c r="F575" s="53"/>
      <c r="G575" s="54"/>
      <c r="H575" s="54"/>
      <c r="I575" s="7"/>
      <c r="J575" s="9"/>
      <c r="K575" s="21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2.75" customHeight="1" x14ac:dyDescent="0.25">
      <c r="A576" s="20"/>
      <c r="B576" s="20"/>
      <c r="C576" s="14"/>
      <c r="D576" s="14"/>
      <c r="E576" s="5"/>
      <c r="F576" s="53"/>
      <c r="G576" s="54"/>
      <c r="H576" s="54"/>
      <c r="I576" s="7"/>
      <c r="J576" s="9"/>
      <c r="K576" s="21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2.75" customHeight="1" x14ac:dyDescent="0.25">
      <c r="A577" s="20"/>
      <c r="B577" s="20"/>
      <c r="C577" s="14"/>
      <c r="D577" s="14"/>
      <c r="E577" s="5"/>
      <c r="F577" s="53"/>
      <c r="G577" s="54"/>
      <c r="H577" s="54"/>
      <c r="I577" s="7"/>
      <c r="J577" s="9"/>
      <c r="K577" s="21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2.75" customHeight="1" x14ac:dyDescent="0.25">
      <c r="A578" s="20"/>
      <c r="B578" s="20"/>
      <c r="C578" s="14"/>
      <c r="D578" s="14"/>
      <c r="E578" s="5"/>
      <c r="F578" s="53"/>
      <c r="G578" s="54"/>
      <c r="H578" s="54"/>
      <c r="I578" s="7"/>
      <c r="J578" s="9"/>
      <c r="K578" s="21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2.75" customHeight="1" x14ac:dyDescent="0.25">
      <c r="A579" s="20"/>
      <c r="B579" s="20"/>
      <c r="C579" s="14"/>
      <c r="D579" s="14"/>
      <c r="E579" s="5"/>
      <c r="F579" s="53"/>
      <c r="G579" s="54"/>
      <c r="H579" s="54"/>
      <c r="I579" s="7"/>
      <c r="J579" s="9"/>
      <c r="K579" s="21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2.75" customHeight="1" x14ac:dyDescent="0.25">
      <c r="A580" s="20"/>
      <c r="B580" s="20"/>
      <c r="C580" s="14"/>
      <c r="D580" s="14"/>
      <c r="E580" s="5"/>
      <c r="F580" s="53"/>
      <c r="G580" s="54"/>
      <c r="H580" s="54"/>
      <c r="I580" s="7"/>
      <c r="J580" s="9"/>
      <c r="K580" s="21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2.75" customHeight="1" x14ac:dyDescent="0.25">
      <c r="A581" s="20"/>
      <c r="B581" s="20"/>
      <c r="C581" s="14"/>
      <c r="D581" s="14"/>
      <c r="E581" s="5"/>
      <c r="F581" s="53"/>
      <c r="G581" s="54"/>
      <c r="H581" s="54"/>
      <c r="I581" s="7"/>
      <c r="J581" s="9"/>
      <c r="K581" s="21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2.75" customHeight="1" x14ac:dyDescent="0.25">
      <c r="A582" s="20"/>
      <c r="B582" s="20"/>
      <c r="C582" s="14"/>
      <c r="D582" s="14"/>
      <c r="E582" s="5"/>
      <c r="F582" s="53"/>
      <c r="G582" s="54"/>
      <c r="H582" s="54"/>
      <c r="I582" s="7"/>
      <c r="J582" s="9"/>
      <c r="K582" s="21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2.75" customHeight="1" x14ac:dyDescent="0.25">
      <c r="A583" s="20"/>
      <c r="B583" s="20"/>
      <c r="C583" s="14"/>
      <c r="D583" s="14"/>
      <c r="E583" s="5"/>
      <c r="F583" s="53"/>
      <c r="G583" s="54"/>
      <c r="H583" s="54"/>
      <c r="I583" s="7"/>
      <c r="J583" s="9"/>
      <c r="K583" s="21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2.75" customHeight="1" x14ac:dyDescent="0.25">
      <c r="A584" s="20"/>
      <c r="B584" s="20"/>
      <c r="C584" s="14"/>
      <c r="D584" s="14"/>
      <c r="E584" s="5"/>
      <c r="F584" s="53"/>
      <c r="G584" s="54"/>
      <c r="H584" s="54"/>
      <c r="I584" s="7"/>
      <c r="J584" s="9"/>
      <c r="K584" s="21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2.75" customHeight="1" x14ac:dyDescent="0.25">
      <c r="A585" s="20"/>
      <c r="B585" s="20"/>
      <c r="C585" s="14"/>
      <c r="D585" s="14"/>
      <c r="E585" s="5"/>
      <c r="F585" s="53"/>
      <c r="G585" s="54"/>
      <c r="H585" s="54"/>
      <c r="I585" s="7"/>
      <c r="J585" s="9"/>
      <c r="K585" s="21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2.75" customHeight="1" x14ac:dyDescent="0.25">
      <c r="A586" s="20"/>
      <c r="B586" s="20"/>
      <c r="C586" s="14"/>
      <c r="D586" s="14"/>
      <c r="E586" s="5"/>
      <c r="F586" s="53"/>
      <c r="G586" s="54"/>
      <c r="H586" s="54"/>
      <c r="I586" s="7"/>
      <c r="J586" s="9"/>
      <c r="K586" s="21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2.75" customHeight="1" x14ac:dyDescent="0.25">
      <c r="A587" s="20"/>
      <c r="B587" s="20"/>
      <c r="C587" s="14"/>
      <c r="D587" s="14"/>
      <c r="E587" s="5"/>
      <c r="F587" s="53"/>
      <c r="G587" s="54"/>
      <c r="H587" s="54"/>
      <c r="I587" s="7"/>
      <c r="J587" s="9"/>
      <c r="K587" s="21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2.75" customHeight="1" x14ac:dyDescent="0.25">
      <c r="A588" s="20"/>
      <c r="B588" s="20"/>
      <c r="C588" s="14"/>
      <c r="D588" s="14"/>
      <c r="E588" s="5"/>
      <c r="F588" s="53"/>
      <c r="G588" s="54"/>
      <c r="H588" s="54"/>
      <c r="I588" s="7"/>
      <c r="J588" s="9"/>
      <c r="K588" s="21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2.75" customHeight="1" x14ac:dyDescent="0.25">
      <c r="A589" s="20"/>
      <c r="B589" s="20"/>
      <c r="C589" s="14"/>
      <c r="D589" s="14"/>
      <c r="E589" s="5"/>
      <c r="F589" s="53"/>
      <c r="G589" s="54"/>
      <c r="H589" s="54"/>
      <c r="I589" s="7"/>
      <c r="J589" s="9"/>
      <c r="K589" s="21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2.75" customHeight="1" x14ac:dyDescent="0.25">
      <c r="A590" s="20"/>
      <c r="B590" s="20"/>
      <c r="C590" s="14"/>
      <c r="D590" s="14"/>
      <c r="E590" s="5"/>
      <c r="F590" s="53"/>
      <c r="G590" s="54"/>
      <c r="H590" s="54"/>
      <c r="I590" s="7"/>
      <c r="J590" s="9"/>
      <c r="K590" s="21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2.75" customHeight="1" x14ac:dyDescent="0.25">
      <c r="A591" s="20"/>
      <c r="B591" s="20"/>
      <c r="C591" s="14"/>
      <c r="D591" s="14"/>
      <c r="E591" s="5"/>
      <c r="F591" s="53"/>
      <c r="G591" s="54"/>
      <c r="H591" s="54"/>
      <c r="I591" s="7"/>
      <c r="J591" s="9"/>
      <c r="K591" s="21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2.75" customHeight="1" x14ac:dyDescent="0.25">
      <c r="A592" s="20"/>
      <c r="B592" s="20"/>
      <c r="C592" s="14"/>
      <c r="D592" s="14"/>
      <c r="E592" s="5"/>
      <c r="F592" s="53"/>
      <c r="G592" s="54"/>
      <c r="H592" s="54"/>
      <c r="I592" s="7"/>
      <c r="J592" s="9"/>
      <c r="K592" s="21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2.75" customHeight="1" x14ac:dyDescent="0.25">
      <c r="A593" s="20"/>
      <c r="B593" s="20"/>
      <c r="C593" s="14"/>
      <c r="D593" s="14"/>
      <c r="E593" s="5"/>
      <c r="F593" s="53"/>
      <c r="G593" s="54"/>
      <c r="H593" s="54"/>
      <c r="I593" s="7"/>
      <c r="J593" s="9"/>
      <c r="K593" s="21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2.75" customHeight="1" x14ac:dyDescent="0.25">
      <c r="A594" s="20"/>
      <c r="B594" s="20"/>
      <c r="C594" s="14"/>
      <c r="D594" s="14"/>
      <c r="E594" s="5"/>
      <c r="F594" s="53"/>
      <c r="G594" s="54"/>
      <c r="H594" s="54"/>
      <c r="I594" s="7"/>
      <c r="J594" s="9"/>
      <c r="K594" s="21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2.75" customHeight="1" x14ac:dyDescent="0.25">
      <c r="A595" s="20"/>
      <c r="B595" s="20"/>
      <c r="C595" s="14"/>
      <c r="D595" s="14"/>
      <c r="E595" s="5"/>
      <c r="F595" s="53"/>
      <c r="G595" s="54"/>
      <c r="H595" s="54"/>
      <c r="I595" s="7"/>
      <c r="J595" s="9"/>
      <c r="K595" s="21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2.75" customHeight="1" x14ac:dyDescent="0.25">
      <c r="A596" s="20"/>
      <c r="B596" s="20"/>
      <c r="C596" s="14"/>
      <c r="D596" s="14"/>
      <c r="E596" s="5"/>
      <c r="F596" s="53"/>
      <c r="G596" s="54"/>
      <c r="H596" s="54"/>
      <c r="I596" s="7"/>
      <c r="J596" s="9"/>
      <c r="K596" s="21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2.75" customHeight="1" x14ac:dyDescent="0.25">
      <c r="A597" s="20"/>
      <c r="B597" s="20"/>
      <c r="C597" s="14"/>
      <c r="D597" s="14"/>
      <c r="E597" s="5"/>
      <c r="F597" s="53"/>
      <c r="G597" s="54"/>
      <c r="H597" s="54"/>
      <c r="I597" s="7"/>
      <c r="J597" s="9"/>
      <c r="K597" s="21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2.75" customHeight="1" x14ac:dyDescent="0.25">
      <c r="A598" s="20"/>
      <c r="B598" s="20"/>
      <c r="C598" s="14"/>
      <c r="D598" s="14"/>
      <c r="E598" s="5"/>
      <c r="F598" s="53"/>
      <c r="G598" s="54"/>
      <c r="H598" s="54"/>
      <c r="I598" s="7"/>
      <c r="J598" s="9"/>
      <c r="K598" s="21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2.75" customHeight="1" x14ac:dyDescent="0.25">
      <c r="A599" s="20"/>
      <c r="B599" s="20"/>
      <c r="C599" s="14"/>
      <c r="D599" s="14"/>
      <c r="E599" s="5"/>
      <c r="F599" s="53"/>
      <c r="G599" s="54"/>
      <c r="H599" s="54"/>
      <c r="I599" s="7"/>
      <c r="J599" s="9"/>
      <c r="K599" s="21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2.75" customHeight="1" x14ac:dyDescent="0.25">
      <c r="A600" s="20"/>
      <c r="B600" s="20"/>
      <c r="C600" s="14"/>
      <c r="D600" s="14"/>
      <c r="E600" s="5"/>
      <c r="F600" s="53"/>
      <c r="G600" s="54"/>
      <c r="H600" s="54"/>
      <c r="I600" s="7"/>
      <c r="J600" s="9"/>
      <c r="K600" s="21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2.75" customHeight="1" x14ac:dyDescent="0.25">
      <c r="A601" s="20"/>
      <c r="B601" s="20"/>
      <c r="C601" s="14"/>
      <c r="D601" s="14"/>
      <c r="E601" s="5"/>
      <c r="F601" s="53"/>
      <c r="G601" s="54"/>
      <c r="H601" s="54"/>
      <c r="I601" s="7"/>
      <c r="J601" s="9"/>
      <c r="K601" s="21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2.75" customHeight="1" x14ac:dyDescent="0.25">
      <c r="A602" s="20"/>
      <c r="B602" s="20"/>
      <c r="C602" s="14"/>
      <c r="D602" s="14"/>
      <c r="E602" s="5"/>
      <c r="F602" s="53"/>
      <c r="G602" s="54"/>
      <c r="H602" s="54"/>
      <c r="I602" s="7"/>
      <c r="J602" s="9"/>
      <c r="K602" s="21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2.75" customHeight="1" x14ac:dyDescent="0.25">
      <c r="A603" s="20"/>
      <c r="B603" s="20"/>
      <c r="C603" s="14"/>
      <c r="D603" s="14"/>
      <c r="E603" s="5"/>
      <c r="F603" s="53"/>
      <c r="G603" s="54"/>
      <c r="H603" s="54"/>
      <c r="I603" s="7"/>
      <c r="J603" s="9"/>
      <c r="K603" s="21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2.75" customHeight="1" x14ac:dyDescent="0.25">
      <c r="A604" s="20"/>
      <c r="B604" s="20"/>
      <c r="C604" s="14"/>
      <c r="D604" s="14"/>
      <c r="E604" s="5"/>
      <c r="F604" s="53"/>
      <c r="G604" s="54"/>
      <c r="H604" s="54"/>
      <c r="I604" s="7"/>
      <c r="J604" s="9"/>
      <c r="K604" s="21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2.75" customHeight="1" x14ac:dyDescent="0.25">
      <c r="A605" s="20"/>
      <c r="B605" s="20"/>
      <c r="C605" s="14"/>
      <c r="D605" s="14"/>
      <c r="E605" s="5"/>
      <c r="F605" s="53"/>
      <c r="G605" s="54"/>
      <c r="H605" s="54"/>
      <c r="I605" s="7"/>
      <c r="J605" s="9"/>
      <c r="K605" s="21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2.75" customHeight="1" x14ac:dyDescent="0.25">
      <c r="A606" s="20"/>
      <c r="B606" s="20"/>
      <c r="C606" s="14"/>
      <c r="D606" s="14"/>
      <c r="E606" s="5"/>
      <c r="F606" s="53"/>
      <c r="G606" s="54"/>
      <c r="H606" s="54"/>
      <c r="I606" s="7"/>
      <c r="J606" s="9"/>
      <c r="K606" s="21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2.75" customHeight="1" x14ac:dyDescent="0.25">
      <c r="A607" s="20"/>
      <c r="B607" s="20"/>
      <c r="C607" s="14"/>
      <c r="D607" s="14"/>
      <c r="E607" s="5"/>
      <c r="F607" s="53"/>
      <c r="G607" s="54"/>
      <c r="H607" s="54"/>
      <c r="I607" s="7"/>
      <c r="J607" s="9"/>
      <c r="K607" s="21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2.75" customHeight="1" x14ac:dyDescent="0.25">
      <c r="A608" s="20"/>
      <c r="B608" s="20"/>
      <c r="C608" s="14"/>
      <c r="D608" s="14"/>
      <c r="E608" s="5"/>
      <c r="F608" s="53"/>
      <c r="G608" s="54"/>
      <c r="H608" s="54"/>
      <c r="I608" s="7"/>
      <c r="J608" s="9"/>
      <c r="K608" s="21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2.75" customHeight="1" x14ac:dyDescent="0.25">
      <c r="A609" s="20"/>
      <c r="B609" s="20"/>
      <c r="C609" s="14"/>
      <c r="D609" s="14"/>
      <c r="E609" s="5"/>
      <c r="F609" s="53"/>
      <c r="G609" s="54"/>
      <c r="H609" s="54"/>
      <c r="I609" s="7"/>
      <c r="J609" s="9"/>
      <c r="K609" s="21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2.75" customHeight="1" x14ac:dyDescent="0.25">
      <c r="A610" s="20"/>
      <c r="B610" s="20"/>
      <c r="C610" s="14"/>
      <c r="D610" s="14"/>
      <c r="E610" s="5"/>
      <c r="F610" s="53"/>
      <c r="G610" s="54"/>
      <c r="H610" s="54"/>
      <c r="I610" s="7"/>
      <c r="J610" s="9"/>
      <c r="K610" s="21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2.75" customHeight="1" x14ac:dyDescent="0.25">
      <c r="A611" s="20"/>
      <c r="B611" s="20"/>
      <c r="C611" s="14"/>
      <c r="D611" s="14"/>
      <c r="E611" s="5"/>
      <c r="F611" s="53"/>
      <c r="G611" s="54"/>
      <c r="H611" s="54"/>
      <c r="I611" s="7"/>
      <c r="J611" s="9"/>
      <c r="K611" s="21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2.75" customHeight="1" x14ac:dyDescent="0.25">
      <c r="A612" s="20"/>
      <c r="B612" s="20"/>
      <c r="C612" s="14"/>
      <c r="D612" s="14"/>
      <c r="E612" s="5"/>
      <c r="F612" s="53"/>
      <c r="G612" s="54"/>
      <c r="H612" s="54"/>
      <c r="I612" s="7"/>
      <c r="J612" s="9"/>
      <c r="K612" s="21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2.75" customHeight="1" x14ac:dyDescent="0.25">
      <c r="A613" s="20"/>
      <c r="B613" s="20"/>
      <c r="C613" s="14"/>
      <c r="D613" s="14"/>
      <c r="E613" s="5"/>
      <c r="F613" s="53"/>
      <c r="G613" s="54"/>
      <c r="H613" s="54"/>
      <c r="I613" s="7"/>
      <c r="J613" s="9"/>
      <c r="K613" s="21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2.75" customHeight="1" x14ac:dyDescent="0.25">
      <c r="A614" s="20"/>
      <c r="B614" s="20"/>
      <c r="C614" s="14"/>
      <c r="D614" s="14"/>
      <c r="E614" s="5"/>
      <c r="F614" s="53"/>
      <c r="G614" s="54"/>
      <c r="H614" s="54"/>
      <c r="I614" s="7"/>
      <c r="J614" s="9"/>
      <c r="K614" s="21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2.75" customHeight="1" x14ac:dyDescent="0.25">
      <c r="A615" s="20"/>
      <c r="B615" s="20"/>
      <c r="C615" s="14"/>
      <c r="D615" s="14"/>
      <c r="E615" s="5"/>
      <c r="F615" s="53"/>
      <c r="G615" s="54"/>
      <c r="H615" s="54"/>
      <c r="I615" s="7"/>
      <c r="J615" s="9"/>
      <c r="K615" s="21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2.75" customHeight="1" x14ac:dyDescent="0.25">
      <c r="A616" s="20"/>
      <c r="B616" s="20"/>
      <c r="C616" s="14"/>
      <c r="D616" s="14"/>
      <c r="E616" s="5"/>
      <c r="F616" s="53"/>
      <c r="G616" s="54"/>
      <c r="H616" s="54"/>
      <c r="I616" s="7"/>
      <c r="J616" s="9"/>
      <c r="K616" s="21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2.75" customHeight="1" x14ac:dyDescent="0.25">
      <c r="A617" s="20"/>
      <c r="B617" s="20"/>
      <c r="C617" s="14"/>
      <c r="D617" s="14"/>
      <c r="E617" s="5"/>
      <c r="F617" s="53"/>
      <c r="G617" s="54"/>
      <c r="H617" s="54"/>
      <c r="I617" s="7"/>
      <c r="J617" s="9"/>
      <c r="K617" s="21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2.75" customHeight="1" x14ac:dyDescent="0.25">
      <c r="A618" s="20"/>
      <c r="B618" s="20"/>
      <c r="C618" s="14"/>
      <c r="D618" s="14"/>
      <c r="E618" s="5"/>
      <c r="F618" s="53"/>
      <c r="G618" s="54"/>
      <c r="H618" s="54"/>
      <c r="I618" s="7"/>
      <c r="J618" s="9"/>
      <c r="K618" s="21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2.75" customHeight="1" x14ac:dyDescent="0.25">
      <c r="A619" s="20"/>
      <c r="B619" s="20"/>
      <c r="C619" s="14"/>
      <c r="D619" s="14"/>
      <c r="E619" s="5"/>
      <c r="F619" s="53"/>
      <c r="G619" s="54"/>
      <c r="H619" s="54"/>
      <c r="I619" s="7"/>
      <c r="J619" s="9"/>
      <c r="K619" s="21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2.75" customHeight="1" x14ac:dyDescent="0.25">
      <c r="A620" s="20"/>
      <c r="B620" s="20"/>
      <c r="C620" s="14"/>
      <c r="D620" s="14"/>
      <c r="E620" s="5"/>
      <c r="F620" s="53"/>
      <c r="G620" s="54"/>
      <c r="H620" s="54"/>
      <c r="I620" s="7"/>
      <c r="J620" s="9"/>
      <c r="K620" s="21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2.75" customHeight="1" x14ac:dyDescent="0.25">
      <c r="A621" s="20"/>
      <c r="B621" s="20"/>
      <c r="C621" s="14"/>
      <c r="D621" s="14"/>
      <c r="E621" s="5"/>
      <c r="F621" s="53"/>
      <c r="G621" s="54"/>
      <c r="H621" s="54"/>
      <c r="I621" s="7"/>
      <c r="J621" s="9"/>
      <c r="K621" s="21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2.75" customHeight="1" x14ac:dyDescent="0.25">
      <c r="A622" s="20"/>
      <c r="B622" s="20"/>
      <c r="C622" s="14"/>
      <c r="D622" s="14"/>
      <c r="E622" s="5"/>
      <c r="F622" s="53"/>
      <c r="G622" s="54"/>
      <c r="H622" s="54"/>
      <c r="I622" s="7"/>
      <c r="J622" s="9"/>
      <c r="K622" s="21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2.75" customHeight="1" x14ac:dyDescent="0.25">
      <c r="A623" s="20"/>
      <c r="B623" s="20"/>
      <c r="C623" s="14"/>
      <c r="D623" s="14"/>
      <c r="E623" s="5"/>
      <c r="F623" s="53"/>
      <c r="G623" s="54"/>
      <c r="H623" s="54"/>
      <c r="I623" s="7"/>
      <c r="J623" s="9"/>
      <c r="K623" s="21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2.75" customHeight="1" x14ac:dyDescent="0.25">
      <c r="A624" s="20"/>
      <c r="B624" s="20"/>
      <c r="C624" s="14"/>
      <c r="D624" s="14"/>
      <c r="E624" s="5"/>
      <c r="F624" s="53"/>
      <c r="G624" s="54"/>
      <c r="H624" s="54"/>
      <c r="I624" s="7"/>
      <c r="J624" s="9"/>
      <c r="K624" s="21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2.75" customHeight="1" x14ac:dyDescent="0.25">
      <c r="A625" s="20"/>
      <c r="B625" s="20"/>
      <c r="C625" s="14"/>
      <c r="D625" s="14"/>
      <c r="E625" s="5"/>
      <c r="F625" s="53"/>
      <c r="G625" s="54"/>
      <c r="H625" s="54"/>
      <c r="I625" s="7"/>
      <c r="J625" s="9"/>
      <c r="K625" s="21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2.75" customHeight="1" x14ac:dyDescent="0.25">
      <c r="A626" s="20"/>
      <c r="B626" s="20"/>
      <c r="C626" s="14"/>
      <c r="D626" s="14"/>
      <c r="E626" s="5"/>
      <c r="F626" s="53"/>
      <c r="G626" s="54"/>
      <c r="H626" s="54"/>
      <c r="I626" s="7"/>
      <c r="J626" s="9"/>
      <c r="K626" s="21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2.75" customHeight="1" x14ac:dyDescent="0.25">
      <c r="A627" s="20"/>
      <c r="B627" s="20"/>
      <c r="C627" s="14"/>
      <c r="D627" s="14"/>
      <c r="E627" s="5"/>
      <c r="F627" s="53"/>
      <c r="G627" s="54"/>
      <c r="H627" s="54"/>
      <c r="I627" s="7"/>
      <c r="J627" s="9"/>
      <c r="K627" s="21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2.75" customHeight="1" x14ac:dyDescent="0.25">
      <c r="A628" s="20"/>
      <c r="B628" s="20"/>
      <c r="C628" s="14"/>
      <c r="D628" s="14"/>
      <c r="E628" s="5"/>
      <c r="F628" s="53"/>
      <c r="G628" s="54"/>
      <c r="H628" s="54"/>
      <c r="I628" s="7"/>
      <c r="J628" s="9"/>
      <c r="K628" s="21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2.75" customHeight="1" x14ac:dyDescent="0.25">
      <c r="A629" s="20"/>
      <c r="B629" s="20"/>
      <c r="C629" s="14"/>
      <c r="D629" s="14"/>
      <c r="E629" s="5"/>
      <c r="F629" s="53"/>
      <c r="G629" s="54"/>
      <c r="H629" s="54"/>
      <c r="I629" s="7"/>
      <c r="J629" s="9"/>
      <c r="K629" s="21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2.75" customHeight="1" x14ac:dyDescent="0.25">
      <c r="A630" s="20"/>
      <c r="B630" s="20"/>
      <c r="C630" s="14"/>
      <c r="D630" s="14"/>
      <c r="E630" s="5"/>
      <c r="F630" s="53"/>
      <c r="G630" s="54"/>
      <c r="H630" s="54"/>
      <c r="I630" s="7"/>
      <c r="J630" s="9"/>
      <c r="K630" s="21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2.75" customHeight="1" x14ac:dyDescent="0.25">
      <c r="A631" s="20"/>
      <c r="B631" s="20"/>
      <c r="C631" s="14"/>
      <c r="D631" s="14"/>
      <c r="E631" s="5"/>
      <c r="F631" s="53"/>
      <c r="G631" s="54"/>
      <c r="H631" s="54"/>
      <c r="I631" s="7"/>
      <c r="J631" s="9"/>
      <c r="K631" s="21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2.75" customHeight="1" x14ac:dyDescent="0.25">
      <c r="A632" s="20"/>
      <c r="B632" s="20"/>
      <c r="C632" s="14"/>
      <c r="D632" s="14"/>
      <c r="E632" s="5"/>
      <c r="F632" s="53"/>
      <c r="G632" s="54"/>
      <c r="H632" s="54"/>
      <c r="I632" s="7"/>
      <c r="J632" s="9"/>
      <c r="K632" s="21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2.75" customHeight="1" x14ac:dyDescent="0.25">
      <c r="A633" s="20"/>
      <c r="B633" s="20"/>
      <c r="C633" s="14"/>
      <c r="D633" s="14"/>
      <c r="E633" s="5"/>
      <c r="F633" s="53"/>
      <c r="G633" s="54"/>
      <c r="H633" s="54"/>
      <c r="I633" s="7"/>
      <c r="J633" s="9"/>
      <c r="K633" s="21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2.75" customHeight="1" x14ac:dyDescent="0.25">
      <c r="A634" s="20"/>
      <c r="B634" s="20"/>
      <c r="C634" s="14"/>
      <c r="D634" s="14"/>
      <c r="E634" s="5"/>
      <c r="F634" s="53"/>
      <c r="G634" s="54"/>
      <c r="H634" s="54"/>
      <c r="I634" s="7"/>
      <c r="J634" s="9"/>
      <c r="K634" s="21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2.75" customHeight="1" x14ac:dyDescent="0.25">
      <c r="A635" s="20"/>
      <c r="B635" s="20"/>
      <c r="C635" s="14"/>
      <c r="D635" s="14"/>
      <c r="E635" s="5"/>
      <c r="F635" s="53"/>
      <c r="G635" s="54"/>
      <c r="H635" s="54"/>
      <c r="I635" s="7"/>
      <c r="J635" s="9"/>
      <c r="K635" s="21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2.75" customHeight="1" x14ac:dyDescent="0.25">
      <c r="A636" s="20"/>
      <c r="B636" s="20"/>
      <c r="C636" s="14"/>
      <c r="D636" s="14"/>
      <c r="E636" s="5"/>
      <c r="F636" s="53"/>
      <c r="G636" s="54"/>
      <c r="H636" s="54"/>
      <c r="I636" s="7"/>
      <c r="J636" s="9"/>
      <c r="K636" s="21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2.75" customHeight="1" x14ac:dyDescent="0.25">
      <c r="A637" s="20"/>
      <c r="B637" s="20"/>
      <c r="C637" s="14"/>
      <c r="D637" s="14"/>
      <c r="E637" s="5"/>
      <c r="F637" s="53"/>
      <c r="G637" s="54"/>
      <c r="H637" s="54"/>
      <c r="I637" s="7"/>
      <c r="J637" s="9"/>
      <c r="K637" s="21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2.75" customHeight="1" x14ac:dyDescent="0.25">
      <c r="A638" s="20"/>
      <c r="B638" s="20"/>
      <c r="C638" s="14"/>
      <c r="D638" s="14"/>
      <c r="E638" s="5"/>
      <c r="F638" s="53"/>
      <c r="G638" s="54"/>
      <c r="H638" s="54"/>
      <c r="I638" s="7"/>
      <c r="J638" s="9"/>
      <c r="K638" s="21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2.75" customHeight="1" x14ac:dyDescent="0.25">
      <c r="A639" s="20"/>
      <c r="B639" s="20"/>
      <c r="C639" s="14"/>
      <c r="D639" s="14"/>
      <c r="E639" s="5"/>
      <c r="F639" s="53"/>
      <c r="G639" s="54"/>
      <c r="H639" s="54"/>
      <c r="I639" s="7"/>
      <c r="J639" s="9"/>
      <c r="K639" s="21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2.75" customHeight="1" x14ac:dyDescent="0.25">
      <c r="A640" s="20"/>
      <c r="B640" s="20"/>
      <c r="C640" s="14"/>
      <c r="D640" s="14"/>
      <c r="E640" s="5"/>
      <c r="F640" s="53"/>
      <c r="G640" s="54"/>
      <c r="H640" s="54"/>
      <c r="I640" s="7"/>
      <c r="J640" s="9"/>
      <c r="K640" s="21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2.75" customHeight="1" x14ac:dyDescent="0.25">
      <c r="A641" s="20"/>
      <c r="B641" s="20"/>
      <c r="C641" s="14"/>
      <c r="D641" s="14"/>
      <c r="E641" s="5"/>
      <c r="F641" s="53"/>
      <c r="G641" s="54"/>
      <c r="H641" s="54"/>
      <c r="I641" s="7"/>
      <c r="J641" s="9"/>
      <c r="K641" s="21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2.75" customHeight="1" x14ac:dyDescent="0.25">
      <c r="A642" s="20"/>
      <c r="B642" s="20"/>
      <c r="C642" s="14"/>
      <c r="D642" s="14"/>
      <c r="E642" s="5"/>
      <c r="F642" s="53"/>
      <c r="G642" s="54"/>
      <c r="H642" s="54"/>
      <c r="I642" s="7"/>
      <c r="J642" s="9"/>
      <c r="K642" s="21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2.75" customHeight="1" x14ac:dyDescent="0.25">
      <c r="A643" s="20"/>
      <c r="B643" s="20"/>
      <c r="C643" s="14"/>
      <c r="D643" s="14"/>
      <c r="E643" s="5"/>
      <c r="F643" s="53"/>
      <c r="G643" s="54"/>
      <c r="H643" s="54"/>
      <c r="I643" s="7"/>
      <c r="J643" s="9"/>
      <c r="K643" s="21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2.75" customHeight="1" x14ac:dyDescent="0.25">
      <c r="A644" s="20"/>
      <c r="B644" s="20"/>
      <c r="C644" s="14"/>
      <c r="D644" s="14"/>
      <c r="E644" s="5"/>
      <c r="F644" s="53"/>
      <c r="G644" s="54"/>
      <c r="H644" s="54"/>
      <c r="I644" s="7"/>
      <c r="J644" s="9"/>
      <c r="K644" s="21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2.75" customHeight="1" x14ac:dyDescent="0.25">
      <c r="A645" s="20"/>
      <c r="B645" s="20"/>
      <c r="C645" s="14"/>
      <c r="D645" s="14"/>
      <c r="E645" s="5"/>
      <c r="F645" s="53"/>
      <c r="G645" s="54"/>
      <c r="H645" s="54"/>
      <c r="I645" s="7"/>
      <c r="J645" s="9"/>
      <c r="K645" s="21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2.75" customHeight="1" x14ac:dyDescent="0.25">
      <c r="A646" s="20"/>
      <c r="B646" s="20"/>
      <c r="C646" s="14"/>
      <c r="D646" s="14"/>
      <c r="E646" s="5"/>
      <c r="F646" s="53"/>
      <c r="G646" s="54"/>
      <c r="H646" s="54"/>
      <c r="I646" s="7"/>
      <c r="J646" s="9"/>
      <c r="K646" s="21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2.75" customHeight="1" x14ac:dyDescent="0.25">
      <c r="A647" s="20"/>
      <c r="B647" s="20"/>
      <c r="C647" s="14"/>
      <c r="D647" s="14"/>
      <c r="E647" s="5"/>
      <c r="F647" s="53"/>
      <c r="G647" s="54"/>
      <c r="H647" s="54"/>
      <c r="I647" s="7"/>
      <c r="J647" s="9"/>
      <c r="K647" s="21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2.75" customHeight="1" x14ac:dyDescent="0.25">
      <c r="A648" s="20"/>
      <c r="B648" s="20"/>
      <c r="C648" s="14"/>
      <c r="D648" s="14"/>
      <c r="E648" s="5"/>
      <c r="F648" s="53"/>
      <c r="G648" s="54"/>
      <c r="H648" s="54"/>
      <c r="I648" s="7"/>
      <c r="J648" s="9"/>
      <c r="K648" s="21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2.75" customHeight="1" x14ac:dyDescent="0.25">
      <c r="A649" s="20"/>
      <c r="B649" s="20"/>
      <c r="C649" s="14"/>
      <c r="D649" s="14"/>
      <c r="E649" s="5"/>
      <c r="F649" s="53"/>
      <c r="G649" s="54"/>
      <c r="H649" s="54"/>
      <c r="I649" s="7"/>
      <c r="J649" s="9"/>
      <c r="K649" s="21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2.75" customHeight="1" x14ac:dyDescent="0.25">
      <c r="A650" s="20"/>
      <c r="B650" s="20"/>
      <c r="C650" s="14"/>
      <c r="D650" s="14"/>
      <c r="E650" s="5"/>
      <c r="F650" s="53"/>
      <c r="G650" s="54"/>
      <c r="H650" s="54"/>
      <c r="I650" s="7"/>
      <c r="J650" s="9"/>
      <c r="K650" s="21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2.75" customHeight="1" x14ac:dyDescent="0.25">
      <c r="A651" s="20"/>
      <c r="B651" s="20"/>
      <c r="C651" s="14"/>
      <c r="D651" s="14"/>
      <c r="E651" s="5"/>
      <c r="F651" s="53"/>
      <c r="G651" s="54"/>
      <c r="H651" s="54"/>
      <c r="I651" s="7"/>
      <c r="J651" s="9"/>
      <c r="K651" s="21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2.75" customHeight="1" x14ac:dyDescent="0.25">
      <c r="A652" s="20"/>
      <c r="B652" s="20"/>
      <c r="C652" s="14"/>
      <c r="D652" s="14"/>
      <c r="E652" s="5"/>
      <c r="F652" s="53"/>
      <c r="G652" s="54"/>
      <c r="H652" s="54"/>
      <c r="I652" s="7"/>
      <c r="J652" s="9"/>
      <c r="K652" s="21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2.75" customHeight="1" x14ac:dyDescent="0.25">
      <c r="A653" s="20"/>
      <c r="B653" s="20"/>
      <c r="C653" s="14"/>
      <c r="D653" s="14"/>
      <c r="E653" s="5"/>
      <c r="F653" s="53"/>
      <c r="G653" s="54"/>
      <c r="H653" s="54"/>
      <c r="I653" s="7"/>
      <c r="J653" s="9"/>
      <c r="K653" s="21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2.75" customHeight="1" x14ac:dyDescent="0.25">
      <c r="A654" s="20"/>
      <c r="B654" s="20"/>
      <c r="C654" s="14"/>
      <c r="D654" s="14"/>
      <c r="E654" s="5"/>
      <c r="F654" s="53"/>
      <c r="G654" s="54"/>
      <c r="H654" s="54"/>
      <c r="I654" s="7"/>
      <c r="J654" s="9"/>
      <c r="K654" s="21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2.75" customHeight="1" x14ac:dyDescent="0.25">
      <c r="A655" s="20"/>
      <c r="B655" s="20"/>
      <c r="C655" s="14"/>
      <c r="D655" s="14"/>
      <c r="E655" s="5"/>
      <c r="F655" s="53"/>
      <c r="G655" s="54"/>
      <c r="H655" s="54"/>
      <c r="I655" s="7"/>
      <c r="J655" s="9"/>
      <c r="K655" s="21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2.75" customHeight="1" x14ac:dyDescent="0.25">
      <c r="A656" s="20"/>
      <c r="B656" s="20"/>
      <c r="C656" s="14"/>
      <c r="D656" s="14"/>
      <c r="E656" s="5"/>
      <c r="F656" s="53"/>
      <c r="G656" s="54"/>
      <c r="H656" s="54"/>
      <c r="I656" s="7"/>
      <c r="J656" s="9"/>
      <c r="K656" s="21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2.75" customHeight="1" x14ac:dyDescent="0.25">
      <c r="A657" s="20"/>
      <c r="B657" s="20"/>
      <c r="C657" s="14"/>
      <c r="D657" s="14"/>
      <c r="E657" s="5"/>
      <c r="F657" s="53"/>
      <c r="G657" s="54"/>
      <c r="H657" s="54"/>
      <c r="I657" s="7"/>
      <c r="J657" s="9"/>
      <c r="K657" s="21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2.75" customHeight="1" x14ac:dyDescent="0.25">
      <c r="A658" s="20"/>
      <c r="B658" s="20"/>
      <c r="C658" s="14"/>
      <c r="D658" s="14"/>
      <c r="E658" s="5"/>
      <c r="F658" s="53"/>
      <c r="G658" s="54"/>
      <c r="H658" s="54"/>
      <c r="I658" s="7"/>
      <c r="J658" s="9"/>
      <c r="K658" s="21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2.75" customHeight="1" x14ac:dyDescent="0.25">
      <c r="A659" s="20"/>
      <c r="B659" s="20"/>
      <c r="C659" s="14"/>
      <c r="D659" s="14"/>
      <c r="E659" s="5"/>
      <c r="F659" s="53"/>
      <c r="G659" s="54"/>
      <c r="H659" s="54"/>
      <c r="I659" s="7"/>
      <c r="J659" s="9"/>
      <c r="K659" s="21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2.75" customHeight="1" x14ac:dyDescent="0.25">
      <c r="A660" s="20"/>
      <c r="B660" s="20"/>
      <c r="C660" s="14"/>
      <c r="D660" s="14"/>
      <c r="E660" s="5"/>
      <c r="F660" s="53"/>
      <c r="G660" s="54"/>
      <c r="H660" s="54"/>
      <c r="I660" s="7"/>
      <c r="J660" s="9"/>
      <c r="K660" s="21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2.75" customHeight="1" x14ac:dyDescent="0.25">
      <c r="A661" s="20"/>
      <c r="B661" s="20"/>
      <c r="C661" s="14"/>
      <c r="D661" s="14"/>
      <c r="E661" s="5"/>
      <c r="F661" s="53"/>
      <c r="G661" s="54"/>
      <c r="H661" s="54"/>
      <c r="I661" s="7"/>
      <c r="J661" s="9"/>
      <c r="K661" s="21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2.75" customHeight="1" x14ac:dyDescent="0.25">
      <c r="A662" s="20"/>
      <c r="B662" s="20"/>
      <c r="C662" s="14"/>
      <c r="D662" s="14"/>
      <c r="E662" s="5"/>
      <c r="F662" s="53"/>
      <c r="G662" s="54"/>
      <c r="H662" s="54"/>
      <c r="I662" s="7"/>
      <c r="J662" s="9"/>
      <c r="K662" s="21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2.75" customHeight="1" x14ac:dyDescent="0.25">
      <c r="A663" s="20"/>
      <c r="B663" s="20"/>
      <c r="C663" s="14"/>
      <c r="D663" s="14"/>
      <c r="E663" s="5"/>
      <c r="F663" s="53"/>
      <c r="G663" s="54"/>
      <c r="H663" s="54"/>
      <c r="I663" s="7"/>
      <c r="J663" s="9"/>
      <c r="K663" s="21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2.75" customHeight="1" x14ac:dyDescent="0.25">
      <c r="A664" s="20"/>
      <c r="B664" s="20"/>
      <c r="C664" s="14"/>
      <c r="D664" s="14"/>
      <c r="E664" s="5"/>
      <c r="F664" s="53"/>
      <c r="G664" s="54"/>
      <c r="H664" s="54"/>
      <c r="I664" s="7"/>
      <c r="J664" s="9"/>
      <c r="K664" s="21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2.75" customHeight="1" x14ac:dyDescent="0.25">
      <c r="A665" s="20"/>
      <c r="B665" s="20"/>
      <c r="C665" s="14"/>
      <c r="D665" s="14"/>
      <c r="E665" s="5"/>
      <c r="F665" s="53"/>
      <c r="G665" s="54"/>
      <c r="H665" s="54"/>
      <c r="I665" s="7"/>
      <c r="J665" s="9"/>
      <c r="K665" s="21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2.75" customHeight="1" x14ac:dyDescent="0.25">
      <c r="A666" s="20"/>
      <c r="B666" s="20"/>
      <c r="C666" s="14"/>
      <c r="D666" s="14"/>
      <c r="E666" s="5"/>
      <c r="F666" s="53"/>
      <c r="G666" s="54"/>
      <c r="H666" s="54"/>
      <c r="I666" s="7"/>
      <c r="J666" s="9"/>
      <c r="K666" s="21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2.75" customHeight="1" x14ac:dyDescent="0.25">
      <c r="A667" s="20"/>
      <c r="B667" s="20"/>
      <c r="C667" s="14"/>
      <c r="D667" s="14"/>
      <c r="E667" s="5"/>
      <c r="F667" s="53"/>
      <c r="G667" s="54"/>
      <c r="H667" s="54"/>
      <c r="I667" s="7"/>
      <c r="J667" s="9"/>
      <c r="K667" s="21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2.75" customHeight="1" x14ac:dyDescent="0.25">
      <c r="A668" s="20"/>
      <c r="B668" s="20"/>
      <c r="C668" s="14"/>
      <c r="D668" s="14"/>
      <c r="E668" s="5"/>
      <c r="F668" s="53"/>
      <c r="G668" s="54"/>
      <c r="H668" s="54"/>
      <c r="I668" s="7"/>
      <c r="J668" s="9"/>
      <c r="K668" s="21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2.75" customHeight="1" x14ac:dyDescent="0.25">
      <c r="A669" s="20"/>
      <c r="B669" s="20"/>
      <c r="C669" s="14"/>
      <c r="D669" s="14"/>
      <c r="E669" s="5"/>
      <c r="F669" s="53"/>
      <c r="G669" s="54"/>
      <c r="H669" s="54"/>
      <c r="I669" s="7"/>
      <c r="J669" s="9"/>
      <c r="K669" s="21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2.75" customHeight="1" x14ac:dyDescent="0.25">
      <c r="A670" s="20"/>
      <c r="B670" s="20"/>
      <c r="C670" s="14"/>
      <c r="D670" s="14"/>
      <c r="E670" s="5"/>
      <c r="F670" s="53"/>
      <c r="G670" s="54"/>
      <c r="H670" s="54"/>
      <c r="I670" s="7"/>
      <c r="J670" s="9"/>
      <c r="K670" s="21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2.75" customHeight="1" x14ac:dyDescent="0.25">
      <c r="A671" s="20"/>
      <c r="B671" s="20"/>
      <c r="C671" s="14"/>
      <c r="D671" s="14"/>
      <c r="E671" s="5"/>
      <c r="F671" s="53"/>
      <c r="G671" s="54"/>
      <c r="H671" s="54"/>
      <c r="I671" s="7"/>
      <c r="J671" s="9"/>
      <c r="K671" s="21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2.75" customHeight="1" x14ac:dyDescent="0.25">
      <c r="A672" s="20"/>
      <c r="B672" s="20"/>
      <c r="C672" s="14"/>
      <c r="D672" s="14"/>
      <c r="E672" s="5"/>
      <c r="F672" s="53"/>
      <c r="G672" s="54"/>
      <c r="H672" s="54"/>
      <c r="I672" s="7"/>
      <c r="J672" s="9"/>
      <c r="K672" s="21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2.75" customHeight="1" x14ac:dyDescent="0.25">
      <c r="A673" s="20"/>
      <c r="B673" s="20"/>
      <c r="C673" s="14"/>
      <c r="D673" s="14"/>
      <c r="E673" s="5"/>
      <c r="F673" s="53"/>
      <c r="G673" s="54"/>
      <c r="H673" s="54"/>
      <c r="I673" s="7"/>
      <c r="J673" s="9"/>
      <c r="K673" s="21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2.75" customHeight="1" x14ac:dyDescent="0.25">
      <c r="A674" s="20"/>
      <c r="B674" s="20"/>
      <c r="C674" s="14"/>
      <c r="D674" s="14"/>
      <c r="E674" s="5"/>
      <c r="F674" s="53"/>
      <c r="G674" s="54"/>
      <c r="H674" s="54"/>
      <c r="I674" s="7"/>
      <c r="J674" s="9"/>
      <c r="K674" s="21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2.75" customHeight="1" x14ac:dyDescent="0.25">
      <c r="A675" s="20"/>
      <c r="B675" s="20"/>
      <c r="C675" s="14"/>
      <c r="D675" s="14"/>
      <c r="E675" s="5"/>
      <c r="F675" s="53"/>
      <c r="G675" s="54"/>
      <c r="H675" s="54"/>
      <c r="I675" s="7"/>
      <c r="J675" s="9"/>
      <c r="K675" s="21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2.75" customHeight="1" x14ac:dyDescent="0.25">
      <c r="A676" s="20"/>
      <c r="B676" s="20"/>
      <c r="C676" s="14"/>
      <c r="D676" s="14"/>
      <c r="E676" s="5"/>
      <c r="F676" s="53"/>
      <c r="G676" s="54"/>
      <c r="H676" s="54"/>
      <c r="I676" s="7"/>
      <c r="J676" s="9"/>
      <c r="K676" s="21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2.75" customHeight="1" x14ac:dyDescent="0.25">
      <c r="A677" s="20"/>
      <c r="B677" s="20"/>
      <c r="C677" s="14"/>
      <c r="D677" s="14"/>
      <c r="E677" s="5"/>
      <c r="F677" s="53"/>
      <c r="G677" s="54"/>
      <c r="H677" s="54"/>
      <c r="I677" s="7"/>
      <c r="J677" s="9"/>
      <c r="K677" s="21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2.75" customHeight="1" x14ac:dyDescent="0.25">
      <c r="A678" s="20"/>
      <c r="B678" s="20"/>
      <c r="C678" s="14"/>
      <c r="D678" s="14"/>
      <c r="E678" s="5"/>
      <c r="F678" s="53"/>
      <c r="G678" s="54"/>
      <c r="H678" s="54"/>
      <c r="I678" s="7"/>
      <c r="J678" s="9"/>
      <c r="K678" s="21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2.75" customHeight="1" x14ac:dyDescent="0.25">
      <c r="A679" s="20"/>
      <c r="B679" s="20"/>
      <c r="C679" s="14"/>
      <c r="D679" s="14"/>
      <c r="E679" s="5"/>
      <c r="F679" s="53"/>
      <c r="G679" s="54"/>
      <c r="H679" s="54"/>
      <c r="I679" s="7"/>
      <c r="J679" s="9"/>
      <c r="K679" s="21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 customHeight="1" x14ac:dyDescent="0.25">
      <c r="A680" s="20"/>
      <c r="B680" s="20"/>
      <c r="C680" s="14"/>
      <c r="D680" s="14"/>
      <c r="E680" s="5"/>
      <c r="F680" s="53"/>
      <c r="G680" s="54"/>
      <c r="H680" s="54"/>
      <c r="I680" s="7"/>
      <c r="J680" s="9"/>
      <c r="K680" s="21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 customHeight="1" x14ac:dyDescent="0.25">
      <c r="A681" s="20"/>
      <c r="B681" s="20"/>
      <c r="C681" s="14"/>
      <c r="D681" s="14"/>
      <c r="E681" s="5"/>
      <c r="F681" s="53"/>
      <c r="G681" s="54"/>
      <c r="H681" s="54"/>
      <c r="I681" s="7"/>
      <c r="J681" s="9"/>
      <c r="K681" s="21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2.75" customHeight="1" x14ac:dyDescent="0.25">
      <c r="A682" s="20"/>
      <c r="B682" s="20"/>
      <c r="C682" s="14"/>
      <c r="D682" s="14"/>
      <c r="E682" s="5"/>
      <c r="F682" s="53"/>
      <c r="G682" s="54"/>
      <c r="H682" s="54"/>
      <c r="I682" s="7"/>
      <c r="J682" s="9"/>
      <c r="K682" s="21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2.75" customHeight="1" x14ac:dyDescent="0.25">
      <c r="A683" s="20"/>
      <c r="B683" s="20"/>
      <c r="C683" s="14"/>
      <c r="D683" s="14"/>
      <c r="E683" s="5"/>
      <c r="F683" s="53"/>
      <c r="G683" s="54"/>
      <c r="H683" s="54"/>
      <c r="I683" s="7"/>
      <c r="J683" s="9"/>
      <c r="K683" s="21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2.75" customHeight="1" x14ac:dyDescent="0.25">
      <c r="A684" s="20"/>
      <c r="B684" s="20"/>
      <c r="C684" s="14"/>
      <c r="D684" s="14"/>
      <c r="E684" s="5"/>
      <c r="F684" s="53"/>
      <c r="G684" s="54"/>
      <c r="H684" s="54"/>
      <c r="I684" s="7"/>
      <c r="J684" s="9"/>
      <c r="K684" s="21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2.75" customHeight="1" x14ac:dyDescent="0.25">
      <c r="A685" s="20"/>
      <c r="B685" s="20"/>
      <c r="C685" s="14"/>
      <c r="D685" s="14"/>
      <c r="E685" s="5"/>
      <c r="F685" s="53"/>
      <c r="G685" s="54"/>
      <c r="H685" s="54"/>
      <c r="I685" s="7"/>
      <c r="J685" s="9"/>
      <c r="K685" s="21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2.75" customHeight="1" x14ac:dyDescent="0.25">
      <c r="A686" s="20"/>
      <c r="B686" s="20"/>
      <c r="C686" s="14"/>
      <c r="D686" s="14"/>
      <c r="E686" s="5"/>
      <c r="F686" s="53"/>
      <c r="G686" s="54"/>
      <c r="H686" s="54"/>
      <c r="I686" s="7"/>
      <c r="J686" s="9"/>
      <c r="K686" s="21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2.75" customHeight="1" x14ac:dyDescent="0.25">
      <c r="A687" s="20"/>
      <c r="B687" s="20"/>
      <c r="C687" s="14"/>
      <c r="D687" s="14"/>
      <c r="E687" s="5"/>
      <c r="F687" s="53"/>
      <c r="G687" s="54"/>
      <c r="H687" s="54"/>
      <c r="I687" s="7"/>
      <c r="J687" s="9"/>
      <c r="K687" s="21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 customHeight="1" x14ac:dyDescent="0.25">
      <c r="A688" s="20"/>
      <c r="B688" s="20"/>
      <c r="C688" s="14"/>
      <c r="D688" s="14"/>
      <c r="E688" s="5"/>
      <c r="F688" s="53"/>
      <c r="G688" s="54"/>
      <c r="H688" s="54"/>
      <c r="I688" s="7"/>
      <c r="J688" s="9"/>
      <c r="K688" s="21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 customHeight="1" x14ac:dyDescent="0.25">
      <c r="A689" s="20"/>
      <c r="B689" s="20"/>
      <c r="C689" s="14"/>
      <c r="D689" s="14"/>
      <c r="E689" s="5"/>
      <c r="F689" s="53"/>
      <c r="G689" s="54"/>
      <c r="H689" s="54"/>
      <c r="I689" s="7"/>
      <c r="J689" s="9"/>
      <c r="K689" s="21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2.75" customHeight="1" x14ac:dyDescent="0.25">
      <c r="A690" s="20"/>
      <c r="B690" s="20"/>
      <c r="C690" s="14"/>
      <c r="D690" s="14"/>
      <c r="E690" s="5"/>
      <c r="F690" s="53"/>
      <c r="G690" s="54"/>
      <c r="H690" s="54"/>
      <c r="I690" s="7"/>
      <c r="J690" s="9"/>
      <c r="K690" s="21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2.75" customHeight="1" x14ac:dyDescent="0.25">
      <c r="A691" s="20"/>
      <c r="B691" s="20"/>
      <c r="C691" s="14"/>
      <c r="D691" s="14"/>
      <c r="E691" s="5"/>
      <c r="F691" s="53"/>
      <c r="G691" s="54"/>
      <c r="H691" s="54"/>
      <c r="I691" s="7"/>
      <c r="J691" s="9"/>
      <c r="K691" s="21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2.75" customHeight="1" x14ac:dyDescent="0.25">
      <c r="A692" s="20"/>
      <c r="B692" s="20"/>
      <c r="C692" s="14"/>
      <c r="D692" s="14"/>
      <c r="E692" s="5"/>
      <c r="F692" s="53"/>
      <c r="G692" s="54"/>
      <c r="H692" s="54"/>
      <c r="I692" s="7"/>
      <c r="J692" s="9"/>
      <c r="K692" s="21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2.75" customHeight="1" x14ac:dyDescent="0.25">
      <c r="A693" s="20"/>
      <c r="B693" s="20"/>
      <c r="C693" s="14"/>
      <c r="D693" s="14"/>
      <c r="E693" s="5"/>
      <c r="F693" s="53"/>
      <c r="G693" s="54"/>
      <c r="H693" s="54"/>
      <c r="I693" s="7"/>
      <c r="J693" s="9"/>
      <c r="K693" s="21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 customHeight="1" x14ac:dyDescent="0.25">
      <c r="A694" s="20"/>
      <c r="B694" s="20"/>
      <c r="C694" s="14"/>
      <c r="D694" s="14"/>
      <c r="E694" s="5"/>
      <c r="F694" s="53"/>
      <c r="G694" s="54"/>
      <c r="H694" s="54"/>
      <c r="I694" s="7"/>
      <c r="J694" s="9"/>
      <c r="K694" s="21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2.75" customHeight="1" x14ac:dyDescent="0.25">
      <c r="A695" s="20"/>
      <c r="B695" s="20"/>
      <c r="C695" s="14"/>
      <c r="D695" s="14"/>
      <c r="E695" s="5"/>
      <c r="F695" s="53"/>
      <c r="G695" s="54"/>
      <c r="H695" s="54"/>
      <c r="I695" s="7"/>
      <c r="J695" s="9"/>
      <c r="K695" s="21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2.75" customHeight="1" x14ac:dyDescent="0.25">
      <c r="A696" s="20"/>
      <c r="B696" s="20"/>
      <c r="C696" s="14"/>
      <c r="D696" s="14"/>
      <c r="E696" s="5"/>
      <c r="F696" s="53"/>
      <c r="G696" s="54"/>
      <c r="H696" s="54"/>
      <c r="I696" s="7"/>
      <c r="J696" s="9"/>
      <c r="K696" s="21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2.75" customHeight="1" x14ac:dyDescent="0.25">
      <c r="A697" s="20"/>
      <c r="B697" s="20"/>
      <c r="C697" s="14"/>
      <c r="D697" s="14"/>
      <c r="E697" s="5"/>
      <c r="F697" s="53"/>
      <c r="G697" s="54"/>
      <c r="H697" s="54"/>
      <c r="I697" s="7"/>
      <c r="J697" s="9"/>
      <c r="K697" s="21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2.75" customHeight="1" x14ac:dyDescent="0.25">
      <c r="A698" s="20"/>
      <c r="B698" s="20"/>
      <c r="C698" s="14"/>
      <c r="D698" s="14"/>
      <c r="E698" s="5"/>
      <c r="F698" s="53"/>
      <c r="G698" s="54"/>
      <c r="H698" s="54"/>
      <c r="I698" s="7"/>
      <c r="J698" s="9"/>
      <c r="K698" s="21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2.75" customHeight="1" x14ac:dyDescent="0.25">
      <c r="A699" s="20"/>
      <c r="B699" s="20"/>
      <c r="C699" s="14"/>
      <c r="D699" s="14"/>
      <c r="E699" s="5"/>
      <c r="F699" s="53"/>
      <c r="G699" s="54"/>
      <c r="H699" s="54"/>
      <c r="I699" s="7"/>
      <c r="J699" s="9"/>
      <c r="K699" s="21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 customHeight="1" x14ac:dyDescent="0.25">
      <c r="A700" s="20"/>
      <c r="B700" s="20"/>
      <c r="C700" s="14"/>
      <c r="D700" s="14"/>
      <c r="E700" s="5"/>
      <c r="F700" s="53"/>
      <c r="G700" s="54"/>
      <c r="H700" s="54"/>
      <c r="I700" s="7"/>
      <c r="J700" s="9"/>
      <c r="K700" s="21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 customHeight="1" x14ac:dyDescent="0.25">
      <c r="A701" s="20"/>
      <c r="B701" s="20"/>
      <c r="C701" s="14"/>
      <c r="D701" s="14"/>
      <c r="E701" s="5"/>
      <c r="F701" s="53"/>
      <c r="G701" s="54"/>
      <c r="H701" s="54"/>
      <c r="I701" s="7"/>
      <c r="J701" s="9"/>
      <c r="K701" s="21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2.75" customHeight="1" x14ac:dyDescent="0.25">
      <c r="A702" s="20"/>
      <c r="B702" s="20"/>
      <c r="C702" s="14"/>
      <c r="D702" s="14"/>
      <c r="E702" s="5"/>
      <c r="F702" s="53"/>
      <c r="G702" s="54"/>
      <c r="H702" s="54"/>
      <c r="I702" s="7"/>
      <c r="J702" s="9"/>
      <c r="K702" s="21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2.75" customHeight="1" x14ac:dyDescent="0.25">
      <c r="A703" s="20"/>
      <c r="B703" s="20"/>
      <c r="C703" s="14"/>
      <c r="D703" s="14"/>
      <c r="E703" s="5"/>
      <c r="F703" s="53"/>
      <c r="G703" s="54"/>
      <c r="H703" s="54"/>
      <c r="I703" s="7"/>
      <c r="J703" s="9"/>
      <c r="K703" s="21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2.75" customHeight="1" x14ac:dyDescent="0.25">
      <c r="A704" s="20"/>
      <c r="B704" s="20"/>
      <c r="C704" s="14"/>
      <c r="D704" s="14"/>
      <c r="E704" s="5"/>
      <c r="F704" s="53"/>
      <c r="G704" s="54"/>
      <c r="H704" s="54"/>
      <c r="I704" s="7"/>
      <c r="J704" s="9"/>
      <c r="K704" s="21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2.75" customHeight="1" x14ac:dyDescent="0.25">
      <c r="A705" s="20"/>
      <c r="B705" s="20"/>
      <c r="C705" s="14"/>
      <c r="D705" s="14"/>
      <c r="E705" s="5"/>
      <c r="F705" s="53"/>
      <c r="G705" s="54"/>
      <c r="H705" s="54"/>
      <c r="I705" s="7"/>
      <c r="J705" s="9"/>
      <c r="K705" s="21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2.75" customHeight="1" x14ac:dyDescent="0.25">
      <c r="A706" s="20"/>
      <c r="B706" s="20"/>
      <c r="C706" s="14"/>
      <c r="D706" s="14"/>
      <c r="E706" s="5"/>
      <c r="F706" s="53"/>
      <c r="G706" s="54"/>
      <c r="H706" s="54"/>
      <c r="I706" s="7"/>
      <c r="J706" s="9"/>
      <c r="K706" s="21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2.75" customHeight="1" x14ac:dyDescent="0.25">
      <c r="A707" s="20"/>
      <c r="B707" s="20"/>
      <c r="C707" s="14"/>
      <c r="D707" s="14"/>
      <c r="E707" s="5"/>
      <c r="F707" s="53"/>
      <c r="G707" s="54"/>
      <c r="H707" s="54"/>
      <c r="I707" s="7"/>
      <c r="J707" s="9"/>
      <c r="K707" s="21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2.75" customHeight="1" x14ac:dyDescent="0.25">
      <c r="A708" s="20"/>
      <c r="B708" s="20"/>
      <c r="C708" s="14"/>
      <c r="D708" s="14"/>
      <c r="E708" s="5"/>
      <c r="F708" s="53"/>
      <c r="G708" s="54"/>
      <c r="H708" s="54"/>
      <c r="I708" s="7"/>
      <c r="J708" s="9"/>
      <c r="K708" s="21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2.75" customHeight="1" x14ac:dyDescent="0.25">
      <c r="A709" s="20"/>
      <c r="B709" s="20"/>
      <c r="C709" s="14"/>
      <c r="D709" s="14"/>
      <c r="E709" s="5"/>
      <c r="F709" s="53"/>
      <c r="G709" s="54"/>
      <c r="H709" s="54"/>
      <c r="I709" s="7"/>
      <c r="J709" s="9"/>
      <c r="K709" s="21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 customHeight="1" x14ac:dyDescent="0.25">
      <c r="A710" s="20"/>
      <c r="B710" s="20"/>
      <c r="C710" s="14"/>
      <c r="D710" s="14"/>
      <c r="E710" s="5"/>
      <c r="F710" s="53"/>
      <c r="G710" s="54"/>
      <c r="H710" s="54"/>
      <c r="I710" s="7"/>
      <c r="J710" s="9"/>
      <c r="K710" s="21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 customHeight="1" x14ac:dyDescent="0.25">
      <c r="A711" s="20"/>
      <c r="B711" s="20"/>
      <c r="C711" s="14"/>
      <c r="D711" s="14"/>
      <c r="E711" s="5"/>
      <c r="F711" s="53"/>
      <c r="G711" s="54"/>
      <c r="H711" s="54"/>
      <c r="I711" s="7"/>
      <c r="J711" s="9"/>
      <c r="K711" s="21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 customHeight="1" x14ac:dyDescent="0.25">
      <c r="A712" s="20"/>
      <c r="B712" s="20"/>
      <c r="C712" s="14"/>
      <c r="D712" s="14"/>
      <c r="E712" s="5"/>
      <c r="F712" s="53"/>
      <c r="G712" s="54"/>
      <c r="H712" s="54"/>
      <c r="I712" s="7"/>
      <c r="J712" s="9"/>
      <c r="K712" s="21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 customHeight="1" x14ac:dyDescent="0.25">
      <c r="A713" s="20"/>
      <c r="B713" s="20"/>
      <c r="C713" s="14"/>
      <c r="D713" s="14"/>
      <c r="E713" s="5"/>
      <c r="F713" s="53"/>
      <c r="G713" s="54"/>
      <c r="H713" s="54"/>
      <c r="I713" s="7"/>
      <c r="J713" s="9"/>
      <c r="K713" s="21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2.75" customHeight="1" x14ac:dyDescent="0.25">
      <c r="A714" s="20"/>
      <c r="B714" s="20"/>
      <c r="C714" s="14"/>
      <c r="D714" s="14"/>
      <c r="E714" s="5"/>
      <c r="F714" s="53"/>
      <c r="G714" s="54"/>
      <c r="H714" s="54"/>
      <c r="I714" s="7"/>
      <c r="J714" s="9"/>
      <c r="K714" s="21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2.75" customHeight="1" x14ac:dyDescent="0.25">
      <c r="A715" s="20"/>
      <c r="B715" s="20"/>
      <c r="C715" s="14"/>
      <c r="D715" s="14"/>
      <c r="E715" s="5"/>
      <c r="F715" s="53"/>
      <c r="G715" s="54"/>
      <c r="H715" s="54"/>
      <c r="I715" s="7"/>
      <c r="J715" s="9"/>
      <c r="K715" s="21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2.75" customHeight="1" x14ac:dyDescent="0.25">
      <c r="A716" s="20"/>
      <c r="B716" s="20"/>
      <c r="C716" s="14"/>
      <c r="D716" s="14"/>
      <c r="E716" s="5"/>
      <c r="F716" s="53"/>
      <c r="G716" s="54"/>
      <c r="H716" s="54"/>
      <c r="I716" s="7"/>
      <c r="J716" s="9"/>
      <c r="K716" s="21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 customHeight="1" x14ac:dyDescent="0.25">
      <c r="A717" s="20"/>
      <c r="B717" s="20"/>
      <c r="C717" s="14"/>
      <c r="D717" s="14"/>
      <c r="E717" s="5"/>
      <c r="F717" s="53"/>
      <c r="G717" s="54"/>
      <c r="H717" s="54"/>
      <c r="I717" s="7"/>
      <c r="J717" s="9"/>
      <c r="K717" s="21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 customHeight="1" x14ac:dyDescent="0.25">
      <c r="A718" s="20"/>
      <c r="B718" s="20"/>
      <c r="C718" s="14"/>
      <c r="D718" s="14"/>
      <c r="E718" s="5"/>
      <c r="F718" s="53"/>
      <c r="G718" s="54"/>
      <c r="H718" s="54"/>
      <c r="I718" s="7"/>
      <c r="J718" s="9"/>
      <c r="K718" s="21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 customHeight="1" x14ac:dyDescent="0.25">
      <c r="A719" s="20"/>
      <c r="B719" s="20"/>
      <c r="C719" s="14"/>
      <c r="D719" s="14"/>
      <c r="E719" s="5"/>
      <c r="F719" s="53"/>
      <c r="G719" s="54"/>
      <c r="H719" s="54"/>
      <c r="I719" s="7"/>
      <c r="J719" s="9"/>
      <c r="K719" s="21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 customHeight="1" x14ac:dyDescent="0.25">
      <c r="A720" s="20"/>
      <c r="B720" s="20"/>
      <c r="C720" s="14"/>
      <c r="D720" s="14"/>
      <c r="E720" s="5"/>
      <c r="F720" s="53"/>
      <c r="G720" s="54"/>
      <c r="H720" s="54"/>
      <c r="I720" s="7"/>
      <c r="J720" s="9"/>
      <c r="K720" s="21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 customHeight="1" x14ac:dyDescent="0.25">
      <c r="A721" s="20"/>
      <c r="B721" s="20"/>
      <c r="C721" s="14"/>
      <c r="D721" s="14"/>
      <c r="E721" s="5"/>
      <c r="F721" s="53"/>
      <c r="G721" s="54"/>
      <c r="H721" s="54"/>
      <c r="I721" s="7"/>
      <c r="J721" s="9"/>
      <c r="K721" s="21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 customHeight="1" x14ac:dyDescent="0.25">
      <c r="A722" s="20"/>
      <c r="B722" s="20"/>
      <c r="C722" s="14"/>
      <c r="D722" s="14"/>
      <c r="E722" s="5"/>
      <c r="F722" s="53"/>
      <c r="G722" s="54"/>
      <c r="H722" s="54"/>
      <c r="I722" s="7"/>
      <c r="J722" s="9"/>
      <c r="K722" s="21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 customHeight="1" x14ac:dyDescent="0.25">
      <c r="A723" s="20"/>
      <c r="B723" s="20"/>
      <c r="C723" s="14"/>
      <c r="D723" s="14"/>
      <c r="E723" s="5"/>
      <c r="F723" s="53"/>
      <c r="G723" s="54"/>
      <c r="H723" s="54"/>
      <c r="I723" s="7"/>
      <c r="J723" s="9"/>
      <c r="K723" s="21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 customHeight="1" x14ac:dyDescent="0.25">
      <c r="A724" s="20"/>
      <c r="B724" s="20"/>
      <c r="C724" s="14"/>
      <c r="D724" s="14"/>
      <c r="E724" s="5"/>
      <c r="F724" s="53"/>
      <c r="G724" s="54"/>
      <c r="H724" s="54"/>
      <c r="I724" s="7"/>
      <c r="J724" s="9"/>
      <c r="K724" s="21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 customHeight="1" x14ac:dyDescent="0.25">
      <c r="A725" s="20"/>
      <c r="B725" s="20"/>
      <c r="C725" s="14"/>
      <c r="D725" s="14"/>
      <c r="E725" s="5"/>
      <c r="F725" s="53"/>
      <c r="G725" s="54"/>
      <c r="H725" s="54"/>
      <c r="I725" s="7"/>
      <c r="J725" s="9"/>
      <c r="K725" s="21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 customHeight="1" x14ac:dyDescent="0.25">
      <c r="A726" s="20"/>
      <c r="B726" s="20"/>
      <c r="C726" s="14"/>
      <c r="D726" s="14"/>
      <c r="E726" s="5"/>
      <c r="F726" s="53"/>
      <c r="G726" s="54"/>
      <c r="H726" s="54"/>
      <c r="I726" s="7"/>
      <c r="J726" s="9"/>
      <c r="K726" s="21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 customHeight="1" x14ac:dyDescent="0.25">
      <c r="A727" s="20"/>
      <c r="B727" s="20"/>
      <c r="C727" s="14"/>
      <c r="D727" s="14"/>
      <c r="E727" s="5"/>
      <c r="F727" s="53"/>
      <c r="G727" s="54"/>
      <c r="H727" s="54"/>
      <c r="I727" s="7"/>
      <c r="J727" s="9"/>
      <c r="K727" s="21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 customHeight="1" x14ac:dyDescent="0.25">
      <c r="A728" s="20"/>
      <c r="B728" s="20"/>
      <c r="C728" s="14"/>
      <c r="D728" s="14"/>
      <c r="E728" s="5"/>
      <c r="F728" s="53"/>
      <c r="G728" s="54"/>
      <c r="H728" s="54"/>
      <c r="I728" s="7"/>
      <c r="J728" s="9"/>
      <c r="K728" s="21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 customHeight="1" x14ac:dyDescent="0.25">
      <c r="A729" s="20"/>
      <c r="B729" s="20"/>
      <c r="C729" s="14"/>
      <c r="D729" s="14"/>
      <c r="E729" s="5"/>
      <c r="F729" s="53"/>
      <c r="G729" s="54"/>
      <c r="H729" s="54"/>
      <c r="I729" s="7"/>
      <c r="J729" s="9"/>
      <c r="K729" s="21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 customHeight="1" x14ac:dyDescent="0.25">
      <c r="A730" s="20"/>
      <c r="B730" s="20"/>
      <c r="C730" s="14"/>
      <c r="D730" s="14"/>
      <c r="E730" s="5"/>
      <c r="F730" s="53"/>
      <c r="G730" s="54"/>
      <c r="H730" s="54"/>
      <c r="I730" s="7"/>
      <c r="J730" s="9"/>
      <c r="K730" s="21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 customHeight="1" x14ac:dyDescent="0.25">
      <c r="A731" s="20"/>
      <c r="B731" s="20"/>
      <c r="C731" s="14"/>
      <c r="D731" s="14"/>
      <c r="E731" s="5"/>
      <c r="F731" s="53"/>
      <c r="G731" s="54"/>
      <c r="H731" s="54"/>
      <c r="I731" s="7"/>
      <c r="J731" s="9"/>
      <c r="K731" s="21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 customHeight="1" x14ac:dyDescent="0.25">
      <c r="A732" s="20"/>
      <c r="B732" s="20"/>
      <c r="C732" s="14"/>
      <c r="D732" s="14"/>
      <c r="E732" s="5"/>
      <c r="F732" s="53"/>
      <c r="G732" s="54"/>
      <c r="H732" s="54"/>
      <c r="I732" s="7"/>
      <c r="J732" s="9"/>
      <c r="K732" s="21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 customHeight="1" x14ac:dyDescent="0.25">
      <c r="A733" s="20"/>
      <c r="B733" s="20"/>
      <c r="C733" s="14"/>
      <c r="D733" s="14"/>
      <c r="E733" s="5"/>
      <c r="F733" s="53"/>
      <c r="G733" s="54"/>
      <c r="H733" s="54"/>
      <c r="I733" s="7"/>
      <c r="J733" s="9"/>
      <c r="K733" s="21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 customHeight="1" x14ac:dyDescent="0.25">
      <c r="A734" s="20"/>
      <c r="B734" s="20"/>
      <c r="C734" s="14"/>
      <c r="D734" s="14"/>
      <c r="E734" s="5"/>
      <c r="F734" s="53"/>
      <c r="G734" s="54"/>
      <c r="H734" s="54"/>
      <c r="I734" s="7"/>
      <c r="J734" s="9"/>
      <c r="K734" s="21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 customHeight="1" x14ac:dyDescent="0.25">
      <c r="A735" s="20"/>
      <c r="B735" s="20"/>
      <c r="C735" s="14"/>
      <c r="D735" s="14"/>
      <c r="E735" s="5"/>
      <c r="F735" s="53"/>
      <c r="G735" s="54"/>
      <c r="H735" s="54"/>
      <c r="I735" s="7"/>
      <c r="J735" s="9"/>
      <c r="K735" s="21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 customHeight="1" x14ac:dyDescent="0.25">
      <c r="A736" s="20"/>
      <c r="B736" s="20"/>
      <c r="C736" s="14"/>
      <c r="D736" s="14"/>
      <c r="E736" s="5"/>
      <c r="F736" s="53"/>
      <c r="G736" s="54"/>
      <c r="H736" s="54"/>
      <c r="I736" s="7"/>
      <c r="J736" s="9"/>
      <c r="K736" s="21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 customHeight="1" x14ac:dyDescent="0.25">
      <c r="A737" s="20"/>
      <c r="B737" s="20"/>
      <c r="C737" s="14"/>
      <c r="D737" s="14"/>
      <c r="E737" s="5"/>
      <c r="F737" s="53"/>
      <c r="G737" s="54"/>
      <c r="H737" s="54"/>
      <c r="I737" s="7"/>
      <c r="J737" s="9"/>
      <c r="K737" s="21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 customHeight="1" x14ac:dyDescent="0.25">
      <c r="A738" s="20"/>
      <c r="B738" s="20"/>
      <c r="C738" s="14"/>
      <c r="D738" s="14"/>
      <c r="E738" s="5"/>
      <c r="F738" s="53"/>
      <c r="G738" s="54"/>
      <c r="H738" s="54"/>
      <c r="I738" s="7"/>
      <c r="J738" s="9"/>
      <c r="K738" s="21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 customHeight="1" x14ac:dyDescent="0.25">
      <c r="A739" s="20"/>
      <c r="B739" s="20"/>
      <c r="C739" s="14"/>
      <c r="D739" s="14"/>
      <c r="E739" s="5"/>
      <c r="F739" s="53"/>
      <c r="G739" s="54"/>
      <c r="H739" s="54"/>
      <c r="I739" s="7"/>
      <c r="J739" s="9"/>
      <c r="K739" s="21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 customHeight="1" x14ac:dyDescent="0.25">
      <c r="A740" s="20"/>
      <c r="B740" s="20"/>
      <c r="C740" s="14"/>
      <c r="D740" s="14"/>
      <c r="E740" s="5"/>
      <c r="F740" s="53"/>
      <c r="G740" s="54"/>
      <c r="H740" s="54"/>
      <c r="I740" s="7"/>
      <c r="J740" s="9"/>
      <c r="K740" s="21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 customHeight="1" x14ac:dyDescent="0.25">
      <c r="A741" s="20"/>
      <c r="B741" s="20"/>
      <c r="C741" s="14"/>
      <c r="D741" s="14"/>
      <c r="E741" s="5"/>
      <c r="F741" s="53"/>
      <c r="G741" s="54"/>
      <c r="H741" s="54"/>
      <c r="I741" s="7"/>
      <c r="J741" s="9"/>
      <c r="K741" s="21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 customHeight="1" x14ac:dyDescent="0.25">
      <c r="A742" s="20"/>
      <c r="B742" s="20"/>
      <c r="C742" s="14"/>
      <c r="D742" s="14"/>
      <c r="E742" s="5"/>
      <c r="F742" s="53"/>
      <c r="G742" s="54"/>
      <c r="H742" s="54"/>
      <c r="I742" s="7"/>
      <c r="J742" s="9"/>
      <c r="K742" s="21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 customHeight="1" x14ac:dyDescent="0.25">
      <c r="A743" s="20"/>
      <c r="B743" s="20"/>
      <c r="C743" s="14"/>
      <c r="D743" s="14"/>
      <c r="E743" s="5"/>
      <c r="F743" s="53"/>
      <c r="G743" s="54"/>
      <c r="H743" s="54"/>
      <c r="I743" s="7"/>
      <c r="J743" s="9"/>
      <c r="K743" s="21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 customHeight="1" x14ac:dyDescent="0.25">
      <c r="A744" s="20"/>
      <c r="B744" s="20"/>
      <c r="C744" s="14"/>
      <c r="D744" s="14"/>
      <c r="E744" s="5"/>
      <c r="F744" s="53"/>
      <c r="G744" s="54"/>
      <c r="H744" s="54"/>
      <c r="I744" s="7"/>
      <c r="J744" s="9"/>
      <c r="K744" s="21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 customHeight="1" x14ac:dyDescent="0.25">
      <c r="A745" s="20"/>
      <c r="B745" s="20"/>
      <c r="C745" s="14"/>
      <c r="D745" s="14"/>
      <c r="E745" s="5"/>
      <c r="F745" s="53"/>
      <c r="G745" s="54"/>
      <c r="H745" s="54"/>
      <c r="I745" s="7"/>
      <c r="J745" s="9"/>
      <c r="K745" s="21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 customHeight="1" x14ac:dyDescent="0.25">
      <c r="A746" s="20"/>
      <c r="B746" s="20"/>
      <c r="C746" s="14"/>
      <c r="D746" s="14"/>
      <c r="E746" s="5"/>
      <c r="F746" s="53"/>
      <c r="G746" s="54"/>
      <c r="H746" s="54"/>
      <c r="I746" s="7"/>
      <c r="J746" s="9"/>
      <c r="K746" s="21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 customHeight="1" x14ac:dyDescent="0.25">
      <c r="A747" s="20"/>
      <c r="B747" s="20"/>
      <c r="C747" s="14"/>
      <c r="D747" s="14"/>
      <c r="E747" s="5"/>
      <c r="F747" s="53"/>
      <c r="G747" s="54"/>
      <c r="H747" s="54"/>
      <c r="I747" s="7"/>
      <c r="J747" s="9"/>
      <c r="K747" s="21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2.75" customHeight="1" x14ac:dyDescent="0.25">
      <c r="A748" s="20"/>
      <c r="B748" s="20"/>
      <c r="C748" s="14"/>
      <c r="D748" s="14"/>
      <c r="E748" s="5"/>
      <c r="F748" s="53"/>
      <c r="G748" s="54"/>
      <c r="H748" s="54"/>
      <c r="I748" s="7"/>
      <c r="J748" s="9"/>
      <c r="K748" s="21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2.75" customHeight="1" x14ac:dyDescent="0.25">
      <c r="A749" s="20"/>
      <c r="B749" s="20"/>
      <c r="C749" s="14"/>
      <c r="D749" s="14"/>
      <c r="E749" s="5"/>
      <c r="F749" s="53"/>
      <c r="G749" s="54"/>
      <c r="H749" s="54"/>
      <c r="I749" s="7"/>
      <c r="J749" s="9"/>
      <c r="K749" s="21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2.75" customHeight="1" x14ac:dyDescent="0.25">
      <c r="A750" s="20"/>
      <c r="B750" s="20"/>
      <c r="C750" s="14"/>
      <c r="D750" s="14"/>
      <c r="E750" s="5"/>
      <c r="F750" s="53"/>
      <c r="G750" s="54"/>
      <c r="H750" s="54"/>
      <c r="I750" s="7"/>
      <c r="J750" s="9"/>
      <c r="K750" s="21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2.75" customHeight="1" x14ac:dyDescent="0.25">
      <c r="A751" s="20"/>
      <c r="B751" s="20"/>
      <c r="C751" s="14"/>
      <c r="D751" s="14"/>
      <c r="E751" s="5"/>
      <c r="F751" s="53"/>
      <c r="G751" s="54"/>
      <c r="H751" s="54"/>
      <c r="I751" s="7"/>
      <c r="J751" s="9"/>
      <c r="K751" s="21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2.75" customHeight="1" x14ac:dyDescent="0.25">
      <c r="A752" s="20"/>
      <c r="B752" s="20"/>
      <c r="C752" s="14"/>
      <c r="D752" s="14"/>
      <c r="E752" s="5"/>
      <c r="F752" s="53"/>
      <c r="G752" s="54"/>
      <c r="H752" s="54"/>
      <c r="I752" s="7"/>
      <c r="J752" s="9"/>
      <c r="K752" s="21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2.75" customHeight="1" x14ac:dyDescent="0.25">
      <c r="A753" s="20"/>
      <c r="B753" s="20"/>
      <c r="C753" s="14"/>
      <c r="D753" s="14"/>
      <c r="E753" s="5"/>
      <c r="F753" s="53"/>
      <c r="G753" s="54"/>
      <c r="H753" s="54"/>
      <c r="I753" s="7"/>
      <c r="J753" s="9"/>
      <c r="K753" s="21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2.75" customHeight="1" x14ac:dyDescent="0.25">
      <c r="A754" s="20"/>
      <c r="B754" s="20"/>
      <c r="C754" s="14"/>
      <c r="D754" s="14"/>
      <c r="E754" s="5"/>
      <c r="F754" s="53"/>
      <c r="G754" s="54"/>
      <c r="H754" s="54"/>
      <c r="I754" s="7"/>
      <c r="J754" s="9"/>
      <c r="K754" s="21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2.75" customHeight="1" x14ac:dyDescent="0.25">
      <c r="A755" s="20"/>
      <c r="B755" s="20"/>
      <c r="C755" s="14"/>
      <c r="D755" s="14"/>
      <c r="E755" s="5"/>
      <c r="F755" s="53"/>
      <c r="G755" s="54"/>
      <c r="H755" s="54"/>
      <c r="I755" s="7"/>
      <c r="J755" s="9"/>
      <c r="K755" s="21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2.75" customHeight="1" x14ac:dyDescent="0.25">
      <c r="A756" s="20"/>
      <c r="B756" s="20"/>
      <c r="C756" s="14"/>
      <c r="D756" s="14"/>
      <c r="E756" s="5"/>
      <c r="F756" s="53"/>
      <c r="G756" s="54"/>
      <c r="H756" s="54"/>
      <c r="I756" s="7"/>
      <c r="J756" s="9"/>
      <c r="K756" s="21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2.75" customHeight="1" x14ac:dyDescent="0.25">
      <c r="A757" s="20"/>
      <c r="B757" s="20"/>
      <c r="C757" s="14"/>
      <c r="D757" s="14"/>
      <c r="E757" s="5"/>
      <c r="F757" s="53"/>
      <c r="G757" s="54"/>
      <c r="H757" s="54"/>
      <c r="I757" s="7"/>
      <c r="J757" s="9"/>
      <c r="K757" s="21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2.75" customHeight="1" x14ac:dyDescent="0.25">
      <c r="A758" s="20"/>
      <c r="B758" s="20"/>
      <c r="C758" s="14"/>
      <c r="D758" s="14"/>
      <c r="E758" s="5"/>
      <c r="F758" s="53"/>
      <c r="G758" s="54"/>
      <c r="H758" s="54"/>
      <c r="I758" s="7"/>
      <c r="J758" s="9"/>
      <c r="K758" s="21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2.75" customHeight="1" x14ac:dyDescent="0.25">
      <c r="A759" s="20"/>
      <c r="B759" s="20"/>
      <c r="C759" s="14"/>
      <c r="D759" s="14"/>
      <c r="E759" s="5"/>
      <c r="F759" s="53"/>
      <c r="G759" s="54"/>
      <c r="H759" s="54"/>
      <c r="I759" s="7"/>
      <c r="J759" s="9"/>
      <c r="K759" s="21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2.75" customHeight="1" x14ac:dyDescent="0.25">
      <c r="A760" s="20"/>
      <c r="B760" s="20"/>
      <c r="C760" s="14"/>
      <c r="D760" s="14"/>
      <c r="E760" s="5"/>
      <c r="F760" s="53"/>
      <c r="G760" s="54"/>
      <c r="H760" s="54"/>
      <c r="I760" s="7"/>
      <c r="J760" s="9"/>
      <c r="K760" s="21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2.75" customHeight="1" x14ac:dyDescent="0.25">
      <c r="A761" s="20"/>
      <c r="B761" s="20"/>
      <c r="C761" s="14"/>
      <c r="D761" s="14"/>
      <c r="E761" s="5"/>
      <c r="F761" s="53"/>
      <c r="G761" s="54"/>
      <c r="H761" s="54"/>
      <c r="I761" s="7"/>
      <c r="J761" s="9"/>
      <c r="K761" s="21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2.75" customHeight="1" x14ac:dyDescent="0.25">
      <c r="A762" s="20"/>
      <c r="B762" s="20"/>
      <c r="C762" s="14"/>
      <c r="D762" s="14"/>
      <c r="E762" s="5"/>
      <c r="F762" s="53"/>
      <c r="G762" s="54"/>
      <c r="H762" s="54"/>
      <c r="I762" s="7"/>
      <c r="J762" s="9"/>
      <c r="K762" s="21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2.75" customHeight="1" x14ac:dyDescent="0.25">
      <c r="A763" s="20"/>
      <c r="B763" s="20"/>
      <c r="C763" s="14"/>
      <c r="D763" s="14"/>
      <c r="E763" s="5"/>
      <c r="F763" s="53"/>
      <c r="G763" s="54"/>
      <c r="H763" s="54"/>
      <c r="I763" s="7"/>
      <c r="J763" s="9"/>
      <c r="K763" s="21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2.75" customHeight="1" x14ac:dyDescent="0.25">
      <c r="A764" s="20"/>
      <c r="B764" s="20"/>
      <c r="C764" s="14"/>
      <c r="D764" s="14"/>
      <c r="E764" s="5"/>
      <c r="F764" s="53"/>
      <c r="G764" s="54"/>
      <c r="H764" s="54"/>
      <c r="I764" s="7"/>
      <c r="J764" s="9"/>
      <c r="K764" s="21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2.75" customHeight="1" x14ac:dyDescent="0.25">
      <c r="A765" s="20"/>
      <c r="B765" s="20"/>
      <c r="C765" s="14"/>
      <c r="D765" s="14"/>
      <c r="E765" s="5"/>
      <c r="F765" s="53"/>
      <c r="G765" s="54"/>
      <c r="H765" s="54"/>
      <c r="I765" s="7"/>
      <c r="J765" s="9"/>
      <c r="K765" s="21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2.75" customHeight="1" x14ac:dyDescent="0.25">
      <c r="A766" s="20"/>
      <c r="B766" s="20"/>
      <c r="C766" s="14"/>
      <c r="D766" s="14"/>
      <c r="E766" s="5"/>
      <c r="F766" s="53"/>
      <c r="G766" s="54"/>
      <c r="H766" s="54"/>
      <c r="I766" s="7"/>
      <c r="J766" s="9"/>
      <c r="K766" s="21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2.75" customHeight="1" x14ac:dyDescent="0.25">
      <c r="A767" s="20"/>
      <c r="B767" s="20"/>
      <c r="C767" s="14"/>
      <c r="D767" s="14"/>
      <c r="E767" s="5"/>
      <c r="F767" s="53"/>
      <c r="G767" s="54"/>
      <c r="H767" s="54"/>
      <c r="I767" s="7"/>
      <c r="J767" s="9"/>
      <c r="K767" s="21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2.75" customHeight="1" x14ac:dyDescent="0.25">
      <c r="A768" s="20"/>
      <c r="B768" s="20"/>
      <c r="C768" s="14"/>
      <c r="D768" s="14"/>
      <c r="E768" s="5"/>
      <c r="F768" s="53"/>
      <c r="G768" s="54"/>
      <c r="H768" s="54"/>
      <c r="I768" s="7"/>
      <c r="J768" s="9"/>
      <c r="K768" s="21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2.75" customHeight="1" x14ac:dyDescent="0.25">
      <c r="A769" s="20"/>
      <c r="B769" s="20"/>
      <c r="C769" s="14"/>
      <c r="D769" s="14"/>
      <c r="E769" s="5"/>
      <c r="F769" s="53"/>
      <c r="G769" s="54"/>
      <c r="H769" s="54"/>
      <c r="I769" s="7"/>
      <c r="J769" s="9"/>
      <c r="K769" s="21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2.75" customHeight="1" x14ac:dyDescent="0.25">
      <c r="A770" s="20"/>
      <c r="B770" s="20"/>
      <c r="C770" s="14"/>
      <c r="D770" s="14"/>
      <c r="E770" s="5"/>
      <c r="F770" s="53"/>
      <c r="G770" s="54"/>
      <c r="H770" s="54"/>
      <c r="I770" s="7"/>
      <c r="J770" s="9"/>
      <c r="K770" s="21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2.75" customHeight="1" x14ac:dyDescent="0.25">
      <c r="A771" s="20"/>
      <c r="B771" s="20"/>
      <c r="C771" s="14"/>
      <c r="D771" s="14"/>
      <c r="E771" s="5"/>
      <c r="F771" s="53"/>
      <c r="G771" s="54"/>
      <c r="H771" s="54"/>
      <c r="I771" s="7"/>
      <c r="J771" s="9"/>
      <c r="K771" s="21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2.75" customHeight="1" x14ac:dyDescent="0.25">
      <c r="A772" s="20"/>
      <c r="B772" s="20"/>
      <c r="C772" s="14"/>
      <c r="D772" s="14"/>
      <c r="E772" s="5"/>
      <c r="F772" s="53"/>
      <c r="G772" s="54"/>
      <c r="H772" s="54"/>
      <c r="I772" s="7"/>
      <c r="J772" s="9"/>
      <c r="K772" s="21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 customHeight="1" x14ac:dyDescent="0.25">
      <c r="A773" s="20"/>
      <c r="B773" s="20"/>
      <c r="C773" s="14"/>
      <c r="D773" s="14"/>
      <c r="E773" s="5"/>
      <c r="F773" s="53"/>
      <c r="G773" s="54"/>
      <c r="H773" s="54"/>
      <c r="I773" s="7"/>
      <c r="J773" s="9"/>
      <c r="K773" s="21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 customHeight="1" x14ac:dyDescent="0.25">
      <c r="A774" s="20"/>
      <c r="B774" s="20"/>
      <c r="C774" s="14"/>
      <c r="D774" s="14"/>
      <c r="E774" s="5"/>
      <c r="F774" s="53"/>
      <c r="G774" s="54"/>
      <c r="H774" s="54"/>
      <c r="I774" s="7"/>
      <c r="J774" s="9"/>
      <c r="K774" s="21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2.75" customHeight="1" x14ac:dyDescent="0.25">
      <c r="A775" s="20"/>
      <c r="B775" s="20"/>
      <c r="C775" s="14"/>
      <c r="D775" s="14"/>
      <c r="E775" s="5"/>
      <c r="F775" s="53"/>
      <c r="G775" s="54"/>
      <c r="H775" s="54"/>
      <c r="I775" s="7"/>
      <c r="J775" s="9"/>
      <c r="K775" s="21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2.75" customHeight="1" x14ac:dyDescent="0.25">
      <c r="A776" s="20"/>
      <c r="B776" s="20"/>
      <c r="C776" s="14"/>
      <c r="D776" s="14"/>
      <c r="E776" s="5"/>
      <c r="F776" s="53"/>
      <c r="G776" s="54"/>
      <c r="H776" s="54"/>
      <c r="I776" s="7"/>
      <c r="J776" s="9"/>
      <c r="K776" s="21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2.75" customHeight="1" x14ac:dyDescent="0.25">
      <c r="A777" s="20"/>
      <c r="B777" s="20"/>
      <c r="C777" s="14"/>
      <c r="D777" s="14"/>
      <c r="E777" s="5"/>
      <c r="F777" s="53"/>
      <c r="G777" s="54"/>
      <c r="H777" s="54"/>
      <c r="I777" s="7"/>
      <c r="J777" s="9"/>
      <c r="K777" s="21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2.75" customHeight="1" x14ac:dyDescent="0.25">
      <c r="A778" s="20"/>
      <c r="B778" s="20"/>
      <c r="C778" s="14"/>
      <c r="D778" s="14"/>
      <c r="E778" s="5"/>
      <c r="F778" s="53"/>
      <c r="G778" s="54"/>
      <c r="H778" s="54"/>
      <c r="I778" s="7"/>
      <c r="J778" s="9"/>
      <c r="K778" s="21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2.75" customHeight="1" x14ac:dyDescent="0.25">
      <c r="A779" s="20"/>
      <c r="B779" s="20"/>
      <c r="C779" s="14"/>
      <c r="D779" s="14"/>
      <c r="E779" s="5"/>
      <c r="F779" s="53"/>
      <c r="G779" s="54"/>
      <c r="H779" s="54"/>
      <c r="I779" s="7"/>
      <c r="J779" s="9"/>
      <c r="K779" s="21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2.75" customHeight="1" x14ac:dyDescent="0.25">
      <c r="A780" s="20"/>
      <c r="B780" s="20"/>
      <c r="C780" s="14"/>
      <c r="D780" s="14"/>
      <c r="E780" s="5"/>
      <c r="F780" s="53"/>
      <c r="G780" s="54"/>
      <c r="H780" s="54"/>
      <c r="I780" s="7"/>
      <c r="J780" s="9"/>
      <c r="K780" s="21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 customHeight="1" x14ac:dyDescent="0.25">
      <c r="A781" s="20"/>
      <c r="B781" s="20"/>
      <c r="C781" s="14"/>
      <c r="D781" s="14"/>
      <c r="E781" s="5"/>
      <c r="F781" s="53"/>
      <c r="G781" s="54"/>
      <c r="H781" s="54"/>
      <c r="I781" s="7"/>
      <c r="J781" s="9"/>
      <c r="K781" s="21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 customHeight="1" x14ac:dyDescent="0.25">
      <c r="A782" s="20"/>
      <c r="B782" s="20"/>
      <c r="C782" s="14"/>
      <c r="D782" s="14"/>
      <c r="E782" s="5"/>
      <c r="F782" s="53"/>
      <c r="G782" s="54"/>
      <c r="H782" s="54"/>
      <c r="I782" s="7"/>
      <c r="J782" s="9"/>
      <c r="K782" s="21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2.75" customHeight="1" x14ac:dyDescent="0.25">
      <c r="A783" s="20"/>
      <c r="B783" s="20"/>
      <c r="C783" s="14"/>
      <c r="D783" s="14"/>
      <c r="E783" s="5"/>
      <c r="F783" s="53"/>
      <c r="G783" s="54"/>
      <c r="H783" s="54"/>
      <c r="I783" s="7"/>
      <c r="J783" s="9"/>
      <c r="K783" s="21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2.75" customHeight="1" x14ac:dyDescent="0.25">
      <c r="A784" s="20"/>
      <c r="B784" s="20"/>
      <c r="C784" s="14"/>
      <c r="D784" s="14"/>
      <c r="E784" s="5"/>
      <c r="F784" s="53"/>
      <c r="G784" s="54"/>
      <c r="H784" s="54"/>
      <c r="I784" s="7"/>
      <c r="J784" s="9"/>
      <c r="K784" s="21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2.75" customHeight="1" x14ac:dyDescent="0.25">
      <c r="A785" s="20"/>
      <c r="B785" s="20"/>
      <c r="C785" s="14"/>
      <c r="D785" s="14"/>
      <c r="E785" s="5"/>
      <c r="F785" s="53"/>
      <c r="G785" s="54"/>
      <c r="H785" s="54"/>
      <c r="I785" s="7"/>
      <c r="J785" s="9"/>
      <c r="K785" s="21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2.75" customHeight="1" x14ac:dyDescent="0.25">
      <c r="A786" s="20"/>
      <c r="B786" s="20"/>
      <c r="C786" s="14"/>
      <c r="D786" s="14"/>
      <c r="E786" s="5"/>
      <c r="F786" s="53"/>
      <c r="G786" s="54"/>
      <c r="H786" s="54"/>
      <c r="I786" s="7"/>
      <c r="J786" s="9"/>
      <c r="K786" s="21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 customHeight="1" x14ac:dyDescent="0.25">
      <c r="A787" s="20"/>
      <c r="B787" s="20"/>
      <c r="C787" s="14"/>
      <c r="D787" s="14"/>
      <c r="E787" s="5"/>
      <c r="F787" s="53"/>
      <c r="G787" s="54"/>
      <c r="H787" s="54"/>
      <c r="I787" s="7"/>
      <c r="J787" s="9"/>
      <c r="K787" s="21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2.75" customHeight="1" x14ac:dyDescent="0.25">
      <c r="A788" s="20"/>
      <c r="B788" s="20"/>
      <c r="C788" s="14"/>
      <c r="D788" s="14"/>
      <c r="E788" s="5"/>
      <c r="F788" s="53"/>
      <c r="G788" s="54"/>
      <c r="H788" s="54"/>
      <c r="I788" s="7"/>
      <c r="J788" s="9"/>
      <c r="K788" s="21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2.75" customHeight="1" x14ac:dyDescent="0.25">
      <c r="A789" s="20"/>
      <c r="B789" s="20"/>
      <c r="C789" s="14"/>
      <c r="D789" s="14"/>
      <c r="E789" s="5"/>
      <c r="F789" s="53"/>
      <c r="G789" s="54"/>
      <c r="H789" s="54"/>
      <c r="I789" s="7"/>
      <c r="J789" s="9"/>
      <c r="K789" s="21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2.75" customHeight="1" x14ac:dyDescent="0.25">
      <c r="A790" s="20"/>
      <c r="B790" s="20"/>
      <c r="C790" s="14"/>
      <c r="D790" s="14"/>
      <c r="E790" s="5"/>
      <c r="F790" s="53"/>
      <c r="G790" s="54"/>
      <c r="H790" s="54"/>
      <c r="I790" s="7"/>
      <c r="J790" s="9"/>
      <c r="K790" s="21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2.75" customHeight="1" x14ac:dyDescent="0.25">
      <c r="A791" s="20"/>
      <c r="B791" s="20"/>
      <c r="C791" s="14"/>
      <c r="D791" s="14"/>
      <c r="E791" s="5"/>
      <c r="F791" s="53"/>
      <c r="G791" s="54"/>
      <c r="H791" s="54"/>
      <c r="I791" s="7"/>
      <c r="J791" s="9"/>
      <c r="K791" s="21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2.75" customHeight="1" x14ac:dyDescent="0.25">
      <c r="A792" s="20"/>
      <c r="B792" s="20"/>
      <c r="C792" s="14"/>
      <c r="D792" s="14"/>
      <c r="E792" s="5"/>
      <c r="F792" s="53"/>
      <c r="G792" s="54"/>
      <c r="H792" s="54"/>
      <c r="I792" s="7"/>
      <c r="J792" s="9"/>
      <c r="K792" s="21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 customHeight="1" x14ac:dyDescent="0.25">
      <c r="A793" s="20"/>
      <c r="B793" s="20"/>
      <c r="C793" s="14"/>
      <c r="D793" s="14"/>
      <c r="E793" s="5"/>
      <c r="F793" s="53"/>
      <c r="G793" s="54"/>
      <c r="H793" s="54"/>
      <c r="I793" s="7"/>
      <c r="J793" s="9"/>
      <c r="K793" s="21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 customHeight="1" x14ac:dyDescent="0.25">
      <c r="A794" s="20"/>
      <c r="B794" s="20"/>
      <c r="C794" s="14"/>
      <c r="D794" s="14"/>
      <c r="E794" s="5"/>
      <c r="F794" s="53"/>
      <c r="G794" s="54"/>
      <c r="H794" s="54"/>
      <c r="I794" s="7"/>
      <c r="J794" s="9"/>
      <c r="K794" s="21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2.75" customHeight="1" x14ac:dyDescent="0.25">
      <c r="A795" s="20"/>
      <c r="B795" s="20"/>
      <c r="C795" s="14"/>
      <c r="D795" s="14"/>
      <c r="E795" s="5"/>
      <c r="F795" s="53"/>
      <c r="G795" s="54"/>
      <c r="H795" s="54"/>
      <c r="I795" s="7"/>
      <c r="J795" s="9"/>
      <c r="K795" s="21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2.75" customHeight="1" x14ac:dyDescent="0.25">
      <c r="A796" s="20"/>
      <c r="B796" s="20"/>
      <c r="C796" s="14"/>
      <c r="D796" s="14"/>
      <c r="E796" s="5"/>
      <c r="F796" s="53"/>
      <c r="G796" s="54"/>
      <c r="H796" s="54"/>
      <c r="I796" s="7"/>
      <c r="J796" s="9"/>
      <c r="K796" s="21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2.75" customHeight="1" x14ac:dyDescent="0.25">
      <c r="A797" s="20"/>
      <c r="B797" s="20"/>
      <c r="C797" s="14"/>
      <c r="D797" s="14"/>
      <c r="E797" s="5"/>
      <c r="F797" s="53"/>
      <c r="G797" s="54"/>
      <c r="H797" s="54"/>
      <c r="I797" s="7"/>
      <c r="J797" s="9"/>
      <c r="K797" s="21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2.75" customHeight="1" x14ac:dyDescent="0.25">
      <c r="A798" s="20"/>
      <c r="B798" s="20"/>
      <c r="C798" s="14"/>
      <c r="D798" s="14"/>
      <c r="E798" s="5"/>
      <c r="F798" s="53"/>
      <c r="G798" s="54"/>
      <c r="H798" s="54"/>
      <c r="I798" s="7"/>
      <c r="J798" s="9"/>
      <c r="K798" s="21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2.75" customHeight="1" x14ac:dyDescent="0.25">
      <c r="A799" s="20"/>
      <c r="B799" s="20"/>
      <c r="C799" s="14"/>
      <c r="D799" s="14"/>
      <c r="E799" s="5"/>
      <c r="F799" s="53"/>
      <c r="G799" s="54"/>
      <c r="H799" s="54"/>
      <c r="I799" s="7"/>
      <c r="J799" s="9"/>
      <c r="K799" s="21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2.75" customHeight="1" x14ac:dyDescent="0.25">
      <c r="A800" s="20"/>
      <c r="B800" s="20"/>
      <c r="C800" s="14"/>
      <c r="D800" s="14"/>
      <c r="E800" s="5"/>
      <c r="F800" s="53"/>
      <c r="G800" s="54"/>
      <c r="H800" s="54"/>
      <c r="I800" s="7"/>
      <c r="J800" s="9"/>
      <c r="K800" s="21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2.75" customHeight="1" x14ac:dyDescent="0.25">
      <c r="A801" s="20"/>
      <c r="B801" s="20"/>
      <c r="C801" s="14"/>
      <c r="D801" s="14"/>
      <c r="E801" s="5"/>
      <c r="F801" s="53"/>
      <c r="G801" s="54"/>
      <c r="H801" s="54"/>
      <c r="I801" s="7"/>
      <c r="J801" s="9"/>
      <c r="K801" s="21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2.75" customHeight="1" x14ac:dyDescent="0.25">
      <c r="A802" s="20"/>
      <c r="B802" s="20"/>
      <c r="C802" s="14"/>
      <c r="D802" s="14"/>
      <c r="E802" s="5"/>
      <c r="F802" s="53"/>
      <c r="G802" s="54"/>
      <c r="H802" s="54"/>
      <c r="I802" s="7"/>
      <c r="J802" s="9"/>
      <c r="K802" s="21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2.75" customHeight="1" x14ac:dyDescent="0.25">
      <c r="A803" s="20"/>
      <c r="B803" s="20"/>
      <c r="C803" s="14"/>
      <c r="D803" s="14"/>
      <c r="E803" s="5"/>
      <c r="F803" s="53"/>
      <c r="G803" s="54"/>
      <c r="H803" s="54"/>
      <c r="I803" s="7"/>
      <c r="J803" s="9"/>
      <c r="K803" s="21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2.75" customHeight="1" x14ac:dyDescent="0.25">
      <c r="A804" s="20"/>
      <c r="B804" s="20"/>
      <c r="C804" s="14"/>
      <c r="D804" s="14"/>
      <c r="E804" s="5"/>
      <c r="F804" s="53"/>
      <c r="G804" s="54"/>
      <c r="H804" s="54"/>
      <c r="I804" s="7"/>
      <c r="J804" s="9"/>
      <c r="K804" s="21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2.75" customHeight="1" x14ac:dyDescent="0.25">
      <c r="A805" s="20"/>
      <c r="B805" s="20"/>
      <c r="C805" s="14"/>
      <c r="D805" s="14"/>
      <c r="E805" s="5"/>
      <c r="F805" s="53"/>
      <c r="G805" s="54"/>
      <c r="H805" s="54"/>
      <c r="I805" s="7"/>
      <c r="J805" s="9"/>
      <c r="K805" s="21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2.75" customHeight="1" x14ac:dyDescent="0.25">
      <c r="A806" s="20"/>
      <c r="B806" s="20"/>
      <c r="C806" s="14"/>
      <c r="D806" s="14"/>
      <c r="E806" s="5"/>
      <c r="F806" s="53"/>
      <c r="G806" s="54"/>
      <c r="H806" s="54"/>
      <c r="I806" s="7"/>
      <c r="J806" s="9"/>
      <c r="K806" s="21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2.75" customHeight="1" x14ac:dyDescent="0.25">
      <c r="A807" s="20"/>
      <c r="B807" s="20"/>
      <c r="C807" s="14"/>
      <c r="D807" s="14"/>
      <c r="E807" s="5"/>
      <c r="F807" s="53"/>
      <c r="G807" s="54"/>
      <c r="H807" s="54"/>
      <c r="I807" s="7"/>
      <c r="J807" s="9"/>
      <c r="K807" s="21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2.75" customHeight="1" x14ac:dyDescent="0.25">
      <c r="A808" s="20"/>
      <c r="B808" s="20"/>
      <c r="C808" s="14"/>
      <c r="D808" s="14"/>
      <c r="E808" s="5"/>
      <c r="F808" s="53"/>
      <c r="G808" s="54"/>
      <c r="H808" s="54"/>
      <c r="I808" s="7"/>
      <c r="J808" s="9"/>
      <c r="K808" s="21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2.75" customHeight="1" x14ac:dyDescent="0.25">
      <c r="A809" s="20"/>
      <c r="B809" s="20"/>
      <c r="C809" s="14"/>
      <c r="D809" s="14"/>
      <c r="E809" s="5"/>
      <c r="F809" s="53"/>
      <c r="G809" s="54"/>
      <c r="H809" s="54"/>
      <c r="I809" s="7"/>
      <c r="J809" s="9"/>
      <c r="K809" s="21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2.75" customHeight="1" x14ac:dyDescent="0.25">
      <c r="A810" s="20"/>
      <c r="B810" s="20"/>
      <c r="C810" s="14"/>
      <c r="D810" s="14"/>
      <c r="E810" s="5"/>
      <c r="F810" s="53"/>
      <c r="G810" s="54"/>
      <c r="H810" s="54"/>
      <c r="I810" s="7"/>
      <c r="J810" s="9"/>
      <c r="K810" s="21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2.75" customHeight="1" x14ac:dyDescent="0.25">
      <c r="A811" s="20"/>
      <c r="B811" s="20"/>
      <c r="C811" s="14"/>
      <c r="D811" s="14"/>
      <c r="E811" s="5"/>
      <c r="F811" s="53"/>
      <c r="G811" s="54"/>
      <c r="H811" s="54"/>
      <c r="I811" s="7"/>
      <c r="J811" s="9"/>
      <c r="K811" s="21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2.75" customHeight="1" x14ac:dyDescent="0.25">
      <c r="A812" s="20"/>
      <c r="B812" s="20"/>
      <c r="C812" s="14"/>
      <c r="D812" s="14"/>
      <c r="E812" s="5"/>
      <c r="F812" s="53"/>
      <c r="G812" s="54"/>
      <c r="H812" s="54"/>
      <c r="I812" s="7"/>
      <c r="J812" s="9"/>
      <c r="K812" s="21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2.75" customHeight="1" x14ac:dyDescent="0.25">
      <c r="A813" s="20"/>
      <c r="B813" s="20"/>
      <c r="C813" s="14"/>
      <c r="D813" s="14"/>
      <c r="E813" s="5"/>
      <c r="F813" s="53"/>
      <c r="G813" s="54"/>
      <c r="H813" s="54"/>
      <c r="I813" s="7"/>
      <c r="J813" s="9"/>
      <c r="K813" s="21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2.75" customHeight="1" x14ac:dyDescent="0.25">
      <c r="A814" s="20"/>
      <c r="B814" s="20"/>
      <c r="C814" s="14"/>
      <c r="D814" s="14"/>
      <c r="E814" s="5"/>
      <c r="F814" s="53"/>
      <c r="G814" s="54"/>
      <c r="H814" s="54"/>
      <c r="I814" s="7"/>
      <c r="J814" s="9"/>
      <c r="K814" s="21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2.75" customHeight="1" x14ac:dyDescent="0.25">
      <c r="A815" s="20"/>
      <c r="B815" s="20"/>
      <c r="C815" s="14"/>
      <c r="D815" s="14"/>
      <c r="E815" s="5"/>
      <c r="F815" s="53"/>
      <c r="G815" s="54"/>
      <c r="H815" s="54"/>
      <c r="I815" s="7"/>
      <c r="J815" s="9"/>
      <c r="K815" s="21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2.75" customHeight="1" x14ac:dyDescent="0.25">
      <c r="A816" s="20"/>
      <c r="B816" s="20"/>
      <c r="C816" s="14"/>
      <c r="D816" s="14"/>
      <c r="E816" s="5"/>
      <c r="F816" s="53"/>
      <c r="G816" s="54"/>
      <c r="H816" s="54"/>
      <c r="I816" s="7"/>
      <c r="J816" s="9"/>
      <c r="K816" s="21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2.75" customHeight="1" x14ac:dyDescent="0.25">
      <c r="A817" s="20"/>
      <c r="B817" s="20"/>
      <c r="C817" s="14"/>
      <c r="D817" s="14"/>
      <c r="E817" s="5"/>
      <c r="F817" s="53"/>
      <c r="G817" s="54"/>
      <c r="H817" s="54"/>
      <c r="I817" s="7"/>
      <c r="J817" s="9"/>
      <c r="K817" s="21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2.75" customHeight="1" x14ac:dyDescent="0.25">
      <c r="A818" s="20"/>
      <c r="B818" s="20"/>
      <c r="C818" s="14"/>
      <c r="D818" s="14"/>
      <c r="E818" s="5"/>
      <c r="F818" s="53"/>
      <c r="G818" s="54"/>
      <c r="H818" s="54"/>
      <c r="I818" s="7"/>
      <c r="J818" s="9"/>
      <c r="K818" s="21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2.75" customHeight="1" x14ac:dyDescent="0.25">
      <c r="A819" s="20"/>
      <c r="B819" s="20"/>
      <c r="C819" s="14"/>
      <c r="D819" s="14"/>
      <c r="E819" s="5"/>
      <c r="F819" s="53"/>
      <c r="G819" s="54"/>
      <c r="H819" s="54"/>
      <c r="I819" s="7"/>
      <c r="J819" s="9"/>
      <c r="K819" s="21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2.75" customHeight="1" x14ac:dyDescent="0.25">
      <c r="A820" s="20"/>
      <c r="B820" s="20"/>
      <c r="C820" s="14"/>
      <c r="D820" s="14"/>
      <c r="E820" s="5"/>
      <c r="F820" s="53"/>
      <c r="G820" s="54"/>
      <c r="H820" s="54"/>
      <c r="I820" s="7"/>
      <c r="J820" s="9"/>
      <c r="K820" s="21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2.75" customHeight="1" x14ac:dyDescent="0.25">
      <c r="A821" s="20"/>
      <c r="B821" s="20"/>
      <c r="C821" s="14"/>
      <c r="D821" s="14"/>
      <c r="E821" s="5"/>
      <c r="F821" s="53"/>
      <c r="G821" s="54"/>
      <c r="H821" s="54"/>
      <c r="I821" s="7"/>
      <c r="J821" s="9"/>
      <c r="K821" s="21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2.75" customHeight="1" x14ac:dyDescent="0.25">
      <c r="A822" s="20"/>
      <c r="B822" s="20"/>
      <c r="C822" s="14"/>
      <c r="D822" s="14"/>
      <c r="E822" s="5"/>
      <c r="F822" s="53"/>
      <c r="G822" s="54"/>
      <c r="H822" s="54"/>
      <c r="I822" s="7"/>
      <c r="J822" s="9"/>
      <c r="K822" s="21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2.75" customHeight="1" x14ac:dyDescent="0.25">
      <c r="A823" s="20"/>
      <c r="B823" s="20"/>
      <c r="C823" s="14"/>
      <c r="D823" s="14"/>
      <c r="E823" s="5"/>
      <c r="F823" s="53"/>
      <c r="G823" s="54"/>
      <c r="H823" s="54"/>
      <c r="I823" s="7"/>
      <c r="J823" s="9"/>
      <c r="K823" s="21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2.75" customHeight="1" x14ac:dyDescent="0.25">
      <c r="A824" s="20"/>
      <c r="B824" s="20"/>
      <c r="C824" s="14"/>
      <c r="D824" s="14"/>
      <c r="E824" s="5"/>
      <c r="F824" s="53"/>
      <c r="G824" s="54"/>
      <c r="H824" s="54"/>
      <c r="I824" s="7"/>
      <c r="J824" s="9"/>
      <c r="K824" s="21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2.75" customHeight="1" x14ac:dyDescent="0.25">
      <c r="A825" s="20"/>
      <c r="B825" s="20"/>
      <c r="C825" s="14"/>
      <c r="D825" s="14"/>
      <c r="E825" s="5"/>
      <c r="F825" s="53"/>
      <c r="G825" s="54"/>
      <c r="H825" s="54"/>
      <c r="I825" s="7"/>
      <c r="J825" s="9"/>
      <c r="K825" s="21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2.75" customHeight="1" x14ac:dyDescent="0.25">
      <c r="A826" s="20"/>
      <c r="B826" s="20"/>
      <c r="C826" s="14"/>
      <c r="D826" s="14"/>
      <c r="E826" s="5"/>
      <c r="F826" s="53"/>
      <c r="G826" s="54"/>
      <c r="H826" s="54"/>
      <c r="I826" s="7"/>
      <c r="J826" s="9"/>
      <c r="K826" s="21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2.75" customHeight="1" x14ac:dyDescent="0.25">
      <c r="A827" s="20"/>
      <c r="B827" s="20"/>
      <c r="C827" s="14"/>
      <c r="D827" s="14"/>
      <c r="E827" s="5"/>
      <c r="F827" s="53"/>
      <c r="G827" s="54"/>
      <c r="H827" s="54"/>
      <c r="I827" s="7"/>
      <c r="J827" s="9"/>
      <c r="K827" s="21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 customHeight="1" x14ac:dyDescent="0.25">
      <c r="A828" s="20"/>
      <c r="B828" s="20"/>
      <c r="C828" s="14"/>
      <c r="D828" s="14"/>
      <c r="E828" s="5"/>
      <c r="F828" s="53"/>
      <c r="G828" s="54"/>
      <c r="H828" s="54"/>
      <c r="I828" s="7"/>
      <c r="J828" s="9"/>
      <c r="K828" s="21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 customHeight="1" x14ac:dyDescent="0.25">
      <c r="A829" s="20"/>
      <c r="B829" s="20"/>
      <c r="C829" s="14"/>
      <c r="D829" s="14"/>
      <c r="E829" s="5"/>
      <c r="F829" s="53"/>
      <c r="G829" s="54"/>
      <c r="H829" s="54"/>
      <c r="I829" s="7"/>
      <c r="J829" s="9"/>
      <c r="K829" s="21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2.75" customHeight="1" x14ac:dyDescent="0.25">
      <c r="A830" s="20"/>
      <c r="B830" s="20"/>
      <c r="C830" s="14"/>
      <c r="D830" s="14"/>
      <c r="E830" s="5"/>
      <c r="F830" s="53"/>
      <c r="G830" s="54"/>
      <c r="H830" s="54"/>
      <c r="I830" s="7"/>
      <c r="J830" s="9"/>
      <c r="K830" s="21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2.75" customHeight="1" x14ac:dyDescent="0.25">
      <c r="A831" s="20"/>
      <c r="B831" s="20"/>
      <c r="C831" s="14"/>
      <c r="D831" s="14"/>
      <c r="E831" s="5"/>
      <c r="F831" s="53"/>
      <c r="G831" s="54"/>
      <c r="H831" s="54"/>
      <c r="I831" s="7"/>
      <c r="J831" s="9"/>
      <c r="K831" s="21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2.75" customHeight="1" x14ac:dyDescent="0.25">
      <c r="A832" s="20"/>
      <c r="B832" s="20"/>
      <c r="C832" s="14"/>
      <c r="D832" s="14"/>
      <c r="E832" s="5"/>
      <c r="F832" s="53"/>
      <c r="G832" s="54"/>
      <c r="H832" s="54"/>
      <c r="I832" s="7"/>
      <c r="J832" s="9"/>
      <c r="K832" s="21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2.75" customHeight="1" x14ac:dyDescent="0.25">
      <c r="A833" s="20"/>
      <c r="B833" s="20"/>
      <c r="C833" s="14"/>
      <c r="D833" s="14"/>
      <c r="E833" s="5"/>
      <c r="F833" s="53"/>
      <c r="G833" s="54"/>
      <c r="H833" s="54"/>
      <c r="I833" s="7"/>
      <c r="J833" s="9"/>
      <c r="K833" s="21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2.75" customHeight="1" x14ac:dyDescent="0.25">
      <c r="A834" s="20"/>
      <c r="B834" s="20"/>
      <c r="C834" s="14"/>
      <c r="D834" s="14"/>
      <c r="E834" s="5"/>
      <c r="F834" s="53"/>
      <c r="G834" s="54"/>
      <c r="H834" s="54"/>
      <c r="I834" s="7"/>
      <c r="J834" s="9"/>
      <c r="K834" s="21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2.75" customHeight="1" x14ac:dyDescent="0.25">
      <c r="A835" s="20"/>
      <c r="B835" s="20"/>
      <c r="C835" s="14"/>
      <c r="D835" s="14"/>
      <c r="E835" s="5"/>
      <c r="F835" s="53"/>
      <c r="G835" s="54"/>
      <c r="H835" s="54"/>
      <c r="I835" s="7"/>
      <c r="J835" s="9"/>
      <c r="K835" s="21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 customHeight="1" x14ac:dyDescent="0.25">
      <c r="A836" s="20"/>
      <c r="B836" s="20"/>
      <c r="C836" s="14"/>
      <c r="D836" s="14"/>
      <c r="E836" s="5"/>
      <c r="F836" s="53"/>
      <c r="G836" s="54"/>
      <c r="H836" s="54"/>
      <c r="I836" s="7"/>
      <c r="J836" s="9"/>
      <c r="K836" s="21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 customHeight="1" x14ac:dyDescent="0.25">
      <c r="A837" s="20"/>
      <c r="B837" s="20"/>
      <c r="C837" s="14"/>
      <c r="D837" s="14"/>
      <c r="E837" s="5"/>
      <c r="F837" s="53"/>
      <c r="G837" s="54"/>
      <c r="H837" s="54"/>
      <c r="I837" s="7"/>
      <c r="J837" s="9"/>
      <c r="K837" s="21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2.75" customHeight="1" x14ac:dyDescent="0.25">
      <c r="A838" s="20"/>
      <c r="B838" s="20"/>
      <c r="C838" s="14"/>
      <c r="D838" s="14"/>
      <c r="E838" s="5"/>
      <c r="F838" s="53"/>
      <c r="G838" s="54"/>
      <c r="H838" s="54"/>
      <c r="I838" s="7"/>
      <c r="J838" s="9"/>
      <c r="K838" s="21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2.75" customHeight="1" x14ac:dyDescent="0.25">
      <c r="A839" s="20"/>
      <c r="B839" s="20"/>
      <c r="C839" s="14"/>
      <c r="D839" s="14"/>
      <c r="E839" s="5"/>
      <c r="F839" s="53"/>
      <c r="G839" s="54"/>
      <c r="H839" s="54"/>
      <c r="I839" s="7"/>
      <c r="J839" s="9"/>
      <c r="K839" s="21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2.75" customHeight="1" x14ac:dyDescent="0.25">
      <c r="A840" s="20"/>
      <c r="B840" s="20"/>
      <c r="C840" s="14"/>
      <c r="D840" s="14"/>
      <c r="E840" s="5"/>
      <c r="F840" s="53"/>
      <c r="G840" s="54"/>
      <c r="H840" s="54"/>
      <c r="I840" s="7"/>
      <c r="J840" s="9"/>
      <c r="K840" s="21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2.75" customHeight="1" x14ac:dyDescent="0.25">
      <c r="A841" s="20"/>
      <c r="B841" s="20"/>
      <c r="C841" s="14"/>
      <c r="D841" s="14"/>
      <c r="E841" s="5"/>
      <c r="F841" s="53"/>
      <c r="G841" s="54"/>
      <c r="H841" s="54"/>
      <c r="I841" s="7"/>
      <c r="J841" s="9"/>
      <c r="K841" s="21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 customHeight="1" x14ac:dyDescent="0.25">
      <c r="A842" s="20"/>
      <c r="B842" s="20"/>
      <c r="C842" s="14"/>
      <c r="D842" s="14"/>
      <c r="E842" s="5"/>
      <c r="F842" s="53"/>
      <c r="G842" s="54"/>
      <c r="H842" s="54"/>
      <c r="I842" s="7"/>
      <c r="J842" s="9"/>
      <c r="K842" s="21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2.75" customHeight="1" x14ac:dyDescent="0.25">
      <c r="A843" s="20"/>
      <c r="B843" s="20"/>
      <c r="C843" s="14"/>
      <c r="D843" s="14"/>
      <c r="E843" s="5"/>
      <c r="F843" s="53"/>
      <c r="G843" s="54"/>
      <c r="H843" s="54"/>
      <c r="I843" s="7"/>
      <c r="J843" s="9"/>
      <c r="K843" s="21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2.75" customHeight="1" x14ac:dyDescent="0.25">
      <c r="A844" s="20"/>
      <c r="B844" s="20"/>
      <c r="C844" s="14"/>
      <c r="D844" s="14"/>
      <c r="E844" s="5"/>
      <c r="F844" s="53"/>
      <c r="G844" s="54"/>
      <c r="H844" s="54"/>
      <c r="I844" s="7"/>
      <c r="J844" s="9"/>
      <c r="K844" s="21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2.75" customHeight="1" x14ac:dyDescent="0.25">
      <c r="A845" s="20"/>
      <c r="B845" s="20"/>
      <c r="C845" s="14"/>
      <c r="D845" s="14"/>
      <c r="E845" s="5"/>
      <c r="F845" s="53"/>
      <c r="G845" s="54"/>
      <c r="H845" s="54"/>
      <c r="I845" s="7"/>
      <c r="J845" s="9"/>
      <c r="K845" s="21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2.75" customHeight="1" x14ac:dyDescent="0.25">
      <c r="A846" s="20"/>
      <c r="B846" s="20"/>
      <c r="C846" s="14"/>
      <c r="D846" s="14"/>
      <c r="E846" s="5"/>
      <c r="F846" s="53"/>
      <c r="G846" s="54"/>
      <c r="H846" s="54"/>
      <c r="I846" s="7"/>
      <c r="J846" s="9"/>
      <c r="K846" s="21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2.75" customHeight="1" x14ac:dyDescent="0.25">
      <c r="A847" s="20"/>
      <c r="B847" s="20"/>
      <c r="C847" s="14"/>
      <c r="D847" s="14"/>
      <c r="E847" s="5"/>
      <c r="F847" s="53"/>
      <c r="G847" s="54"/>
      <c r="H847" s="54"/>
      <c r="I847" s="7"/>
      <c r="J847" s="9"/>
      <c r="K847" s="21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 customHeight="1" x14ac:dyDescent="0.25">
      <c r="A848" s="20"/>
      <c r="B848" s="20"/>
      <c r="C848" s="14"/>
      <c r="D848" s="14"/>
      <c r="E848" s="5"/>
      <c r="F848" s="53"/>
      <c r="G848" s="54"/>
      <c r="H848" s="54"/>
      <c r="I848" s="7"/>
      <c r="J848" s="9"/>
      <c r="K848" s="21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 customHeight="1" x14ac:dyDescent="0.25">
      <c r="A849" s="20"/>
      <c r="B849" s="20"/>
      <c r="C849" s="14"/>
      <c r="D849" s="14"/>
      <c r="E849" s="5"/>
      <c r="F849" s="53"/>
      <c r="G849" s="54"/>
      <c r="H849" s="54"/>
      <c r="I849" s="7"/>
      <c r="J849" s="9"/>
      <c r="K849" s="21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2.75" customHeight="1" x14ac:dyDescent="0.25">
      <c r="A850" s="20"/>
      <c r="B850" s="20"/>
      <c r="C850" s="14"/>
      <c r="D850" s="14"/>
      <c r="E850" s="5"/>
      <c r="F850" s="53"/>
      <c r="G850" s="54"/>
      <c r="H850" s="54"/>
      <c r="I850" s="7"/>
      <c r="J850" s="9"/>
      <c r="K850" s="21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2.75" customHeight="1" x14ac:dyDescent="0.25">
      <c r="A851" s="20"/>
      <c r="B851" s="20"/>
      <c r="C851" s="14"/>
      <c r="D851" s="14"/>
      <c r="E851" s="5"/>
      <c r="F851" s="53"/>
      <c r="G851" s="54"/>
      <c r="H851" s="54"/>
      <c r="I851" s="7"/>
      <c r="J851" s="9"/>
      <c r="K851" s="21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2.75" customHeight="1" x14ac:dyDescent="0.25">
      <c r="A852" s="20"/>
      <c r="B852" s="20"/>
      <c r="C852" s="14"/>
      <c r="D852" s="14"/>
      <c r="E852" s="5"/>
      <c r="F852" s="53"/>
      <c r="G852" s="54"/>
      <c r="H852" s="54"/>
      <c r="I852" s="7"/>
      <c r="J852" s="9"/>
      <c r="K852" s="21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2.75" customHeight="1" x14ac:dyDescent="0.25">
      <c r="A853" s="20"/>
      <c r="B853" s="20"/>
      <c r="C853" s="14"/>
      <c r="D853" s="14"/>
      <c r="E853" s="5"/>
      <c r="F853" s="53"/>
      <c r="G853" s="54"/>
      <c r="H853" s="54"/>
      <c r="I853" s="7"/>
      <c r="J853" s="9"/>
      <c r="K853" s="21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2.75" customHeight="1" x14ac:dyDescent="0.25">
      <c r="A854" s="20"/>
      <c r="B854" s="20"/>
      <c r="C854" s="14"/>
      <c r="D854" s="14"/>
      <c r="E854" s="5"/>
      <c r="F854" s="53"/>
      <c r="G854" s="54"/>
      <c r="H854" s="54"/>
      <c r="I854" s="7"/>
      <c r="J854" s="9"/>
      <c r="K854" s="21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2.75" customHeight="1" x14ac:dyDescent="0.25">
      <c r="A855" s="20"/>
      <c r="B855" s="20"/>
      <c r="C855" s="14"/>
      <c r="D855" s="14"/>
      <c r="E855" s="5"/>
      <c r="F855" s="53"/>
      <c r="G855" s="54"/>
      <c r="H855" s="54"/>
      <c r="I855" s="7"/>
      <c r="J855" s="9"/>
      <c r="K855" s="21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2.75" customHeight="1" x14ac:dyDescent="0.25">
      <c r="A856" s="20"/>
      <c r="B856" s="20"/>
      <c r="C856" s="14"/>
      <c r="D856" s="14"/>
      <c r="E856" s="5"/>
      <c r="F856" s="53"/>
      <c r="G856" s="54"/>
      <c r="H856" s="54"/>
      <c r="I856" s="7"/>
      <c r="J856" s="9"/>
      <c r="K856" s="21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2.75" customHeight="1" x14ac:dyDescent="0.25">
      <c r="A857" s="20"/>
      <c r="B857" s="20"/>
      <c r="C857" s="14"/>
      <c r="D857" s="14"/>
      <c r="E857" s="5"/>
      <c r="F857" s="53"/>
      <c r="G857" s="54"/>
      <c r="H857" s="54"/>
      <c r="I857" s="7"/>
      <c r="J857" s="9"/>
      <c r="K857" s="21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 customHeight="1" x14ac:dyDescent="0.25">
      <c r="A858" s="20"/>
      <c r="B858" s="20"/>
      <c r="C858" s="14"/>
      <c r="D858" s="14"/>
      <c r="E858" s="5"/>
      <c r="F858" s="53"/>
      <c r="G858" s="54"/>
      <c r="H858" s="54"/>
      <c r="I858" s="7"/>
      <c r="J858" s="9"/>
      <c r="K858" s="21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 customHeight="1" x14ac:dyDescent="0.25">
      <c r="A859" s="20"/>
      <c r="B859" s="20"/>
      <c r="C859" s="14"/>
      <c r="D859" s="14"/>
      <c r="E859" s="5"/>
      <c r="F859" s="53"/>
      <c r="G859" s="54"/>
      <c r="H859" s="54"/>
      <c r="I859" s="7"/>
      <c r="J859" s="9"/>
      <c r="K859" s="21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 customHeight="1" x14ac:dyDescent="0.25">
      <c r="A860" s="20"/>
      <c r="B860" s="20"/>
      <c r="C860" s="14"/>
      <c r="D860" s="14"/>
      <c r="E860" s="5"/>
      <c r="F860" s="53"/>
      <c r="G860" s="54"/>
      <c r="H860" s="54"/>
      <c r="I860" s="7"/>
      <c r="J860" s="9"/>
      <c r="K860" s="21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 customHeight="1" x14ac:dyDescent="0.25">
      <c r="A861" s="20"/>
      <c r="B861" s="20"/>
      <c r="C861" s="14"/>
      <c r="D861" s="14"/>
      <c r="E861" s="5"/>
      <c r="F861" s="53"/>
      <c r="G861" s="54"/>
      <c r="H861" s="54"/>
      <c r="I861" s="7"/>
      <c r="J861" s="9"/>
      <c r="K861" s="21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2.75" customHeight="1" x14ac:dyDescent="0.25">
      <c r="A862" s="20"/>
      <c r="B862" s="20"/>
      <c r="C862" s="14"/>
      <c r="D862" s="14"/>
      <c r="E862" s="5"/>
      <c r="F862" s="53"/>
      <c r="G862" s="54"/>
      <c r="H862" s="54"/>
      <c r="I862" s="7"/>
      <c r="J862" s="9"/>
      <c r="K862" s="21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2.75" customHeight="1" x14ac:dyDescent="0.25">
      <c r="A863" s="20"/>
      <c r="B863" s="20"/>
      <c r="C863" s="14"/>
      <c r="D863" s="14"/>
      <c r="E863" s="5"/>
      <c r="F863" s="53"/>
      <c r="G863" s="54"/>
      <c r="H863" s="54"/>
      <c r="I863" s="7"/>
      <c r="J863" s="9"/>
      <c r="K863" s="21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2.75" customHeight="1" x14ac:dyDescent="0.25">
      <c r="A864" s="20"/>
      <c r="B864" s="20"/>
      <c r="C864" s="14"/>
      <c r="D864" s="14"/>
      <c r="E864" s="5"/>
      <c r="F864" s="53"/>
      <c r="G864" s="54"/>
      <c r="H864" s="54"/>
      <c r="I864" s="7"/>
      <c r="J864" s="9"/>
      <c r="K864" s="21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 customHeight="1" x14ac:dyDescent="0.25">
      <c r="A865" s="20"/>
      <c r="B865" s="20"/>
      <c r="C865" s="14"/>
      <c r="D865" s="14"/>
      <c r="E865" s="5"/>
      <c r="F865" s="53"/>
      <c r="G865" s="54"/>
      <c r="H865" s="54"/>
      <c r="I865" s="7"/>
      <c r="J865" s="9"/>
      <c r="K865" s="21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 customHeight="1" x14ac:dyDescent="0.25">
      <c r="A866" s="20"/>
      <c r="B866" s="20"/>
      <c r="C866" s="14"/>
      <c r="D866" s="14"/>
      <c r="E866" s="5"/>
      <c r="F866" s="53"/>
      <c r="G866" s="54"/>
      <c r="H866" s="54"/>
      <c r="I866" s="7"/>
      <c r="J866" s="9"/>
      <c r="K866" s="21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 customHeight="1" x14ac:dyDescent="0.25">
      <c r="A867" s="20"/>
      <c r="B867" s="20"/>
      <c r="C867" s="14"/>
      <c r="D867" s="14"/>
      <c r="E867" s="5"/>
      <c r="F867" s="53"/>
      <c r="G867" s="54"/>
      <c r="H867" s="54"/>
      <c r="I867" s="7"/>
      <c r="J867" s="9"/>
      <c r="K867" s="21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 customHeight="1" x14ac:dyDescent="0.25">
      <c r="A868" s="20"/>
      <c r="B868" s="20"/>
      <c r="C868" s="14"/>
      <c r="D868" s="14"/>
      <c r="E868" s="5"/>
      <c r="F868" s="53"/>
      <c r="G868" s="54"/>
      <c r="H868" s="54"/>
      <c r="I868" s="7"/>
      <c r="J868" s="9"/>
      <c r="K868" s="21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 customHeight="1" x14ac:dyDescent="0.25">
      <c r="A869" s="20"/>
      <c r="B869" s="20"/>
      <c r="C869" s="14"/>
      <c r="D869" s="14"/>
      <c r="E869" s="5"/>
      <c r="F869" s="53"/>
      <c r="G869" s="54"/>
      <c r="H869" s="54"/>
      <c r="I869" s="7"/>
      <c r="J869" s="9"/>
      <c r="K869" s="21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 customHeight="1" x14ac:dyDescent="0.25">
      <c r="A870" s="20"/>
      <c r="B870" s="20"/>
      <c r="C870" s="14"/>
      <c r="D870" s="14"/>
      <c r="E870" s="5"/>
      <c r="F870" s="53"/>
      <c r="G870" s="54"/>
      <c r="H870" s="54"/>
      <c r="I870" s="7"/>
      <c r="J870" s="9"/>
      <c r="K870" s="21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 customHeight="1" x14ac:dyDescent="0.25">
      <c r="A871" s="20"/>
      <c r="B871" s="20"/>
      <c r="C871" s="14"/>
      <c r="D871" s="14"/>
      <c r="E871" s="5"/>
      <c r="F871" s="53"/>
      <c r="G871" s="54"/>
      <c r="H871" s="54"/>
      <c r="I871" s="7"/>
      <c r="J871" s="9"/>
      <c r="K871" s="21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 customHeight="1" x14ac:dyDescent="0.25">
      <c r="A872" s="20"/>
      <c r="B872" s="20"/>
      <c r="C872" s="14"/>
      <c r="D872" s="14"/>
      <c r="E872" s="5"/>
      <c r="F872" s="53"/>
      <c r="G872" s="54"/>
      <c r="H872" s="54"/>
      <c r="I872" s="7"/>
      <c r="J872" s="9"/>
      <c r="K872" s="21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2.75" customHeight="1" x14ac:dyDescent="0.25">
      <c r="A873" s="20"/>
      <c r="B873" s="20"/>
      <c r="C873" s="14"/>
      <c r="D873" s="14"/>
      <c r="E873" s="5"/>
      <c r="F873" s="53"/>
      <c r="G873" s="54"/>
      <c r="H873" s="54"/>
      <c r="I873" s="7"/>
      <c r="J873" s="9"/>
      <c r="K873" s="21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2.75" customHeight="1" x14ac:dyDescent="0.25">
      <c r="A874" s="20"/>
      <c r="B874" s="20"/>
      <c r="C874" s="14"/>
      <c r="D874" s="14"/>
      <c r="E874" s="5"/>
      <c r="F874" s="53"/>
      <c r="G874" s="54"/>
      <c r="H874" s="54"/>
      <c r="I874" s="7"/>
      <c r="J874" s="9"/>
      <c r="K874" s="21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2.75" customHeight="1" x14ac:dyDescent="0.25">
      <c r="A875" s="20"/>
      <c r="B875" s="20"/>
      <c r="C875" s="14"/>
      <c r="D875" s="14"/>
      <c r="E875" s="5"/>
      <c r="F875" s="53"/>
      <c r="G875" s="54"/>
      <c r="H875" s="54"/>
      <c r="I875" s="7"/>
      <c r="J875" s="9"/>
      <c r="K875" s="21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2.75" customHeight="1" x14ac:dyDescent="0.25">
      <c r="A876" s="20"/>
      <c r="B876" s="20"/>
      <c r="C876" s="14"/>
      <c r="D876" s="14"/>
      <c r="E876" s="5"/>
      <c r="F876" s="53"/>
      <c r="G876" s="54"/>
      <c r="H876" s="54"/>
      <c r="I876" s="7"/>
      <c r="J876" s="9"/>
      <c r="K876" s="21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2.75" customHeight="1" x14ac:dyDescent="0.25">
      <c r="A877" s="20"/>
      <c r="B877" s="20"/>
      <c r="C877" s="14"/>
      <c r="D877" s="14"/>
      <c r="E877" s="5"/>
      <c r="F877" s="53"/>
      <c r="G877" s="54"/>
      <c r="H877" s="54"/>
      <c r="I877" s="7"/>
      <c r="J877" s="9"/>
      <c r="K877" s="21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2.75" customHeight="1" x14ac:dyDescent="0.25">
      <c r="A878" s="20"/>
      <c r="B878" s="20"/>
      <c r="C878" s="14"/>
      <c r="D878" s="14"/>
      <c r="E878" s="5"/>
      <c r="F878" s="53"/>
      <c r="G878" s="54"/>
      <c r="H878" s="54"/>
      <c r="I878" s="7"/>
      <c r="J878" s="9"/>
      <c r="K878" s="21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2.75" customHeight="1" x14ac:dyDescent="0.25">
      <c r="A879" s="20"/>
      <c r="B879" s="20"/>
      <c r="C879" s="14"/>
      <c r="D879" s="14"/>
      <c r="E879" s="5"/>
      <c r="F879" s="53"/>
      <c r="G879" s="54"/>
      <c r="H879" s="54"/>
      <c r="I879" s="7"/>
      <c r="J879" s="9"/>
      <c r="K879" s="21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2.75" customHeight="1" x14ac:dyDescent="0.25">
      <c r="A880" s="20"/>
      <c r="B880" s="20"/>
      <c r="C880" s="14"/>
      <c r="D880" s="14"/>
      <c r="E880" s="5"/>
      <c r="F880" s="53"/>
      <c r="G880" s="54"/>
      <c r="H880" s="54"/>
      <c r="I880" s="7"/>
      <c r="J880" s="9"/>
      <c r="K880" s="21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2.75" customHeight="1" x14ac:dyDescent="0.25">
      <c r="A881" s="20"/>
      <c r="B881" s="20"/>
      <c r="C881" s="14"/>
      <c r="D881" s="14"/>
      <c r="E881" s="5"/>
      <c r="F881" s="53"/>
      <c r="G881" s="54"/>
      <c r="H881" s="54"/>
      <c r="I881" s="7"/>
      <c r="J881" s="9"/>
      <c r="K881" s="21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2.75" customHeight="1" x14ac:dyDescent="0.25">
      <c r="A882" s="20"/>
      <c r="B882" s="20"/>
      <c r="C882" s="14"/>
      <c r="D882" s="14"/>
      <c r="E882" s="5"/>
      <c r="F882" s="53"/>
      <c r="G882" s="54"/>
      <c r="H882" s="54"/>
      <c r="I882" s="7"/>
      <c r="J882" s="9"/>
      <c r="K882" s="21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2.75" customHeight="1" x14ac:dyDescent="0.25">
      <c r="A883" s="20"/>
      <c r="B883" s="20"/>
      <c r="C883" s="14"/>
      <c r="D883" s="14"/>
      <c r="E883" s="5"/>
      <c r="F883" s="53"/>
      <c r="G883" s="54"/>
      <c r="H883" s="54"/>
      <c r="I883" s="7"/>
      <c r="J883" s="9"/>
      <c r="K883" s="21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2.75" customHeight="1" x14ac:dyDescent="0.25">
      <c r="A884" s="20"/>
      <c r="B884" s="20"/>
      <c r="C884" s="14"/>
      <c r="D884" s="14"/>
      <c r="E884" s="5"/>
      <c r="F884" s="53"/>
      <c r="G884" s="54"/>
      <c r="H884" s="54"/>
      <c r="I884" s="7"/>
      <c r="J884" s="9"/>
      <c r="K884" s="21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2.75" customHeight="1" x14ac:dyDescent="0.25">
      <c r="A885" s="20"/>
      <c r="B885" s="20"/>
      <c r="C885" s="14"/>
      <c r="D885" s="14"/>
      <c r="E885" s="5"/>
      <c r="F885" s="53"/>
      <c r="G885" s="54"/>
      <c r="H885" s="54"/>
      <c r="I885" s="7"/>
      <c r="J885" s="9"/>
      <c r="K885" s="21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2.75" customHeight="1" x14ac:dyDescent="0.25">
      <c r="A886" s="20"/>
      <c r="B886" s="20"/>
      <c r="C886" s="14"/>
      <c r="D886" s="14"/>
      <c r="E886" s="5"/>
      <c r="F886" s="53"/>
      <c r="G886" s="54"/>
      <c r="H886" s="54"/>
      <c r="I886" s="7"/>
      <c r="J886" s="9"/>
      <c r="K886" s="21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2.75" customHeight="1" x14ac:dyDescent="0.25">
      <c r="A887" s="20"/>
      <c r="B887" s="20"/>
      <c r="C887" s="14"/>
      <c r="D887" s="14"/>
      <c r="E887" s="5"/>
      <c r="F887" s="53"/>
      <c r="G887" s="54"/>
      <c r="H887" s="54"/>
      <c r="I887" s="7"/>
      <c r="J887" s="9"/>
      <c r="K887" s="21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2.75" customHeight="1" x14ac:dyDescent="0.25">
      <c r="A888" s="20"/>
      <c r="B888" s="20"/>
      <c r="C888" s="14"/>
      <c r="D888" s="14"/>
      <c r="E888" s="5"/>
      <c r="F888" s="53"/>
      <c r="G888" s="54"/>
      <c r="H888" s="54"/>
      <c r="I888" s="7"/>
      <c r="J888" s="9"/>
      <c r="K888" s="21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2.75" customHeight="1" x14ac:dyDescent="0.25">
      <c r="A889" s="20"/>
      <c r="B889" s="20"/>
      <c r="C889" s="14"/>
      <c r="D889" s="14"/>
      <c r="E889" s="5"/>
      <c r="F889" s="53"/>
      <c r="G889" s="54"/>
      <c r="H889" s="54"/>
      <c r="I889" s="7"/>
      <c r="J889" s="9"/>
      <c r="K889" s="21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2.75" customHeight="1" x14ac:dyDescent="0.25">
      <c r="A890" s="20"/>
      <c r="B890" s="20"/>
      <c r="C890" s="14"/>
      <c r="D890" s="14"/>
      <c r="E890" s="5"/>
      <c r="F890" s="53"/>
      <c r="G890" s="54"/>
      <c r="H890" s="54"/>
      <c r="I890" s="7"/>
      <c r="J890" s="9"/>
      <c r="K890" s="21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2.75" customHeight="1" x14ac:dyDescent="0.25">
      <c r="A891" s="20"/>
      <c r="B891" s="20"/>
      <c r="C891" s="14"/>
      <c r="D891" s="14"/>
      <c r="E891" s="5"/>
      <c r="F891" s="53"/>
      <c r="G891" s="54"/>
      <c r="H891" s="54"/>
      <c r="I891" s="7"/>
      <c r="J891" s="9"/>
      <c r="K891" s="21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2.75" customHeight="1" x14ac:dyDescent="0.25">
      <c r="A892" s="20"/>
      <c r="B892" s="20"/>
      <c r="C892" s="14"/>
      <c r="D892" s="14"/>
      <c r="E892" s="5"/>
      <c r="F892" s="53"/>
      <c r="G892" s="54"/>
      <c r="H892" s="54"/>
      <c r="I892" s="7"/>
      <c r="J892" s="9"/>
      <c r="K892" s="21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2.75" customHeight="1" x14ac:dyDescent="0.25">
      <c r="A893" s="20"/>
      <c r="B893" s="20"/>
      <c r="C893" s="14"/>
      <c r="D893" s="14"/>
      <c r="E893" s="5"/>
      <c r="F893" s="53"/>
      <c r="G893" s="54"/>
      <c r="H893" s="54"/>
      <c r="I893" s="7"/>
      <c r="J893" s="9"/>
      <c r="K893" s="21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2.75" customHeight="1" x14ac:dyDescent="0.25">
      <c r="A894" s="20"/>
      <c r="B894" s="20"/>
      <c r="C894" s="14"/>
      <c r="D894" s="14"/>
      <c r="E894" s="5"/>
      <c r="F894" s="53"/>
      <c r="G894" s="54"/>
      <c r="H894" s="54"/>
      <c r="I894" s="7"/>
      <c r="J894" s="9"/>
      <c r="K894" s="21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2.75" customHeight="1" x14ac:dyDescent="0.25">
      <c r="A895" s="20"/>
      <c r="B895" s="20"/>
      <c r="C895" s="14"/>
      <c r="D895" s="14"/>
      <c r="E895" s="5"/>
      <c r="F895" s="53"/>
      <c r="G895" s="54"/>
      <c r="H895" s="54"/>
      <c r="I895" s="7"/>
      <c r="J895" s="9"/>
      <c r="K895" s="21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2.75" customHeight="1" x14ac:dyDescent="0.25">
      <c r="A896" s="20"/>
      <c r="B896" s="20"/>
      <c r="C896" s="14"/>
      <c r="D896" s="14"/>
      <c r="E896" s="5"/>
      <c r="F896" s="53"/>
      <c r="G896" s="54"/>
      <c r="H896" s="54"/>
      <c r="I896" s="7"/>
      <c r="J896" s="9"/>
      <c r="K896" s="21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2.75" customHeight="1" x14ac:dyDescent="0.25">
      <c r="A897" s="20"/>
      <c r="B897" s="20"/>
      <c r="C897" s="14"/>
      <c r="D897" s="14"/>
      <c r="E897" s="5"/>
      <c r="F897" s="53"/>
      <c r="G897" s="54"/>
      <c r="H897" s="54"/>
      <c r="I897" s="7"/>
      <c r="J897" s="9"/>
      <c r="K897" s="21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 customHeight="1" x14ac:dyDescent="0.25">
      <c r="A898" s="20"/>
      <c r="B898" s="20"/>
      <c r="C898" s="14"/>
      <c r="D898" s="14"/>
      <c r="E898" s="5"/>
      <c r="F898" s="53"/>
      <c r="G898" s="54"/>
      <c r="H898" s="54"/>
      <c r="I898" s="7"/>
      <c r="J898" s="9"/>
      <c r="K898" s="21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 customHeight="1" x14ac:dyDescent="0.25">
      <c r="A899" s="20"/>
      <c r="B899" s="20"/>
      <c r="C899" s="14"/>
      <c r="D899" s="14"/>
      <c r="E899" s="5"/>
      <c r="F899" s="53"/>
      <c r="G899" s="54"/>
      <c r="H899" s="54"/>
      <c r="I899" s="7"/>
      <c r="J899" s="9"/>
      <c r="K899" s="21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2.75" customHeight="1" x14ac:dyDescent="0.25">
      <c r="A900" s="20"/>
      <c r="B900" s="20"/>
      <c r="C900" s="14"/>
      <c r="D900" s="14"/>
      <c r="E900" s="5"/>
      <c r="F900" s="53"/>
      <c r="G900" s="54"/>
      <c r="H900" s="54"/>
      <c r="I900" s="7"/>
      <c r="J900" s="9"/>
      <c r="K900" s="21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2.75" customHeight="1" x14ac:dyDescent="0.25">
      <c r="A901" s="20"/>
      <c r="B901" s="20"/>
      <c r="C901" s="14"/>
      <c r="D901" s="14"/>
      <c r="E901" s="5"/>
      <c r="F901" s="53"/>
      <c r="G901" s="54"/>
      <c r="H901" s="54"/>
      <c r="I901" s="7"/>
      <c r="J901" s="9"/>
      <c r="K901" s="21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2.75" customHeight="1" x14ac:dyDescent="0.25">
      <c r="A902" s="20"/>
      <c r="B902" s="20"/>
      <c r="C902" s="14"/>
      <c r="D902" s="14"/>
      <c r="E902" s="5"/>
      <c r="F902" s="53"/>
      <c r="G902" s="54"/>
      <c r="H902" s="54"/>
      <c r="I902" s="7"/>
      <c r="J902" s="9"/>
      <c r="K902" s="21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2.75" customHeight="1" x14ac:dyDescent="0.25">
      <c r="A903" s="20"/>
      <c r="B903" s="20"/>
      <c r="C903" s="14"/>
      <c r="D903" s="14"/>
      <c r="E903" s="5"/>
      <c r="F903" s="53"/>
      <c r="G903" s="54"/>
      <c r="H903" s="54"/>
      <c r="I903" s="7"/>
      <c r="J903" s="9"/>
      <c r="K903" s="21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2.75" customHeight="1" x14ac:dyDescent="0.25">
      <c r="A904" s="20"/>
      <c r="B904" s="20"/>
      <c r="C904" s="14"/>
      <c r="D904" s="14"/>
      <c r="E904" s="5"/>
      <c r="F904" s="53"/>
      <c r="G904" s="54"/>
      <c r="H904" s="54"/>
      <c r="I904" s="7"/>
      <c r="J904" s="9"/>
      <c r="K904" s="21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2.75" customHeight="1" x14ac:dyDescent="0.25">
      <c r="A905" s="20"/>
      <c r="B905" s="20"/>
      <c r="C905" s="14"/>
      <c r="D905" s="14"/>
      <c r="E905" s="5"/>
      <c r="F905" s="53"/>
      <c r="G905" s="54"/>
      <c r="H905" s="54"/>
      <c r="I905" s="7"/>
      <c r="J905" s="9"/>
      <c r="K905" s="21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 customHeight="1" x14ac:dyDescent="0.25">
      <c r="A906" s="20"/>
      <c r="B906" s="20"/>
      <c r="C906" s="14"/>
      <c r="D906" s="14"/>
      <c r="E906" s="5"/>
      <c r="F906" s="53"/>
      <c r="G906" s="54"/>
      <c r="H906" s="54"/>
      <c r="I906" s="7"/>
      <c r="J906" s="9"/>
      <c r="K906" s="21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 customHeight="1" x14ac:dyDescent="0.25">
      <c r="A907" s="20"/>
      <c r="B907" s="20"/>
      <c r="C907" s="14"/>
      <c r="D907" s="14"/>
      <c r="E907" s="5"/>
      <c r="F907" s="53"/>
      <c r="G907" s="54"/>
      <c r="H907" s="54"/>
      <c r="I907" s="7"/>
      <c r="J907" s="9"/>
      <c r="K907" s="21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2.75" customHeight="1" x14ac:dyDescent="0.25">
      <c r="A908" s="20"/>
      <c r="B908" s="20"/>
      <c r="C908" s="14"/>
      <c r="D908" s="14"/>
      <c r="E908" s="5"/>
      <c r="F908" s="53"/>
      <c r="G908" s="54"/>
      <c r="H908" s="54"/>
      <c r="I908" s="7"/>
      <c r="J908" s="9"/>
      <c r="K908" s="21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2.75" customHeight="1" x14ac:dyDescent="0.25">
      <c r="A909" s="20"/>
      <c r="B909" s="20"/>
      <c r="C909" s="14"/>
      <c r="D909" s="14"/>
      <c r="E909" s="5"/>
      <c r="F909" s="53"/>
      <c r="G909" s="54"/>
      <c r="H909" s="54"/>
      <c r="I909" s="7"/>
      <c r="J909" s="9"/>
      <c r="K909" s="21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2.75" customHeight="1" x14ac:dyDescent="0.25">
      <c r="A910" s="20"/>
      <c r="B910" s="20"/>
      <c r="C910" s="14"/>
      <c r="D910" s="14"/>
      <c r="E910" s="5"/>
      <c r="F910" s="53"/>
      <c r="G910" s="54"/>
      <c r="H910" s="54"/>
      <c r="I910" s="7"/>
      <c r="J910" s="9"/>
      <c r="K910" s="21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2.75" customHeight="1" x14ac:dyDescent="0.25">
      <c r="A911" s="20"/>
      <c r="B911" s="20"/>
      <c r="C911" s="14"/>
      <c r="D911" s="14"/>
      <c r="E911" s="5"/>
      <c r="F911" s="53"/>
      <c r="G911" s="54"/>
      <c r="H911" s="54"/>
      <c r="I911" s="7"/>
      <c r="J911" s="9"/>
      <c r="K911" s="21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 customHeight="1" x14ac:dyDescent="0.25">
      <c r="A912" s="20"/>
      <c r="B912" s="20"/>
      <c r="C912" s="14"/>
      <c r="D912" s="14"/>
      <c r="E912" s="5"/>
      <c r="F912" s="53"/>
      <c r="G912" s="54"/>
      <c r="H912" s="54"/>
      <c r="I912" s="7"/>
      <c r="J912" s="9"/>
      <c r="K912" s="21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2.75" customHeight="1" x14ac:dyDescent="0.25">
      <c r="A913" s="20"/>
      <c r="B913" s="20"/>
      <c r="C913" s="14"/>
      <c r="D913" s="14"/>
      <c r="E913" s="5"/>
      <c r="F913" s="53"/>
      <c r="G913" s="54"/>
      <c r="H913" s="54"/>
      <c r="I913" s="7"/>
      <c r="J913" s="9"/>
      <c r="K913" s="21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2.75" customHeight="1" x14ac:dyDescent="0.25">
      <c r="A914" s="20"/>
      <c r="B914" s="20"/>
      <c r="C914" s="14"/>
      <c r="D914" s="14"/>
      <c r="E914" s="5"/>
      <c r="F914" s="53"/>
      <c r="G914" s="54"/>
      <c r="H914" s="54"/>
      <c r="I914" s="7"/>
      <c r="J914" s="9"/>
      <c r="K914" s="21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2.75" customHeight="1" x14ac:dyDescent="0.25">
      <c r="A915" s="20"/>
      <c r="B915" s="20"/>
      <c r="C915" s="14"/>
      <c r="D915" s="14"/>
      <c r="E915" s="5"/>
      <c r="F915" s="53"/>
      <c r="G915" s="54"/>
      <c r="H915" s="54"/>
      <c r="I915" s="7"/>
      <c r="J915" s="9"/>
      <c r="K915" s="21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2.75" customHeight="1" x14ac:dyDescent="0.25">
      <c r="A916" s="20"/>
      <c r="B916" s="20"/>
      <c r="C916" s="14"/>
      <c r="D916" s="14"/>
      <c r="E916" s="5"/>
      <c r="F916" s="53"/>
      <c r="G916" s="54"/>
      <c r="H916" s="54"/>
      <c r="I916" s="7"/>
      <c r="J916" s="9"/>
      <c r="K916" s="21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2.75" customHeight="1" x14ac:dyDescent="0.25">
      <c r="A917" s="20"/>
      <c r="B917" s="20"/>
      <c r="C917" s="14"/>
      <c r="D917" s="14"/>
      <c r="E917" s="5"/>
      <c r="F917" s="53"/>
      <c r="G917" s="54"/>
      <c r="H917" s="54"/>
      <c r="I917" s="7"/>
      <c r="J917" s="9"/>
      <c r="K917" s="21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 customHeight="1" x14ac:dyDescent="0.25">
      <c r="A918" s="20"/>
      <c r="B918" s="20"/>
      <c r="C918" s="14"/>
      <c r="D918" s="14"/>
      <c r="E918" s="5"/>
      <c r="F918" s="53"/>
      <c r="G918" s="54"/>
      <c r="H918" s="54"/>
      <c r="I918" s="7"/>
      <c r="J918" s="9"/>
      <c r="K918" s="21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 customHeight="1" x14ac:dyDescent="0.25">
      <c r="A919" s="20"/>
      <c r="B919" s="20"/>
      <c r="C919" s="14"/>
      <c r="D919" s="14"/>
      <c r="E919" s="5"/>
      <c r="F919" s="53"/>
      <c r="G919" s="54"/>
      <c r="H919" s="54"/>
      <c r="I919" s="7"/>
      <c r="J919" s="9"/>
      <c r="K919" s="21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2.75" customHeight="1" x14ac:dyDescent="0.25">
      <c r="A920" s="20"/>
      <c r="B920" s="20"/>
      <c r="C920" s="14"/>
      <c r="D920" s="14"/>
      <c r="E920" s="5"/>
      <c r="F920" s="53"/>
      <c r="G920" s="54"/>
      <c r="H920" s="54"/>
      <c r="I920" s="7"/>
      <c r="J920" s="9"/>
      <c r="K920" s="21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2.75" customHeight="1" x14ac:dyDescent="0.25">
      <c r="A921" s="20"/>
      <c r="B921" s="20"/>
      <c r="C921" s="14"/>
      <c r="D921" s="14"/>
      <c r="E921" s="5"/>
      <c r="F921" s="53"/>
      <c r="G921" s="54"/>
      <c r="H921" s="54"/>
      <c r="I921" s="7"/>
      <c r="J921" s="9"/>
      <c r="K921" s="21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2.75" customHeight="1" x14ac:dyDescent="0.25">
      <c r="A922" s="20"/>
      <c r="B922" s="20"/>
      <c r="C922" s="14"/>
      <c r="D922" s="14"/>
      <c r="E922" s="5"/>
      <c r="F922" s="53"/>
      <c r="G922" s="54"/>
      <c r="H922" s="54"/>
      <c r="I922" s="7"/>
      <c r="J922" s="9"/>
      <c r="K922" s="21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2.75" customHeight="1" x14ac:dyDescent="0.25">
      <c r="A923" s="20"/>
      <c r="B923" s="20"/>
      <c r="C923" s="14"/>
      <c r="D923" s="14"/>
      <c r="E923" s="5"/>
      <c r="F923" s="53"/>
      <c r="G923" s="54"/>
      <c r="H923" s="54"/>
      <c r="I923" s="7"/>
      <c r="J923" s="9"/>
      <c r="K923" s="21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2.75" customHeight="1" x14ac:dyDescent="0.25">
      <c r="A924" s="20"/>
      <c r="B924" s="20"/>
      <c r="C924" s="14"/>
      <c r="D924" s="14"/>
      <c r="E924" s="5"/>
      <c r="F924" s="53"/>
      <c r="G924" s="54"/>
      <c r="H924" s="54"/>
      <c r="I924" s="7"/>
      <c r="J924" s="9"/>
      <c r="K924" s="21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2.75" customHeight="1" x14ac:dyDescent="0.25">
      <c r="A925" s="20"/>
      <c r="B925" s="20"/>
      <c r="C925" s="14"/>
      <c r="D925" s="14"/>
      <c r="E925" s="5"/>
      <c r="F925" s="53"/>
      <c r="G925" s="54"/>
      <c r="H925" s="54"/>
      <c r="I925" s="7"/>
      <c r="J925" s="9"/>
      <c r="K925" s="21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2.75" customHeight="1" x14ac:dyDescent="0.25">
      <c r="A926" s="20"/>
      <c r="B926" s="20"/>
      <c r="C926" s="14"/>
      <c r="D926" s="14"/>
      <c r="E926" s="5"/>
      <c r="F926" s="53"/>
      <c r="G926" s="54"/>
      <c r="H926" s="54"/>
      <c r="I926" s="7"/>
      <c r="J926" s="9"/>
      <c r="K926" s="21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2.75" customHeight="1" x14ac:dyDescent="0.25">
      <c r="A927" s="20"/>
      <c r="B927" s="20"/>
      <c r="C927" s="14"/>
      <c r="D927" s="14"/>
      <c r="E927" s="5"/>
      <c r="F927" s="53"/>
      <c r="G927" s="54"/>
      <c r="H927" s="54"/>
      <c r="I927" s="7"/>
      <c r="J927" s="9"/>
      <c r="K927" s="21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 customHeight="1" x14ac:dyDescent="0.25">
      <c r="A928" s="20"/>
      <c r="B928" s="20"/>
      <c r="C928" s="14"/>
      <c r="D928" s="14"/>
      <c r="E928" s="5"/>
      <c r="F928" s="53"/>
      <c r="G928" s="54"/>
      <c r="H928" s="54"/>
      <c r="I928" s="7"/>
      <c r="J928" s="9"/>
      <c r="K928" s="21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 customHeight="1" x14ac:dyDescent="0.25">
      <c r="A929" s="20"/>
      <c r="B929" s="20"/>
      <c r="C929" s="14"/>
      <c r="D929" s="14"/>
      <c r="E929" s="5"/>
      <c r="F929" s="53"/>
      <c r="G929" s="54"/>
      <c r="H929" s="54"/>
      <c r="I929" s="7"/>
      <c r="J929" s="9"/>
      <c r="K929" s="21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 customHeight="1" x14ac:dyDescent="0.25">
      <c r="A930" s="20"/>
      <c r="B930" s="20"/>
      <c r="C930" s="14"/>
      <c r="D930" s="14"/>
      <c r="E930" s="5"/>
      <c r="F930" s="53"/>
      <c r="G930" s="54"/>
      <c r="H930" s="54"/>
      <c r="I930" s="7"/>
      <c r="J930" s="9"/>
      <c r="K930" s="21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 customHeight="1" x14ac:dyDescent="0.25">
      <c r="A931" s="20"/>
      <c r="B931" s="20"/>
      <c r="C931" s="14"/>
      <c r="D931" s="14"/>
      <c r="E931" s="5"/>
      <c r="F931" s="53"/>
      <c r="G931" s="54"/>
      <c r="H931" s="54"/>
      <c r="I931" s="7"/>
      <c r="J931" s="9"/>
      <c r="K931" s="21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2.75" customHeight="1" x14ac:dyDescent="0.25">
      <c r="A932" s="20"/>
      <c r="B932" s="20"/>
      <c r="C932" s="14"/>
      <c r="D932" s="14"/>
      <c r="E932" s="5"/>
      <c r="F932" s="53"/>
      <c r="G932" s="54"/>
      <c r="H932" s="54"/>
      <c r="I932" s="7"/>
      <c r="J932" s="9"/>
      <c r="K932" s="21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2.75" customHeight="1" x14ac:dyDescent="0.25">
      <c r="A933" s="20"/>
      <c r="B933" s="20"/>
      <c r="C933" s="14"/>
      <c r="D933" s="14"/>
      <c r="E933" s="5"/>
      <c r="F933" s="53"/>
      <c r="G933" s="54"/>
      <c r="H933" s="54"/>
      <c r="I933" s="7"/>
      <c r="J933" s="9"/>
      <c r="K933" s="21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2.75" customHeight="1" x14ac:dyDescent="0.25">
      <c r="A934" s="20"/>
      <c r="B934" s="20"/>
      <c r="C934" s="14"/>
      <c r="D934" s="14"/>
      <c r="E934" s="5"/>
      <c r="F934" s="53"/>
      <c r="G934" s="54"/>
      <c r="H934" s="54"/>
      <c r="I934" s="7"/>
      <c r="J934" s="9"/>
      <c r="K934" s="21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 customHeight="1" x14ac:dyDescent="0.25">
      <c r="A935" s="20"/>
      <c r="B935" s="20"/>
      <c r="C935" s="14"/>
      <c r="D935" s="14"/>
      <c r="E935" s="5"/>
      <c r="F935" s="53"/>
      <c r="G935" s="54"/>
      <c r="H935" s="54"/>
      <c r="I935" s="7"/>
      <c r="J935" s="9"/>
      <c r="K935" s="21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 customHeight="1" x14ac:dyDescent="0.25">
      <c r="A936" s="20"/>
      <c r="B936" s="20"/>
      <c r="C936" s="14"/>
      <c r="D936" s="14"/>
      <c r="E936" s="5"/>
      <c r="F936" s="53"/>
      <c r="G936" s="54"/>
      <c r="H936" s="54"/>
      <c r="I936" s="7"/>
      <c r="J936" s="9"/>
      <c r="K936" s="21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 customHeight="1" x14ac:dyDescent="0.25">
      <c r="A937" s="20"/>
      <c r="B937" s="20"/>
      <c r="C937" s="14"/>
      <c r="D937" s="14"/>
      <c r="E937" s="5"/>
      <c r="F937" s="53"/>
      <c r="G937" s="54"/>
      <c r="H937" s="54"/>
      <c r="I937" s="7"/>
      <c r="J937" s="9"/>
      <c r="K937" s="21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 customHeight="1" x14ac:dyDescent="0.25">
      <c r="A938" s="20"/>
      <c r="B938" s="20"/>
      <c r="C938" s="14"/>
      <c r="D938" s="14"/>
      <c r="E938" s="5"/>
      <c r="F938" s="53"/>
      <c r="G938" s="54"/>
      <c r="H938" s="54"/>
      <c r="I938" s="7"/>
      <c r="J938" s="9"/>
      <c r="K938" s="21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 customHeight="1" x14ac:dyDescent="0.25">
      <c r="A939" s="20"/>
      <c r="B939" s="20"/>
      <c r="C939" s="14"/>
      <c r="D939" s="14"/>
      <c r="E939" s="5"/>
      <c r="F939" s="53"/>
      <c r="G939" s="54"/>
      <c r="H939" s="54"/>
      <c r="I939" s="7"/>
      <c r="J939" s="9"/>
      <c r="K939" s="21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 customHeight="1" x14ac:dyDescent="0.25">
      <c r="A940" s="20"/>
      <c r="B940" s="20"/>
      <c r="C940" s="14"/>
      <c r="D940" s="14"/>
      <c r="E940" s="5"/>
      <c r="F940" s="53"/>
      <c r="G940" s="54"/>
      <c r="H940" s="54"/>
      <c r="I940" s="7"/>
      <c r="J940" s="9"/>
      <c r="K940" s="21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 customHeight="1" x14ac:dyDescent="0.25">
      <c r="A941" s="20"/>
      <c r="B941" s="20"/>
      <c r="C941" s="14"/>
      <c r="D941" s="14"/>
      <c r="E941" s="5"/>
      <c r="F941" s="53"/>
      <c r="G941" s="54"/>
      <c r="H941" s="54"/>
      <c r="I941" s="7"/>
      <c r="J941" s="9"/>
      <c r="K941" s="21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 customHeight="1" x14ac:dyDescent="0.25">
      <c r="A942" s="20"/>
      <c r="B942" s="20"/>
      <c r="C942" s="14"/>
      <c r="D942" s="14"/>
      <c r="E942" s="5"/>
      <c r="F942" s="53"/>
      <c r="G942" s="54"/>
      <c r="H942" s="54"/>
      <c r="I942" s="7"/>
      <c r="J942" s="9"/>
      <c r="K942" s="21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 customHeight="1" x14ac:dyDescent="0.25">
      <c r="A943" s="20"/>
      <c r="B943" s="20"/>
      <c r="C943" s="14"/>
      <c r="D943" s="14"/>
      <c r="E943" s="5"/>
      <c r="F943" s="53"/>
      <c r="G943" s="54"/>
      <c r="H943" s="54"/>
      <c r="I943" s="7"/>
      <c r="J943" s="9"/>
      <c r="K943" s="21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2.75" customHeight="1" x14ac:dyDescent="0.25">
      <c r="A944" s="20"/>
      <c r="B944" s="20"/>
      <c r="C944" s="14"/>
      <c r="D944" s="14"/>
      <c r="E944" s="5"/>
      <c r="F944" s="53"/>
      <c r="G944" s="54"/>
      <c r="H944" s="54"/>
      <c r="I944" s="7"/>
      <c r="J944" s="9"/>
      <c r="K944" s="21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2.75" customHeight="1" x14ac:dyDescent="0.25">
      <c r="A945" s="20"/>
      <c r="B945" s="20"/>
      <c r="C945" s="14"/>
      <c r="D945" s="14"/>
      <c r="E945" s="5"/>
      <c r="F945" s="53"/>
      <c r="G945" s="54"/>
      <c r="H945" s="54"/>
      <c r="I945" s="7"/>
      <c r="J945" s="9"/>
      <c r="K945" s="21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2.75" customHeight="1" x14ac:dyDescent="0.25">
      <c r="A946" s="20"/>
      <c r="B946" s="20"/>
      <c r="C946" s="14"/>
      <c r="D946" s="14"/>
      <c r="E946" s="5"/>
      <c r="F946" s="53"/>
      <c r="G946" s="54"/>
      <c r="H946" s="54"/>
      <c r="I946" s="7"/>
      <c r="J946" s="9"/>
      <c r="K946" s="21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2.75" customHeight="1" x14ac:dyDescent="0.25">
      <c r="A947" s="20"/>
      <c r="B947" s="20"/>
      <c r="C947" s="14"/>
      <c r="D947" s="14"/>
      <c r="E947" s="5"/>
      <c r="F947" s="53"/>
      <c r="G947" s="54"/>
      <c r="H947" s="54"/>
      <c r="I947" s="7"/>
      <c r="J947" s="9"/>
      <c r="K947" s="21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2.75" customHeight="1" x14ac:dyDescent="0.25">
      <c r="A948" s="20"/>
      <c r="B948" s="20"/>
      <c r="C948" s="14"/>
      <c r="D948" s="14"/>
      <c r="E948" s="5"/>
      <c r="F948" s="53"/>
      <c r="G948" s="54"/>
      <c r="H948" s="54"/>
      <c r="I948" s="7"/>
      <c r="J948" s="9"/>
      <c r="K948" s="21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2.75" customHeight="1" x14ac:dyDescent="0.25">
      <c r="A949" s="20"/>
      <c r="B949" s="20"/>
      <c r="C949" s="14"/>
      <c r="D949" s="14"/>
      <c r="E949" s="5"/>
      <c r="F949" s="53"/>
      <c r="G949" s="54"/>
      <c r="H949" s="54"/>
      <c r="I949" s="7"/>
      <c r="J949" s="9"/>
      <c r="K949" s="21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2.75" customHeight="1" x14ac:dyDescent="0.25">
      <c r="A950" s="20"/>
      <c r="B950" s="20"/>
      <c r="C950" s="14"/>
      <c r="D950" s="14"/>
      <c r="E950" s="5"/>
      <c r="F950" s="53"/>
      <c r="G950" s="54"/>
      <c r="H950" s="54"/>
      <c r="I950" s="7"/>
      <c r="J950" s="9"/>
      <c r="K950" s="21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2.75" customHeight="1" x14ac:dyDescent="0.25">
      <c r="A951" s="20"/>
      <c r="B951" s="20"/>
      <c r="C951" s="14"/>
      <c r="D951" s="14"/>
      <c r="E951" s="5"/>
      <c r="F951" s="53"/>
      <c r="G951" s="54"/>
      <c r="H951" s="54"/>
      <c r="I951" s="7"/>
      <c r="J951" s="9"/>
      <c r="K951" s="21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2.75" customHeight="1" x14ac:dyDescent="0.25">
      <c r="A952" s="20"/>
      <c r="B952" s="20"/>
      <c r="C952" s="14"/>
      <c r="D952" s="14"/>
      <c r="E952" s="5"/>
      <c r="F952" s="53"/>
      <c r="G952" s="54"/>
      <c r="H952" s="54"/>
      <c r="I952" s="7"/>
      <c r="J952" s="9"/>
      <c r="K952" s="21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2.75" customHeight="1" x14ac:dyDescent="0.25">
      <c r="A953" s="20"/>
      <c r="B953" s="20"/>
      <c r="C953" s="14"/>
      <c r="D953" s="14"/>
      <c r="E953" s="5"/>
      <c r="F953" s="53"/>
      <c r="G953" s="54"/>
      <c r="H953" s="54"/>
      <c r="I953" s="7"/>
      <c r="J953" s="9"/>
      <c r="K953" s="21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2.75" customHeight="1" x14ac:dyDescent="0.25">
      <c r="A954" s="20"/>
      <c r="B954" s="20"/>
      <c r="C954" s="14"/>
      <c r="D954" s="14"/>
      <c r="E954" s="5"/>
      <c r="F954" s="53"/>
      <c r="G954" s="54"/>
      <c r="H954" s="54"/>
      <c r="I954" s="7"/>
      <c r="J954" s="9"/>
      <c r="K954" s="21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2.75" customHeight="1" x14ac:dyDescent="0.25">
      <c r="A955" s="20"/>
      <c r="B955" s="20"/>
      <c r="C955" s="14"/>
      <c r="D955" s="14"/>
      <c r="E955" s="5"/>
      <c r="F955" s="53"/>
      <c r="G955" s="54"/>
      <c r="H955" s="54"/>
      <c r="I955" s="7"/>
      <c r="J955" s="9"/>
      <c r="K955" s="21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2.75" customHeight="1" x14ac:dyDescent="0.25">
      <c r="A956" s="20"/>
      <c r="B956" s="20"/>
      <c r="C956" s="14"/>
      <c r="D956" s="14"/>
      <c r="E956" s="5"/>
      <c r="F956" s="53"/>
      <c r="G956" s="54"/>
      <c r="H956" s="54"/>
      <c r="I956" s="7"/>
      <c r="J956" s="9"/>
      <c r="K956" s="21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2.75" customHeight="1" x14ac:dyDescent="0.25">
      <c r="A957" s="20"/>
      <c r="B957" s="20"/>
      <c r="C957" s="14"/>
      <c r="D957" s="14"/>
      <c r="E957" s="5"/>
      <c r="F957" s="53"/>
      <c r="G957" s="54"/>
      <c r="H957" s="54"/>
      <c r="I957" s="7"/>
      <c r="J957" s="9"/>
      <c r="K957" s="21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2.75" customHeight="1" x14ac:dyDescent="0.25">
      <c r="A958" s="20"/>
      <c r="B958" s="20"/>
      <c r="C958" s="14"/>
      <c r="D958" s="14"/>
      <c r="E958" s="5"/>
      <c r="F958" s="53"/>
      <c r="G958" s="54"/>
      <c r="H958" s="54"/>
      <c r="I958" s="7"/>
      <c r="J958" s="9"/>
      <c r="K958" s="21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2.75" customHeight="1" x14ac:dyDescent="0.25">
      <c r="A959" s="20"/>
      <c r="B959" s="20"/>
      <c r="C959" s="14"/>
      <c r="D959" s="14"/>
      <c r="E959" s="5"/>
      <c r="F959" s="53"/>
      <c r="G959" s="54"/>
      <c r="H959" s="54"/>
      <c r="I959" s="7"/>
      <c r="J959" s="9"/>
      <c r="K959" s="21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2.75" customHeight="1" x14ac:dyDescent="0.25">
      <c r="A960" s="20"/>
      <c r="B960" s="20"/>
      <c r="C960" s="14"/>
      <c r="D960" s="14"/>
      <c r="E960" s="5"/>
      <c r="F960" s="53"/>
      <c r="G960" s="54"/>
      <c r="H960" s="54"/>
      <c r="I960" s="7"/>
      <c r="J960" s="9"/>
      <c r="K960" s="21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2.75" customHeight="1" x14ac:dyDescent="0.25">
      <c r="A961" s="20"/>
      <c r="B961" s="20"/>
      <c r="C961" s="14"/>
      <c r="D961" s="14"/>
      <c r="E961" s="5"/>
      <c r="F961" s="53"/>
      <c r="G961" s="54"/>
      <c r="H961" s="54"/>
      <c r="I961" s="7"/>
      <c r="J961" s="9"/>
      <c r="K961" s="21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2.75" customHeight="1" x14ac:dyDescent="0.25">
      <c r="A962" s="20"/>
      <c r="B962" s="20"/>
      <c r="C962" s="14"/>
      <c r="D962" s="14"/>
      <c r="E962" s="5"/>
      <c r="F962" s="53"/>
      <c r="G962" s="54"/>
      <c r="H962" s="54"/>
      <c r="I962" s="7"/>
      <c r="J962" s="9"/>
      <c r="K962" s="21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2.75" customHeight="1" x14ac:dyDescent="0.25">
      <c r="A963" s="20"/>
      <c r="B963" s="20"/>
      <c r="C963" s="14"/>
      <c r="D963" s="14"/>
      <c r="E963" s="5"/>
      <c r="F963" s="53"/>
      <c r="G963" s="54"/>
      <c r="H963" s="54"/>
      <c r="I963" s="7"/>
      <c r="J963" s="9"/>
      <c r="K963" s="21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2.75" customHeight="1" x14ac:dyDescent="0.25">
      <c r="A964" s="20"/>
      <c r="B964" s="20"/>
      <c r="C964" s="14"/>
      <c r="D964" s="14"/>
      <c r="E964" s="5"/>
      <c r="F964" s="53"/>
      <c r="G964" s="54"/>
      <c r="H964" s="54"/>
      <c r="I964" s="7"/>
      <c r="J964" s="9"/>
      <c r="K964" s="21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2.75" customHeight="1" x14ac:dyDescent="0.25">
      <c r="A965" s="20"/>
      <c r="B965" s="20"/>
      <c r="C965" s="14"/>
      <c r="D965" s="14"/>
      <c r="E965" s="5"/>
      <c r="F965" s="53"/>
      <c r="G965" s="54"/>
      <c r="H965" s="54"/>
      <c r="I965" s="7"/>
      <c r="J965" s="9"/>
      <c r="K965" s="21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2.75" customHeight="1" x14ac:dyDescent="0.25">
      <c r="A966" s="20"/>
      <c r="B966" s="20"/>
      <c r="C966" s="14"/>
      <c r="D966" s="14"/>
      <c r="E966" s="5"/>
      <c r="F966" s="53"/>
      <c r="G966" s="54"/>
      <c r="H966" s="54"/>
      <c r="I966" s="7"/>
      <c r="J966" s="9"/>
      <c r="K966" s="21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2.75" customHeight="1" x14ac:dyDescent="0.25">
      <c r="A967" s="20"/>
      <c r="B967" s="20"/>
      <c r="C967" s="14"/>
      <c r="D967" s="14"/>
      <c r="E967" s="5"/>
      <c r="F967" s="53"/>
      <c r="G967" s="54"/>
      <c r="H967" s="54"/>
      <c r="I967" s="7"/>
      <c r="J967" s="9"/>
      <c r="K967" s="21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2.75" customHeight="1" x14ac:dyDescent="0.25">
      <c r="A968" s="20"/>
      <c r="B968" s="20"/>
      <c r="C968" s="14"/>
      <c r="D968" s="14"/>
      <c r="E968" s="5"/>
      <c r="F968" s="53"/>
      <c r="G968" s="54"/>
      <c r="H968" s="54"/>
      <c r="I968" s="7"/>
      <c r="J968" s="9"/>
      <c r="K968" s="21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 customHeight="1" x14ac:dyDescent="0.25">
      <c r="A969" s="20"/>
      <c r="B969" s="20"/>
      <c r="C969" s="14"/>
      <c r="D969" s="14"/>
      <c r="E969" s="5"/>
      <c r="F969" s="53"/>
      <c r="G969" s="54"/>
      <c r="H969" s="54"/>
      <c r="I969" s="7"/>
      <c r="J969" s="9"/>
      <c r="K969" s="21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 customHeight="1" x14ac:dyDescent="0.25">
      <c r="A970" s="20"/>
      <c r="B970" s="20"/>
      <c r="C970" s="14"/>
      <c r="D970" s="14"/>
      <c r="E970" s="5"/>
      <c r="F970" s="53"/>
      <c r="G970" s="54"/>
      <c r="H970" s="54"/>
      <c r="I970" s="7"/>
      <c r="J970" s="9"/>
      <c r="K970" s="21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2.75" customHeight="1" x14ac:dyDescent="0.25">
      <c r="A971" s="20"/>
      <c r="B971" s="20"/>
      <c r="C971" s="14"/>
      <c r="D971" s="14"/>
      <c r="E971" s="5"/>
      <c r="F971" s="53"/>
      <c r="G971" s="54"/>
      <c r="H971" s="54"/>
      <c r="I971" s="7"/>
      <c r="J971" s="9"/>
      <c r="K971" s="21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2.75" customHeight="1" x14ac:dyDescent="0.25">
      <c r="A972" s="20"/>
      <c r="B972" s="20"/>
      <c r="C972" s="14"/>
      <c r="D972" s="14"/>
      <c r="E972" s="5"/>
      <c r="F972" s="53"/>
      <c r="G972" s="54"/>
      <c r="H972" s="54"/>
      <c r="I972" s="7"/>
      <c r="J972" s="9"/>
      <c r="K972" s="21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2.75" customHeight="1" x14ac:dyDescent="0.25">
      <c r="A973" s="20"/>
      <c r="B973" s="20"/>
      <c r="C973" s="14"/>
      <c r="D973" s="14"/>
      <c r="E973" s="5"/>
      <c r="F973" s="53"/>
      <c r="G973" s="54"/>
      <c r="H973" s="54"/>
      <c r="I973" s="7"/>
      <c r="J973" s="9"/>
      <c r="K973" s="21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2.75" customHeight="1" x14ac:dyDescent="0.25">
      <c r="A974" s="20"/>
      <c r="B974" s="20"/>
      <c r="C974" s="14"/>
      <c r="D974" s="14"/>
      <c r="E974" s="5"/>
      <c r="F974" s="53"/>
      <c r="G974" s="54"/>
      <c r="H974" s="54"/>
      <c r="I974" s="7"/>
      <c r="J974" s="9"/>
      <c r="K974" s="21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2.75" customHeight="1" x14ac:dyDescent="0.25">
      <c r="A975" s="20"/>
      <c r="B975" s="20"/>
      <c r="C975" s="14"/>
      <c r="D975" s="14"/>
      <c r="E975" s="5"/>
      <c r="F975" s="53"/>
      <c r="G975" s="54"/>
      <c r="H975" s="54"/>
      <c r="I975" s="7"/>
      <c r="J975" s="9"/>
      <c r="K975" s="21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2.75" customHeight="1" x14ac:dyDescent="0.25">
      <c r="A976" s="20"/>
      <c r="B976" s="20"/>
      <c r="C976" s="14"/>
      <c r="D976" s="14"/>
      <c r="E976" s="5"/>
      <c r="F976" s="53"/>
      <c r="G976" s="54"/>
      <c r="H976" s="54"/>
      <c r="I976" s="7"/>
      <c r="J976" s="9"/>
      <c r="K976" s="21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 customHeight="1" x14ac:dyDescent="0.25">
      <c r="A977" s="20"/>
      <c r="B977" s="20"/>
      <c r="C977" s="14"/>
      <c r="D977" s="14"/>
      <c r="E977" s="5"/>
      <c r="F977" s="53"/>
      <c r="G977" s="54"/>
      <c r="H977" s="54"/>
      <c r="I977" s="7"/>
      <c r="J977" s="9"/>
      <c r="K977" s="21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 customHeight="1" x14ac:dyDescent="0.25">
      <c r="A978" s="20"/>
      <c r="B978" s="20"/>
      <c r="C978" s="14"/>
      <c r="D978" s="14"/>
      <c r="E978" s="5"/>
      <c r="F978" s="53"/>
      <c r="G978" s="54"/>
      <c r="H978" s="54"/>
      <c r="I978" s="7"/>
      <c r="J978" s="9"/>
      <c r="K978" s="21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2.75" customHeight="1" x14ac:dyDescent="0.25">
      <c r="A979" s="20"/>
      <c r="B979" s="20"/>
      <c r="C979" s="14"/>
      <c r="D979" s="14"/>
      <c r="E979" s="5"/>
      <c r="F979" s="53"/>
      <c r="G979" s="54"/>
      <c r="H979" s="54"/>
      <c r="I979" s="7"/>
      <c r="J979" s="9"/>
      <c r="K979" s="21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2.75" customHeight="1" x14ac:dyDescent="0.25">
      <c r="A980" s="20"/>
      <c r="B980" s="20"/>
      <c r="C980" s="14"/>
      <c r="D980" s="14"/>
      <c r="E980" s="5"/>
      <c r="F980" s="53"/>
      <c r="G980" s="54"/>
      <c r="H980" s="54"/>
      <c r="I980" s="7"/>
      <c r="J980" s="9"/>
      <c r="K980" s="21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2.75" customHeight="1" x14ac:dyDescent="0.25">
      <c r="A981" s="20"/>
      <c r="B981" s="20"/>
      <c r="C981" s="14"/>
      <c r="D981" s="14"/>
      <c r="E981" s="5"/>
      <c r="F981" s="53"/>
      <c r="G981" s="54"/>
      <c r="H981" s="54"/>
      <c r="I981" s="7"/>
      <c r="J981" s="9"/>
      <c r="K981" s="21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2.75" customHeight="1" x14ac:dyDescent="0.25">
      <c r="A982" s="20"/>
      <c r="B982" s="20"/>
      <c r="C982" s="14"/>
      <c r="D982" s="14"/>
      <c r="E982" s="5"/>
      <c r="F982" s="53"/>
      <c r="G982" s="54"/>
      <c r="H982" s="54"/>
      <c r="I982" s="7"/>
      <c r="J982" s="9"/>
      <c r="K982" s="21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 customHeight="1" x14ac:dyDescent="0.25">
      <c r="A983" s="20"/>
      <c r="B983" s="20"/>
      <c r="C983" s="14"/>
      <c r="D983" s="14"/>
      <c r="E983" s="5"/>
      <c r="F983" s="53"/>
      <c r="G983" s="54"/>
      <c r="H983" s="54"/>
      <c r="I983" s="7"/>
      <c r="J983" s="9"/>
      <c r="K983" s="21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2.75" customHeight="1" x14ac:dyDescent="0.25">
      <c r="A984" s="20"/>
      <c r="B984" s="20"/>
      <c r="C984" s="14"/>
      <c r="D984" s="14"/>
      <c r="E984" s="5"/>
      <c r="F984" s="53"/>
      <c r="G984" s="54"/>
      <c r="H984" s="54"/>
      <c r="I984" s="7"/>
      <c r="J984" s="9"/>
      <c r="K984" s="21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2.75" customHeight="1" x14ac:dyDescent="0.25">
      <c r="A985" s="20"/>
      <c r="B985" s="20"/>
      <c r="C985" s="14"/>
      <c r="D985" s="14"/>
      <c r="E985" s="5"/>
      <c r="F985" s="53"/>
      <c r="G985" s="54"/>
      <c r="H985" s="54"/>
      <c r="I985" s="7"/>
      <c r="J985" s="9"/>
      <c r="K985" s="21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2.75" customHeight="1" x14ac:dyDescent="0.25">
      <c r="A986" s="20"/>
      <c r="B986" s="20"/>
      <c r="C986" s="14"/>
      <c r="D986" s="14"/>
      <c r="E986" s="5"/>
      <c r="F986" s="53"/>
      <c r="G986" s="54"/>
      <c r="H986" s="54"/>
      <c r="I986" s="7"/>
      <c r="J986" s="9"/>
      <c r="K986" s="21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2.75" customHeight="1" x14ac:dyDescent="0.25">
      <c r="A987" s="20"/>
      <c r="B987" s="20"/>
      <c r="C987" s="14"/>
      <c r="D987" s="14"/>
      <c r="E987" s="5"/>
      <c r="F987" s="53"/>
      <c r="G987" s="54"/>
      <c r="H987" s="54"/>
      <c r="I987" s="7"/>
      <c r="J987" s="9"/>
      <c r="K987" s="21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2.75" customHeight="1" x14ac:dyDescent="0.25">
      <c r="A988" s="20"/>
      <c r="B988" s="20"/>
      <c r="C988" s="14"/>
      <c r="D988" s="14"/>
      <c r="E988" s="5"/>
      <c r="F988" s="53"/>
      <c r="G988" s="54"/>
      <c r="H988" s="54"/>
      <c r="I988" s="7"/>
      <c r="J988" s="9"/>
      <c r="K988" s="21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 customHeight="1" x14ac:dyDescent="0.25">
      <c r="A989" s="20"/>
      <c r="B989" s="20"/>
      <c r="C989" s="14"/>
      <c r="D989" s="14"/>
      <c r="E989" s="5"/>
      <c r="F989" s="53"/>
      <c r="G989" s="54"/>
      <c r="H989" s="54"/>
      <c r="I989" s="7"/>
      <c r="J989" s="9"/>
      <c r="K989" s="21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 customHeight="1" x14ac:dyDescent="0.25">
      <c r="A990" s="20"/>
      <c r="B990" s="20"/>
      <c r="C990" s="14"/>
      <c r="D990" s="14"/>
      <c r="E990" s="5"/>
      <c r="F990" s="53"/>
      <c r="G990" s="54"/>
      <c r="H990" s="54"/>
      <c r="I990" s="7"/>
      <c r="J990" s="9"/>
      <c r="K990" s="21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2.75" customHeight="1" x14ac:dyDescent="0.25">
      <c r="A991" s="20"/>
      <c r="B991" s="20"/>
      <c r="C991" s="14"/>
      <c r="D991" s="14"/>
      <c r="E991" s="5"/>
      <c r="F991" s="53"/>
      <c r="G991" s="54"/>
      <c r="H991" s="54"/>
      <c r="I991" s="7"/>
      <c r="J991" s="9"/>
      <c r="K991" s="21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2.75" customHeight="1" x14ac:dyDescent="0.25">
      <c r="A992" s="20"/>
      <c r="B992" s="20"/>
      <c r="C992" s="14"/>
      <c r="D992" s="14"/>
      <c r="E992" s="5"/>
      <c r="F992" s="53"/>
      <c r="G992" s="54"/>
      <c r="H992" s="54"/>
      <c r="I992" s="7"/>
      <c r="J992" s="9"/>
      <c r="K992" s="21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2.75" customHeight="1" x14ac:dyDescent="0.25">
      <c r="A993" s="20"/>
      <c r="B993" s="20"/>
      <c r="C993" s="14"/>
      <c r="D993" s="14"/>
      <c r="E993" s="5"/>
      <c r="F993" s="53"/>
      <c r="G993" s="54"/>
      <c r="H993" s="54"/>
      <c r="I993" s="7"/>
      <c r="J993" s="9"/>
      <c r="K993" s="21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2.75" customHeight="1" x14ac:dyDescent="0.25">
      <c r="A994" s="20"/>
      <c r="B994" s="20"/>
      <c r="C994" s="14"/>
      <c r="D994" s="14"/>
      <c r="E994" s="5"/>
      <c r="F994" s="53"/>
      <c r="G994" s="54"/>
      <c r="H994" s="54"/>
      <c r="I994" s="7"/>
      <c r="J994" s="9"/>
      <c r="K994" s="21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2.75" customHeight="1" x14ac:dyDescent="0.25">
      <c r="A995" s="20"/>
      <c r="B995" s="20"/>
      <c r="C995" s="14"/>
      <c r="D995" s="14"/>
      <c r="E995" s="5"/>
      <c r="F995" s="53"/>
      <c r="G995" s="54"/>
      <c r="H995" s="54"/>
      <c r="I995" s="7"/>
      <c r="J995" s="9"/>
      <c r="K995" s="21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2.75" customHeight="1" x14ac:dyDescent="0.25">
      <c r="A996" s="20"/>
      <c r="B996" s="20"/>
      <c r="C996" s="14"/>
      <c r="D996" s="14"/>
      <c r="E996" s="5"/>
      <c r="F996" s="53"/>
      <c r="G996" s="54"/>
      <c r="H996" s="54"/>
      <c r="I996" s="7"/>
      <c r="J996" s="9"/>
      <c r="K996" s="21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2.75" customHeight="1" x14ac:dyDescent="0.25">
      <c r="A997" s="20"/>
      <c r="B997" s="20"/>
      <c r="C997" s="14"/>
      <c r="D997" s="14"/>
      <c r="E997" s="5"/>
      <c r="F997" s="53"/>
      <c r="G997" s="54"/>
      <c r="H997" s="54"/>
      <c r="I997" s="7"/>
      <c r="J997" s="9"/>
      <c r="K997" s="21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2.75" customHeight="1" x14ac:dyDescent="0.25">
      <c r="A998" s="20"/>
      <c r="B998" s="20"/>
      <c r="C998" s="14"/>
      <c r="D998" s="14"/>
      <c r="E998" s="5"/>
      <c r="F998" s="53"/>
      <c r="G998" s="54"/>
      <c r="H998" s="54"/>
      <c r="I998" s="7"/>
      <c r="J998" s="9"/>
      <c r="K998" s="21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 customHeight="1" x14ac:dyDescent="0.25">
      <c r="A999" s="20"/>
      <c r="B999" s="20"/>
      <c r="C999" s="14"/>
      <c r="D999" s="14"/>
      <c r="E999" s="5"/>
      <c r="F999" s="53"/>
      <c r="G999" s="54"/>
      <c r="H999" s="54"/>
      <c r="I999" s="7"/>
      <c r="J999" s="9"/>
      <c r="K999" s="21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 customHeight="1" x14ac:dyDescent="0.25">
      <c r="A1000" s="20"/>
      <c r="B1000" s="20"/>
      <c r="C1000" s="14"/>
      <c r="D1000" s="14"/>
      <c r="E1000" s="5"/>
      <c r="F1000" s="53"/>
      <c r="G1000" s="54"/>
      <c r="H1000" s="54"/>
      <c r="I1000" s="7"/>
      <c r="J1000" s="9"/>
      <c r="K1000" s="21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 spans="1:27" ht="12.75" customHeight="1" x14ac:dyDescent="0.25">
      <c r="A1001" s="20"/>
      <c r="B1001" s="20"/>
      <c r="C1001" s="14"/>
      <c r="D1001" s="14"/>
      <c r="E1001" s="5"/>
      <c r="F1001" s="53"/>
      <c r="G1001" s="54"/>
      <c r="H1001" s="54"/>
      <c r="I1001" s="7"/>
      <c r="J1001" s="9"/>
      <c r="K1001" s="21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 spans="1:27" ht="12.75" customHeight="1" x14ac:dyDescent="0.25">
      <c r="A1002" s="20"/>
      <c r="B1002" s="20"/>
      <c r="C1002" s="14"/>
      <c r="D1002" s="14"/>
      <c r="E1002" s="5"/>
      <c r="F1002" s="53"/>
      <c r="G1002" s="54"/>
      <c r="H1002" s="54"/>
      <c r="I1002" s="7"/>
      <c r="J1002" s="9"/>
      <c r="K1002" s="21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</row>
    <row r="1003" spans="1:27" ht="12.75" customHeight="1" x14ac:dyDescent="0.25">
      <c r="A1003" s="20"/>
      <c r="B1003" s="20"/>
      <c r="C1003" s="14"/>
      <c r="D1003" s="14"/>
      <c r="E1003" s="5"/>
      <c r="F1003" s="53"/>
      <c r="G1003" s="54"/>
      <c r="H1003" s="54"/>
      <c r="I1003" s="7"/>
      <c r="J1003" s="9"/>
      <c r="K1003" s="21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</row>
    <row r="1004" spans="1:27" ht="12.75" customHeight="1" x14ac:dyDescent="0.25">
      <c r="A1004" s="20"/>
      <c r="B1004" s="20"/>
      <c r="C1004" s="14"/>
      <c r="D1004" s="14"/>
      <c r="E1004" s="5"/>
      <c r="F1004" s="66"/>
      <c r="G1004" s="21"/>
      <c r="H1004" s="21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</row>
  </sheetData>
  <conditionalFormatting sqref="J1:J2 I5:I50 J5:J51 I54:J62 I64:J76 I81:J85">
    <cfRule type="cellIs" dxfId="19" priority="1" operator="equal">
      <formula>0</formula>
    </cfRule>
  </conditionalFormatting>
  <conditionalFormatting sqref="J5:K51 J54:K62 J64:K76 J81:K85 K1:K2">
    <cfRule type="cellIs" dxfId="18" priority="2" operator="equal">
      <formula>0</formula>
    </cfRule>
  </conditionalFormatting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9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" customHeight="1" x14ac:dyDescent="0.25"/>
  <cols>
    <col min="1" max="1" width="8.21875" customWidth="1"/>
    <col min="2" max="2" width="29.6640625" customWidth="1"/>
    <col min="3" max="3" width="10.44140625" customWidth="1"/>
    <col min="4" max="4" width="9.6640625" customWidth="1"/>
    <col min="5" max="5" width="9.77734375" customWidth="1"/>
    <col min="6" max="7" width="11.44140625" customWidth="1"/>
    <col min="8" max="8" width="18.88671875" customWidth="1"/>
    <col min="9" max="9" width="11.44140625" customWidth="1"/>
    <col min="10" max="10" width="14.88671875" customWidth="1"/>
    <col min="11" max="28" width="11.44140625" customWidth="1"/>
  </cols>
  <sheetData>
    <row r="1" spans="1:28" ht="12.75" customHeight="1" x14ac:dyDescent="0.25">
      <c r="A1" s="61" t="s">
        <v>13</v>
      </c>
      <c r="B1" s="57" t="s">
        <v>14</v>
      </c>
      <c r="C1" s="67" t="s">
        <v>457</v>
      </c>
      <c r="D1" s="9" t="s">
        <v>16</v>
      </c>
      <c r="E1" s="9" t="s">
        <v>17</v>
      </c>
      <c r="F1" s="6" t="s">
        <v>18</v>
      </c>
      <c r="G1" s="7" t="s">
        <v>19</v>
      </c>
      <c r="H1" s="7" t="s">
        <v>20</v>
      </c>
      <c r="I1" s="7" t="s">
        <v>21</v>
      </c>
      <c r="J1" s="8" t="s">
        <v>22</v>
      </c>
      <c r="K1" s="9" t="s">
        <v>23</v>
      </c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spans="1:28" ht="12.75" customHeight="1" x14ac:dyDescent="0.25">
      <c r="A2" s="20"/>
      <c r="B2" s="20"/>
      <c r="C2" s="20"/>
      <c r="D2" s="14"/>
      <c r="E2" s="14"/>
      <c r="F2" s="11"/>
      <c r="G2" s="12"/>
      <c r="H2" s="12"/>
      <c r="I2" s="12"/>
      <c r="J2" s="13"/>
      <c r="K2" s="47">
        <f>SUM(K3:K95)</f>
        <v>1177.02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.75" customHeight="1" x14ac:dyDescent="0.3">
      <c r="A3" s="51"/>
      <c r="B3" s="62" t="s">
        <v>458</v>
      </c>
      <c r="C3" s="14"/>
      <c r="D3" s="14"/>
      <c r="E3" s="14"/>
      <c r="F3" s="49"/>
      <c r="G3" s="50"/>
      <c r="H3" s="50"/>
      <c r="I3" s="7"/>
      <c r="J3" s="9"/>
      <c r="K3" s="9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12.75" customHeight="1" x14ac:dyDescent="0.25">
      <c r="A4" s="51"/>
      <c r="B4" s="2"/>
      <c r="C4" s="2"/>
      <c r="D4" s="2"/>
      <c r="E4" s="2"/>
      <c r="F4" s="63"/>
      <c r="G4" s="64"/>
      <c r="H4" s="64"/>
      <c r="I4" s="64"/>
      <c r="J4" s="2"/>
      <c r="K4" s="2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12.75" customHeight="1" x14ac:dyDescent="0.25">
      <c r="A5" s="68" t="s">
        <v>30</v>
      </c>
      <c r="B5" s="25">
        <v>103</v>
      </c>
      <c r="C5" s="37">
        <v>12.39</v>
      </c>
      <c r="D5" s="14" t="s">
        <v>63</v>
      </c>
      <c r="E5" s="37">
        <v>13.95</v>
      </c>
      <c r="F5" s="6" t="s">
        <v>27</v>
      </c>
      <c r="G5" s="7"/>
      <c r="H5" s="7">
        <v>0</v>
      </c>
      <c r="I5" s="7"/>
      <c r="J5" s="8">
        <f t="shared" ref="J5:J26" si="0">SUM(G5:I5)</f>
        <v>0</v>
      </c>
      <c r="K5" s="9">
        <f t="shared" ref="K5:K26" si="1">SUM(C5*J5)</f>
        <v>0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spans="1:28" ht="12.75" customHeight="1" x14ac:dyDescent="0.25">
      <c r="A6" s="68" t="s">
        <v>30</v>
      </c>
      <c r="B6" s="69" t="s">
        <v>167</v>
      </c>
      <c r="C6" s="37">
        <v>10.76</v>
      </c>
      <c r="D6" s="22">
        <v>13.95</v>
      </c>
      <c r="E6" s="22">
        <v>14.95</v>
      </c>
      <c r="F6" s="6" t="s">
        <v>168</v>
      </c>
      <c r="G6" s="7">
        <v>6</v>
      </c>
      <c r="H6" s="7">
        <v>2</v>
      </c>
      <c r="I6" s="7"/>
      <c r="J6" s="8">
        <f t="shared" si="0"/>
        <v>8</v>
      </c>
      <c r="K6" s="9">
        <f t="shared" si="1"/>
        <v>86.08</v>
      </c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 spans="1:28" ht="12.75" customHeight="1" x14ac:dyDescent="0.25">
      <c r="A7" s="68"/>
      <c r="B7" s="69" t="s">
        <v>169</v>
      </c>
      <c r="C7" s="37">
        <v>10.76</v>
      </c>
      <c r="D7" s="22">
        <v>13.95</v>
      </c>
      <c r="E7" s="22">
        <v>14.95</v>
      </c>
      <c r="F7" s="6" t="s">
        <v>168</v>
      </c>
      <c r="G7" s="7">
        <v>6</v>
      </c>
      <c r="H7" s="7">
        <v>6</v>
      </c>
      <c r="I7" s="7"/>
      <c r="J7" s="8">
        <f t="shared" si="0"/>
        <v>12</v>
      </c>
      <c r="K7" s="9">
        <f t="shared" si="1"/>
        <v>129.12</v>
      </c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</row>
    <row r="8" spans="1:28" ht="12.75" customHeight="1" x14ac:dyDescent="0.25">
      <c r="A8" s="68" t="s">
        <v>30</v>
      </c>
      <c r="B8" s="69" t="s">
        <v>459</v>
      </c>
      <c r="C8" s="37">
        <v>6.71</v>
      </c>
      <c r="D8" s="14">
        <v>7.95</v>
      </c>
      <c r="E8" s="37">
        <v>7.95</v>
      </c>
      <c r="F8" s="6" t="s">
        <v>27</v>
      </c>
      <c r="G8" s="7"/>
      <c r="H8" s="7">
        <v>4</v>
      </c>
      <c r="I8" s="7"/>
      <c r="J8" s="8">
        <f t="shared" si="0"/>
        <v>4</v>
      </c>
      <c r="K8" s="9">
        <f t="shared" si="1"/>
        <v>26.84</v>
      </c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  <row r="9" spans="1:28" ht="12.75" customHeight="1" x14ac:dyDescent="0.25">
      <c r="A9" s="68" t="s">
        <v>30</v>
      </c>
      <c r="B9" s="69" t="s">
        <v>332</v>
      </c>
      <c r="C9" s="37">
        <v>14.43</v>
      </c>
      <c r="D9" s="14"/>
      <c r="E9" s="37">
        <v>16.95</v>
      </c>
      <c r="F9" s="6" t="s">
        <v>27</v>
      </c>
      <c r="G9" s="7"/>
      <c r="H9" s="7">
        <v>2</v>
      </c>
      <c r="I9" s="7"/>
      <c r="J9" s="8">
        <f t="shared" si="0"/>
        <v>2</v>
      </c>
      <c r="K9" s="9">
        <f t="shared" si="1"/>
        <v>28.86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</row>
    <row r="10" spans="1:28" ht="12.75" customHeight="1" x14ac:dyDescent="0.25">
      <c r="A10" s="68" t="s">
        <v>30</v>
      </c>
      <c r="B10" s="37" t="s">
        <v>105</v>
      </c>
      <c r="C10" s="37">
        <v>14.47</v>
      </c>
      <c r="D10" s="14"/>
      <c r="E10" s="37">
        <v>15.95</v>
      </c>
      <c r="F10" s="6" t="s">
        <v>27</v>
      </c>
      <c r="G10" s="7" t="s">
        <v>63</v>
      </c>
      <c r="H10" s="7" t="s">
        <v>63</v>
      </c>
      <c r="I10" s="7"/>
      <c r="J10" s="8">
        <f t="shared" si="0"/>
        <v>0</v>
      </c>
      <c r="K10" s="9">
        <f t="shared" si="1"/>
        <v>0</v>
      </c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</row>
    <row r="11" spans="1:28" ht="12.75" customHeight="1" x14ac:dyDescent="0.25">
      <c r="A11" s="65" t="s">
        <v>30</v>
      </c>
      <c r="B11" s="20" t="s">
        <v>460</v>
      </c>
      <c r="C11" s="14">
        <v>8.5</v>
      </c>
      <c r="D11" s="14"/>
      <c r="E11" s="14">
        <v>8.9499999999999993</v>
      </c>
      <c r="F11" s="6" t="s">
        <v>168</v>
      </c>
      <c r="G11" s="7">
        <v>5</v>
      </c>
      <c r="H11" s="7">
        <v>3</v>
      </c>
      <c r="I11" s="7"/>
      <c r="J11" s="8">
        <f t="shared" si="0"/>
        <v>8</v>
      </c>
      <c r="K11" s="9">
        <f t="shared" si="1"/>
        <v>68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.75" customHeight="1" x14ac:dyDescent="0.25">
      <c r="A12" s="68" t="s">
        <v>30</v>
      </c>
      <c r="B12" s="69" t="s">
        <v>461</v>
      </c>
      <c r="C12" s="37">
        <v>12.7</v>
      </c>
      <c r="D12" s="24" t="s">
        <v>63</v>
      </c>
      <c r="E12" s="37">
        <v>14.95</v>
      </c>
      <c r="F12" s="6" t="s">
        <v>27</v>
      </c>
      <c r="G12" s="7"/>
      <c r="H12" s="7"/>
      <c r="I12" s="7"/>
      <c r="J12" s="8">
        <f t="shared" si="0"/>
        <v>0</v>
      </c>
      <c r="K12" s="9">
        <f t="shared" si="1"/>
        <v>0</v>
      </c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</row>
    <row r="13" spans="1:28" ht="12.75" customHeight="1" x14ac:dyDescent="0.25">
      <c r="A13" s="68" t="s">
        <v>30</v>
      </c>
      <c r="B13" s="69" t="s">
        <v>111</v>
      </c>
      <c r="C13" s="37">
        <v>12.45</v>
      </c>
      <c r="D13" s="14"/>
      <c r="E13" s="37">
        <v>13.95</v>
      </c>
      <c r="F13" s="6" t="s">
        <v>27</v>
      </c>
      <c r="G13" s="7"/>
      <c r="H13" s="7">
        <v>3</v>
      </c>
      <c r="I13" s="7"/>
      <c r="J13" s="8">
        <f t="shared" si="0"/>
        <v>3</v>
      </c>
      <c r="K13" s="9">
        <f t="shared" si="1"/>
        <v>37.349999999999994</v>
      </c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</row>
    <row r="14" spans="1:28" ht="12.75" customHeight="1" x14ac:dyDescent="0.25">
      <c r="A14" s="68" t="s">
        <v>30</v>
      </c>
      <c r="B14" s="69" t="s">
        <v>186</v>
      </c>
      <c r="C14" s="37">
        <v>7.07</v>
      </c>
      <c r="D14" s="14"/>
      <c r="E14" s="37">
        <v>8.9499999999999993</v>
      </c>
      <c r="F14" s="6" t="s">
        <v>27</v>
      </c>
      <c r="G14" s="7"/>
      <c r="H14" s="7">
        <v>6</v>
      </c>
      <c r="I14" s="7"/>
      <c r="J14" s="8">
        <f t="shared" si="0"/>
        <v>6</v>
      </c>
      <c r="K14" s="9">
        <f t="shared" si="1"/>
        <v>42.42</v>
      </c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</row>
    <row r="15" spans="1:28" ht="12.75" customHeight="1" x14ac:dyDescent="0.25">
      <c r="A15" s="68" t="s">
        <v>30</v>
      </c>
      <c r="B15" s="69" t="s">
        <v>435</v>
      </c>
      <c r="C15" s="37">
        <v>7.67</v>
      </c>
      <c r="D15" s="37"/>
      <c r="E15" s="37">
        <v>9.9499999999999993</v>
      </c>
      <c r="F15" s="6" t="s">
        <v>27</v>
      </c>
      <c r="G15" s="7"/>
      <c r="H15" s="7"/>
      <c r="I15" s="7"/>
      <c r="J15" s="8">
        <f t="shared" si="0"/>
        <v>0</v>
      </c>
      <c r="K15" s="9">
        <f t="shared" si="1"/>
        <v>0</v>
      </c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</row>
    <row r="16" spans="1:28" ht="12.75" customHeight="1" x14ac:dyDescent="0.25">
      <c r="A16" s="68" t="s">
        <v>30</v>
      </c>
      <c r="B16" s="69" t="s">
        <v>436</v>
      </c>
      <c r="C16" s="37">
        <v>9.35</v>
      </c>
      <c r="D16" s="37"/>
      <c r="E16" s="37">
        <v>10.95</v>
      </c>
      <c r="F16" s="6" t="s">
        <v>27</v>
      </c>
      <c r="G16" s="7">
        <v>9</v>
      </c>
      <c r="H16" s="7">
        <v>5</v>
      </c>
      <c r="I16" s="7"/>
      <c r="J16" s="8">
        <f t="shared" si="0"/>
        <v>14</v>
      </c>
      <c r="K16" s="9">
        <f t="shared" si="1"/>
        <v>130.9</v>
      </c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</row>
    <row r="17" spans="1:28" ht="12.75" customHeight="1" x14ac:dyDescent="0.25">
      <c r="A17" s="68" t="s">
        <v>30</v>
      </c>
      <c r="B17" s="69" t="s">
        <v>462</v>
      </c>
      <c r="C17" s="37">
        <v>5.13</v>
      </c>
      <c r="D17" s="14" t="s">
        <v>63</v>
      </c>
      <c r="E17" s="37">
        <v>6.95</v>
      </c>
      <c r="F17" s="6" t="s">
        <v>27</v>
      </c>
      <c r="G17" s="7">
        <v>1</v>
      </c>
      <c r="H17" s="7">
        <v>5</v>
      </c>
      <c r="I17" s="7"/>
      <c r="J17" s="8">
        <f t="shared" si="0"/>
        <v>6</v>
      </c>
      <c r="K17" s="9">
        <f t="shared" si="1"/>
        <v>30.78</v>
      </c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</row>
    <row r="18" spans="1:28" ht="12.75" customHeight="1" x14ac:dyDescent="0.25">
      <c r="A18" s="68" t="s">
        <v>30</v>
      </c>
      <c r="B18" s="69" t="s">
        <v>463</v>
      </c>
      <c r="C18" s="37">
        <v>7.03</v>
      </c>
      <c r="D18" s="37"/>
      <c r="E18" s="37">
        <v>8.5</v>
      </c>
      <c r="F18" s="6" t="s">
        <v>27</v>
      </c>
      <c r="G18" s="7"/>
      <c r="H18" s="7">
        <v>11</v>
      </c>
      <c r="I18" s="7"/>
      <c r="J18" s="8">
        <f t="shared" si="0"/>
        <v>11</v>
      </c>
      <c r="K18" s="9">
        <f t="shared" si="1"/>
        <v>77.33</v>
      </c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</row>
    <row r="19" spans="1:28" ht="12.75" customHeight="1" x14ac:dyDescent="0.25">
      <c r="A19" s="68" t="s">
        <v>30</v>
      </c>
      <c r="B19" s="69" t="s">
        <v>464</v>
      </c>
      <c r="C19" s="37">
        <v>7.67</v>
      </c>
      <c r="D19" s="37"/>
      <c r="E19" s="37">
        <v>9.9499999999999993</v>
      </c>
      <c r="F19" s="6" t="s">
        <v>27</v>
      </c>
      <c r="G19" s="7"/>
      <c r="H19" s="7">
        <v>12</v>
      </c>
      <c r="I19" s="7"/>
      <c r="J19" s="8">
        <f t="shared" si="0"/>
        <v>12</v>
      </c>
      <c r="K19" s="9">
        <f t="shared" si="1"/>
        <v>92.039999999999992</v>
      </c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 spans="1:28" ht="12.75" customHeight="1" x14ac:dyDescent="0.25">
      <c r="A20" s="68"/>
      <c r="B20" s="69" t="s">
        <v>290</v>
      </c>
      <c r="C20" s="37">
        <v>7.75</v>
      </c>
      <c r="D20" s="14"/>
      <c r="E20" s="37">
        <v>9.9499999999999993</v>
      </c>
      <c r="F20" s="6" t="s">
        <v>27</v>
      </c>
      <c r="G20" s="7"/>
      <c r="H20" s="7">
        <v>9</v>
      </c>
      <c r="I20" s="7"/>
      <c r="J20" s="8">
        <f t="shared" si="0"/>
        <v>9</v>
      </c>
      <c r="K20" s="9">
        <f t="shared" si="1"/>
        <v>69.75</v>
      </c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</row>
    <row r="21" spans="1:28" ht="12.75" customHeight="1" x14ac:dyDescent="0.25">
      <c r="A21" s="68" t="s">
        <v>30</v>
      </c>
      <c r="B21" s="69" t="s">
        <v>465</v>
      </c>
      <c r="C21" s="37">
        <v>10.35</v>
      </c>
      <c r="D21" s="14"/>
      <c r="E21" s="37">
        <v>12.95</v>
      </c>
      <c r="F21" s="6" t="s">
        <v>27</v>
      </c>
      <c r="G21" s="7"/>
      <c r="H21" s="7">
        <v>3</v>
      </c>
      <c r="I21" s="7"/>
      <c r="J21" s="8">
        <f t="shared" si="0"/>
        <v>3</v>
      </c>
      <c r="K21" s="9">
        <f t="shared" si="1"/>
        <v>31.049999999999997</v>
      </c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</row>
    <row r="22" spans="1:28" ht="12.75" customHeight="1" x14ac:dyDescent="0.25">
      <c r="A22" s="68" t="s">
        <v>30</v>
      </c>
      <c r="B22" s="37" t="s">
        <v>57</v>
      </c>
      <c r="C22" s="37">
        <v>9.77</v>
      </c>
      <c r="D22" s="14"/>
      <c r="E22" s="14">
        <v>11.5</v>
      </c>
      <c r="F22" s="6" t="s">
        <v>27</v>
      </c>
      <c r="G22" s="7"/>
      <c r="H22" s="7">
        <v>9</v>
      </c>
      <c r="I22" s="7"/>
      <c r="J22" s="8">
        <f t="shared" si="0"/>
        <v>9</v>
      </c>
      <c r="K22" s="9">
        <f t="shared" si="1"/>
        <v>87.929999999999993</v>
      </c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</row>
    <row r="23" spans="1:28" ht="12.75" customHeight="1" x14ac:dyDescent="0.25">
      <c r="A23" s="68" t="s">
        <v>30</v>
      </c>
      <c r="B23" s="69" t="s">
        <v>441</v>
      </c>
      <c r="C23" s="37">
        <v>7.21</v>
      </c>
      <c r="D23" s="14"/>
      <c r="E23" s="37">
        <v>8.9499999999999993</v>
      </c>
      <c r="F23" s="6" t="s">
        <v>27</v>
      </c>
      <c r="G23" s="7"/>
      <c r="H23" s="7">
        <v>7</v>
      </c>
      <c r="I23" s="7"/>
      <c r="J23" s="8">
        <f t="shared" si="0"/>
        <v>7</v>
      </c>
      <c r="K23" s="9">
        <f t="shared" si="1"/>
        <v>50.47</v>
      </c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</row>
    <row r="24" spans="1:28" ht="12.75" customHeight="1" x14ac:dyDescent="0.25">
      <c r="A24" s="68" t="s">
        <v>30</v>
      </c>
      <c r="B24" s="69" t="s">
        <v>466</v>
      </c>
      <c r="C24" s="37">
        <v>7.67</v>
      </c>
      <c r="D24" s="37"/>
      <c r="E24" s="37">
        <v>9.9499999999999993</v>
      </c>
      <c r="F24" s="6" t="s">
        <v>27</v>
      </c>
      <c r="G24" s="7"/>
      <c r="H24" s="7"/>
      <c r="I24" s="7"/>
      <c r="J24" s="8">
        <f t="shared" si="0"/>
        <v>0</v>
      </c>
      <c r="K24" s="9">
        <f t="shared" si="1"/>
        <v>0</v>
      </c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</row>
    <row r="25" spans="1:28" ht="12.75" customHeight="1" x14ac:dyDescent="0.25">
      <c r="A25" s="68" t="s">
        <v>30</v>
      </c>
      <c r="B25" s="69" t="s">
        <v>467</v>
      </c>
      <c r="C25" s="37">
        <v>7.53</v>
      </c>
      <c r="D25" s="14"/>
      <c r="E25" s="37">
        <v>9.9499999999999993</v>
      </c>
      <c r="F25" s="6" t="s">
        <v>27</v>
      </c>
      <c r="G25" s="7"/>
      <c r="H25" s="7">
        <v>4</v>
      </c>
      <c r="I25" s="7"/>
      <c r="J25" s="8">
        <f t="shared" si="0"/>
        <v>4</v>
      </c>
      <c r="K25" s="9">
        <f t="shared" si="1"/>
        <v>30.12</v>
      </c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</row>
    <row r="26" spans="1:28" ht="12.75" customHeight="1" x14ac:dyDescent="0.25">
      <c r="A26" s="65" t="s">
        <v>30</v>
      </c>
      <c r="B26" s="20" t="s">
        <v>468</v>
      </c>
      <c r="C26" s="14">
        <v>11.95</v>
      </c>
      <c r="D26" s="14">
        <v>12.95</v>
      </c>
      <c r="E26" s="14">
        <v>13.95</v>
      </c>
      <c r="F26" s="6" t="s">
        <v>27</v>
      </c>
      <c r="G26" s="7"/>
      <c r="H26" s="7">
        <v>1</v>
      </c>
      <c r="I26" s="7"/>
      <c r="J26" s="8">
        <f t="shared" si="0"/>
        <v>1</v>
      </c>
      <c r="K26" s="9">
        <f t="shared" si="1"/>
        <v>11.95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2.75" customHeight="1" x14ac:dyDescent="0.25">
      <c r="A27" s="65"/>
      <c r="B27" s="14"/>
      <c r="C27" s="14"/>
      <c r="D27" s="14"/>
      <c r="E27" s="14"/>
      <c r="F27" s="6"/>
      <c r="G27" s="7"/>
      <c r="H27" s="7"/>
      <c r="I27" s="7"/>
      <c r="J27" s="8"/>
      <c r="K27" s="9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2.75" customHeight="1" x14ac:dyDescent="0.25">
      <c r="A28" s="35"/>
      <c r="B28" s="20"/>
      <c r="C28" s="14"/>
      <c r="D28" s="14"/>
      <c r="E28" s="14"/>
      <c r="F28" s="6"/>
      <c r="G28" s="7"/>
      <c r="H28" s="7"/>
      <c r="I28" s="7"/>
      <c r="J28" s="8"/>
      <c r="K28" s="9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2.75" customHeight="1" x14ac:dyDescent="0.25">
      <c r="D29" s="24"/>
      <c r="E29" s="24"/>
      <c r="F29" s="6"/>
      <c r="G29" s="7"/>
      <c r="H29" s="7"/>
      <c r="I29" s="7"/>
      <c r="J29" s="8"/>
      <c r="K29" s="9"/>
    </row>
    <row r="30" spans="1:28" ht="12.75" customHeight="1" x14ac:dyDescent="0.25">
      <c r="B30" s="70" t="s">
        <v>469</v>
      </c>
      <c r="D30" s="24"/>
      <c r="E30" s="24"/>
      <c r="F30" s="6"/>
      <c r="G30" s="7"/>
      <c r="H30" s="7"/>
      <c r="I30" s="7"/>
      <c r="J30" s="8"/>
      <c r="K30" s="9"/>
    </row>
    <row r="31" spans="1:28" ht="12.75" customHeight="1" x14ac:dyDescent="0.25">
      <c r="A31" s="20"/>
      <c r="B31" s="20"/>
      <c r="C31" s="20"/>
      <c r="D31" s="14"/>
      <c r="E31" s="14"/>
      <c r="F31" s="6"/>
      <c r="G31" s="7"/>
      <c r="H31" s="7"/>
      <c r="I31" s="7"/>
      <c r="J31" s="8"/>
      <c r="K31" s="9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2.75" customHeight="1" x14ac:dyDescent="0.25">
      <c r="A32" s="20"/>
      <c r="B32" s="20"/>
      <c r="C32" s="20"/>
      <c r="D32" s="14"/>
      <c r="E32" s="14"/>
      <c r="F32" s="6"/>
      <c r="G32" s="7"/>
      <c r="H32" s="7"/>
      <c r="I32" s="7"/>
      <c r="J32" s="8"/>
      <c r="K32" s="9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2.75" customHeight="1" x14ac:dyDescent="0.25">
      <c r="A33" s="69"/>
      <c r="B33" s="69" t="s">
        <v>470</v>
      </c>
      <c r="C33" s="17">
        <v>24.96</v>
      </c>
      <c r="D33" s="17">
        <v>27.5</v>
      </c>
      <c r="E33" s="17">
        <v>27.9</v>
      </c>
      <c r="F33" s="6" t="s">
        <v>27</v>
      </c>
      <c r="G33" s="7">
        <v>4</v>
      </c>
      <c r="H33" s="7">
        <v>1</v>
      </c>
      <c r="I33" s="7"/>
      <c r="J33" s="8">
        <f t="shared" ref="J33:J39" si="2">SUM(G33:I33)</f>
        <v>5</v>
      </c>
      <c r="K33" s="9">
        <f t="shared" ref="K33:K39" si="3">SUM(C33*J33)</f>
        <v>124.80000000000001</v>
      </c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</row>
    <row r="34" spans="1:28" ht="12.75" customHeight="1" x14ac:dyDescent="0.25">
      <c r="A34" s="69"/>
      <c r="B34" s="69" t="s">
        <v>471</v>
      </c>
      <c r="C34" s="17">
        <v>23.51</v>
      </c>
      <c r="D34" s="17">
        <v>25.9</v>
      </c>
      <c r="E34" s="17">
        <v>25.9</v>
      </c>
      <c r="F34" s="6" t="s">
        <v>27</v>
      </c>
      <c r="G34" s="7"/>
      <c r="H34" s="7">
        <v>0</v>
      </c>
      <c r="I34" s="7"/>
      <c r="J34" s="8">
        <f t="shared" si="2"/>
        <v>0</v>
      </c>
      <c r="K34" s="9">
        <f t="shared" si="3"/>
        <v>0</v>
      </c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</row>
    <row r="35" spans="1:28" ht="12.75" customHeight="1" x14ac:dyDescent="0.25">
      <c r="A35" s="69"/>
      <c r="B35" s="69" t="s">
        <v>472</v>
      </c>
      <c r="C35" s="17">
        <v>21.23</v>
      </c>
      <c r="D35" s="17">
        <v>23.9</v>
      </c>
      <c r="E35" s="17">
        <v>24.9</v>
      </c>
      <c r="F35" s="6" t="s">
        <v>27</v>
      </c>
      <c r="G35" s="7"/>
      <c r="H35" s="7">
        <v>1</v>
      </c>
      <c r="I35" s="7"/>
      <c r="J35" s="8">
        <f t="shared" si="2"/>
        <v>1</v>
      </c>
      <c r="K35" s="9">
        <f t="shared" si="3"/>
        <v>21.23</v>
      </c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</row>
    <row r="36" spans="1:28" ht="12.75" customHeight="1" x14ac:dyDescent="0.25">
      <c r="A36" s="69"/>
      <c r="B36" s="69" t="s">
        <v>473</v>
      </c>
      <c r="C36" s="69">
        <v>17.47</v>
      </c>
      <c r="D36" s="37">
        <v>19.5</v>
      </c>
      <c r="E36" s="37">
        <v>20</v>
      </c>
      <c r="F36" s="6" t="s">
        <v>27</v>
      </c>
      <c r="G36" s="7"/>
      <c r="H36" s="7"/>
      <c r="I36" s="7"/>
      <c r="J36" s="8">
        <f t="shared" si="2"/>
        <v>0</v>
      </c>
      <c r="K36" s="9">
        <f t="shared" si="3"/>
        <v>0</v>
      </c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</row>
    <row r="37" spans="1:28" ht="12.75" customHeight="1" x14ac:dyDescent="0.25">
      <c r="A37" s="69"/>
      <c r="B37" s="69" t="s">
        <v>474</v>
      </c>
      <c r="C37" s="69">
        <v>19.78</v>
      </c>
      <c r="D37" s="37">
        <v>22</v>
      </c>
      <c r="E37" s="37">
        <v>23</v>
      </c>
      <c r="F37" s="6" t="s">
        <v>27</v>
      </c>
      <c r="G37" s="7"/>
      <c r="H37" s="7"/>
      <c r="I37" s="7"/>
      <c r="J37" s="8">
        <f t="shared" si="2"/>
        <v>0</v>
      </c>
      <c r="K37" s="9">
        <f t="shared" si="3"/>
        <v>0</v>
      </c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</row>
    <row r="38" spans="1:28" ht="12.75" customHeight="1" x14ac:dyDescent="0.25">
      <c r="A38" s="69"/>
      <c r="B38" s="69" t="s">
        <v>475</v>
      </c>
      <c r="C38" s="69">
        <v>17.78</v>
      </c>
      <c r="D38" s="37">
        <v>18.95</v>
      </c>
      <c r="E38" s="37">
        <v>18.899999999999999</v>
      </c>
      <c r="F38" s="6" t="s">
        <v>27</v>
      </c>
      <c r="G38" s="7"/>
      <c r="H38" s="7"/>
      <c r="I38" s="7"/>
      <c r="J38" s="8">
        <f t="shared" si="2"/>
        <v>0</v>
      </c>
      <c r="K38" s="9">
        <f t="shared" si="3"/>
        <v>0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</row>
    <row r="39" spans="1:28" ht="12.75" customHeight="1" x14ac:dyDescent="0.25">
      <c r="A39" s="69"/>
      <c r="B39" s="69" t="s">
        <v>476</v>
      </c>
      <c r="C39" s="69">
        <v>15.06</v>
      </c>
      <c r="D39" s="37">
        <v>16.95</v>
      </c>
      <c r="E39" s="37">
        <v>19.5</v>
      </c>
      <c r="F39" s="6" t="s">
        <v>27</v>
      </c>
      <c r="G39" s="54"/>
      <c r="H39" s="54"/>
      <c r="I39" s="7"/>
      <c r="J39" s="8">
        <f t="shared" si="2"/>
        <v>0</v>
      </c>
      <c r="K39" s="9">
        <f t="shared" si="3"/>
        <v>0</v>
      </c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</row>
    <row r="40" spans="1:28" ht="12.75" customHeight="1" x14ac:dyDescent="0.25">
      <c r="A40" s="69"/>
      <c r="B40" s="69"/>
      <c r="C40" s="69"/>
      <c r="D40" s="37"/>
      <c r="E40" s="37"/>
      <c r="F40" s="53"/>
      <c r="G40" s="54"/>
      <c r="H40" s="54"/>
      <c r="I40" s="7"/>
      <c r="J40" s="9"/>
      <c r="K40" s="21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</row>
    <row r="41" spans="1:28" ht="12.75" customHeight="1" x14ac:dyDescent="0.25">
      <c r="A41" s="20"/>
      <c r="B41" s="20"/>
      <c r="C41" s="20"/>
      <c r="D41" s="14"/>
      <c r="E41" s="14"/>
      <c r="F41" s="53"/>
      <c r="G41" s="54"/>
      <c r="H41" s="54"/>
      <c r="I41" s="7"/>
      <c r="J41" s="9"/>
      <c r="K41" s="2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2.75" customHeight="1" x14ac:dyDescent="0.25">
      <c r="A42" s="3"/>
      <c r="B42" s="4"/>
      <c r="F42" s="6"/>
      <c r="G42" s="7"/>
      <c r="H42" s="7"/>
      <c r="I42" s="7"/>
      <c r="J42" s="8"/>
      <c r="K42" s="9"/>
      <c r="L42" s="9"/>
      <c r="M42" s="9"/>
      <c r="N42" s="9"/>
      <c r="O42" s="9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2.75" customHeight="1" x14ac:dyDescent="0.25">
      <c r="A43" s="3"/>
      <c r="B43" s="4"/>
      <c r="F43" s="6"/>
      <c r="G43" s="7"/>
      <c r="H43" s="7"/>
      <c r="I43" s="7"/>
      <c r="J43" s="8"/>
      <c r="K43" s="9"/>
      <c r="L43" s="9"/>
      <c r="M43" s="9"/>
      <c r="N43" s="9"/>
      <c r="O43" s="9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2.75" customHeight="1" x14ac:dyDescent="0.25">
      <c r="A44" s="3"/>
      <c r="B44" s="4"/>
      <c r="F44" s="6"/>
      <c r="G44" s="7"/>
      <c r="H44" s="7"/>
      <c r="I44" s="7"/>
      <c r="J44" s="8"/>
      <c r="K44" s="9"/>
      <c r="L44" s="9"/>
      <c r="M44" s="9"/>
      <c r="N44" s="9"/>
      <c r="O44" s="9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2.75" customHeight="1" x14ac:dyDescent="0.25">
      <c r="A45" s="20"/>
      <c r="B45" s="20"/>
      <c r="C45" s="20"/>
      <c r="D45" s="14"/>
      <c r="E45" s="14"/>
      <c r="F45" s="6"/>
      <c r="G45" s="7"/>
      <c r="H45" s="7"/>
      <c r="I45" s="7"/>
      <c r="J45" s="8"/>
      <c r="K45" s="9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2.75" customHeight="1" x14ac:dyDescent="0.25">
      <c r="A46" s="20"/>
      <c r="B46" s="20"/>
      <c r="C46" s="20"/>
      <c r="D46" s="14"/>
      <c r="E46" s="14"/>
      <c r="F46" s="6"/>
      <c r="G46" s="7"/>
      <c r="H46" s="7"/>
      <c r="I46" s="7"/>
      <c r="J46" s="8"/>
      <c r="K46" s="9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2.75" customHeight="1" x14ac:dyDescent="0.25">
      <c r="A47" s="20"/>
      <c r="B47" s="20"/>
      <c r="C47" s="20"/>
      <c r="D47" s="14"/>
      <c r="E47" s="14"/>
      <c r="F47" s="6"/>
      <c r="G47" s="7"/>
      <c r="H47" s="7"/>
      <c r="I47" s="7"/>
      <c r="J47" s="8"/>
      <c r="K47" s="9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2.75" customHeight="1" x14ac:dyDescent="0.25">
      <c r="A48" s="20"/>
      <c r="B48" s="20"/>
      <c r="C48" s="20"/>
      <c r="D48" s="14"/>
      <c r="E48" s="14"/>
      <c r="F48" s="6"/>
      <c r="G48" s="7"/>
      <c r="H48" s="7"/>
      <c r="I48" s="7"/>
      <c r="J48" s="8"/>
      <c r="K48" s="9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2.75" customHeight="1" x14ac:dyDescent="0.25">
      <c r="A49" s="20"/>
      <c r="B49" s="20"/>
      <c r="C49" s="20"/>
      <c r="D49" s="14"/>
      <c r="E49" s="14"/>
      <c r="F49" s="6"/>
      <c r="G49" s="7"/>
      <c r="H49" s="7"/>
      <c r="I49" s="7"/>
      <c r="J49" s="8"/>
      <c r="K49" s="9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2.75" customHeight="1" x14ac:dyDescent="0.25">
      <c r="A50" s="20"/>
      <c r="B50" s="20"/>
      <c r="C50" s="20"/>
      <c r="D50" s="14"/>
      <c r="E50" s="14"/>
      <c r="F50" s="6"/>
      <c r="G50" s="7"/>
      <c r="H50" s="7"/>
      <c r="I50" s="7"/>
      <c r="J50" s="8"/>
      <c r="K50" s="9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2.75" customHeight="1" x14ac:dyDescent="0.25">
      <c r="A51" s="20"/>
      <c r="B51" s="20"/>
      <c r="C51" s="20"/>
      <c r="D51" s="14"/>
      <c r="E51" s="14"/>
      <c r="F51" s="53"/>
      <c r="G51" s="54"/>
      <c r="H51" s="54"/>
      <c r="I51" s="7"/>
      <c r="J51" s="9"/>
      <c r="K51" s="21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2.75" customHeight="1" x14ac:dyDescent="0.25">
      <c r="A52" s="20"/>
      <c r="B52" s="20"/>
      <c r="C52" s="20"/>
      <c r="D52" s="14"/>
      <c r="E52" s="14"/>
      <c r="F52" s="6"/>
      <c r="G52" s="7"/>
      <c r="H52" s="7"/>
      <c r="I52" s="7"/>
      <c r="J52" s="8"/>
      <c r="K52" s="9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2.75" customHeight="1" x14ac:dyDescent="0.25">
      <c r="A53" s="20"/>
      <c r="B53" s="20"/>
      <c r="C53" s="20"/>
      <c r="D53" s="14"/>
      <c r="E53" s="14"/>
      <c r="F53" s="6"/>
      <c r="G53" s="7"/>
      <c r="H53" s="7"/>
      <c r="I53" s="7"/>
      <c r="J53" s="8"/>
      <c r="K53" s="9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2.75" customHeight="1" x14ac:dyDescent="0.25">
      <c r="A54" s="20"/>
      <c r="B54" s="20"/>
      <c r="C54" s="20"/>
      <c r="D54" s="14"/>
      <c r="E54" s="14"/>
      <c r="F54" s="6"/>
      <c r="G54" s="7"/>
      <c r="H54" s="7"/>
      <c r="I54" s="7"/>
      <c r="J54" s="8"/>
      <c r="K54" s="9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2.75" customHeight="1" x14ac:dyDescent="0.25">
      <c r="A55" s="20"/>
      <c r="B55" s="20"/>
      <c r="C55" s="20"/>
      <c r="D55" s="14"/>
      <c r="E55" s="14"/>
      <c r="F55" s="6"/>
      <c r="G55" s="7"/>
      <c r="H55" s="7"/>
      <c r="I55" s="7"/>
      <c r="J55" s="8"/>
      <c r="K55" s="9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2.75" customHeight="1" x14ac:dyDescent="0.25">
      <c r="A56" s="20"/>
      <c r="B56" s="20"/>
      <c r="C56" s="20"/>
      <c r="D56" s="14"/>
      <c r="E56" s="14"/>
      <c r="F56" s="6"/>
      <c r="G56" s="7"/>
      <c r="H56" s="7"/>
      <c r="I56" s="7"/>
      <c r="J56" s="8"/>
      <c r="K56" s="9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75" customHeight="1" x14ac:dyDescent="0.25">
      <c r="A57" s="20"/>
      <c r="B57" s="20"/>
      <c r="C57" s="20"/>
      <c r="D57" s="14"/>
      <c r="E57" s="14"/>
      <c r="F57" s="6"/>
      <c r="G57" s="7"/>
      <c r="H57" s="7"/>
      <c r="I57" s="7"/>
      <c r="J57" s="8"/>
      <c r="K57" s="9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.75" customHeight="1" x14ac:dyDescent="0.25">
      <c r="A58" s="20"/>
      <c r="B58" s="20"/>
      <c r="C58" s="20"/>
      <c r="D58" s="14"/>
      <c r="E58" s="14"/>
      <c r="F58" s="6"/>
      <c r="G58" s="7"/>
      <c r="H58" s="7"/>
      <c r="I58" s="7"/>
      <c r="J58" s="8"/>
      <c r="K58" s="9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.75" customHeight="1" x14ac:dyDescent="0.25">
      <c r="A59" s="20"/>
      <c r="B59" s="20"/>
      <c r="C59" s="20"/>
      <c r="D59" s="14"/>
      <c r="E59" s="14"/>
      <c r="F59" s="6"/>
      <c r="G59" s="7"/>
      <c r="H59" s="7"/>
      <c r="I59" s="7"/>
      <c r="J59" s="8"/>
      <c r="K59" s="9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2.75" customHeight="1" x14ac:dyDescent="0.25">
      <c r="A60" s="20"/>
      <c r="B60" s="20"/>
      <c r="C60" s="20"/>
      <c r="D60" s="14"/>
      <c r="E60" s="14"/>
      <c r="F60" s="6"/>
      <c r="G60" s="7"/>
      <c r="H60" s="7"/>
      <c r="I60" s="7"/>
      <c r="J60" s="8"/>
      <c r="K60" s="9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2.75" customHeight="1" x14ac:dyDescent="0.25">
      <c r="A61" s="20"/>
      <c r="B61" s="20"/>
      <c r="C61" s="20"/>
      <c r="D61" s="14"/>
      <c r="E61" s="14"/>
      <c r="F61" s="6"/>
      <c r="G61" s="7"/>
      <c r="H61" s="7"/>
      <c r="I61" s="7"/>
      <c r="J61" s="8"/>
      <c r="K61" s="9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2.75" customHeight="1" x14ac:dyDescent="0.25">
      <c r="A62" s="20"/>
      <c r="B62" s="20"/>
      <c r="C62" s="20"/>
      <c r="D62" s="14"/>
      <c r="E62" s="14"/>
      <c r="F62" s="6"/>
      <c r="G62" s="7"/>
      <c r="H62" s="7"/>
      <c r="I62" s="7"/>
      <c r="J62" s="8"/>
      <c r="K62" s="9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2.75" customHeight="1" x14ac:dyDescent="0.25">
      <c r="A63" s="20"/>
      <c r="B63" s="20"/>
      <c r="C63" s="20"/>
      <c r="D63" s="14"/>
      <c r="E63" s="14"/>
      <c r="F63" s="6"/>
      <c r="G63" s="7"/>
      <c r="H63" s="7"/>
      <c r="I63" s="7"/>
      <c r="J63" s="8"/>
      <c r="K63" s="9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2.75" customHeight="1" x14ac:dyDescent="0.25">
      <c r="A64" s="20"/>
      <c r="B64" s="20"/>
      <c r="C64" s="20"/>
      <c r="D64" s="14"/>
      <c r="E64" s="14"/>
      <c r="F64" s="6"/>
      <c r="G64" s="7"/>
      <c r="H64" s="7"/>
      <c r="I64" s="7"/>
      <c r="J64" s="8"/>
      <c r="K64" s="9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2.75" customHeight="1" x14ac:dyDescent="0.25">
      <c r="A65" s="20"/>
      <c r="B65" s="20"/>
      <c r="C65" s="20"/>
      <c r="D65" s="14"/>
      <c r="E65" s="14"/>
      <c r="F65" s="58"/>
      <c r="G65" s="59"/>
      <c r="H65" s="59"/>
      <c r="I65" s="60"/>
      <c r="J65" s="57"/>
      <c r="K65" s="57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.75" customHeight="1" x14ac:dyDescent="0.25">
      <c r="A66" s="20"/>
      <c r="B66" s="20"/>
      <c r="C66" s="20"/>
      <c r="D66" s="14"/>
      <c r="E66" s="14"/>
      <c r="F66" s="53"/>
      <c r="G66" s="54"/>
      <c r="H66" s="54"/>
      <c r="I66" s="7"/>
      <c r="J66" s="9"/>
      <c r="K66" s="21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.75" customHeight="1" x14ac:dyDescent="0.25">
      <c r="A67" s="20"/>
      <c r="B67" s="20"/>
      <c r="C67" s="20"/>
      <c r="D67" s="14"/>
      <c r="E67" s="14"/>
      <c r="F67" s="53"/>
      <c r="G67" s="54"/>
      <c r="H67" s="54"/>
      <c r="I67" s="7"/>
      <c r="J67" s="9"/>
      <c r="K67" s="21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.75" customHeight="1" x14ac:dyDescent="0.25">
      <c r="A68" s="20"/>
      <c r="B68" s="20"/>
      <c r="C68" s="20"/>
      <c r="D68" s="14"/>
      <c r="E68" s="14"/>
      <c r="F68" s="53"/>
      <c r="G68" s="54"/>
      <c r="H68" s="54"/>
      <c r="I68" s="7"/>
      <c r="J68" s="9"/>
      <c r="K68" s="21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2.75" customHeight="1" x14ac:dyDescent="0.25">
      <c r="A69" s="20"/>
      <c r="B69" s="20"/>
      <c r="C69" s="20"/>
      <c r="D69" s="14"/>
      <c r="E69" s="14"/>
      <c r="F69" s="6"/>
      <c r="G69" s="7"/>
      <c r="H69" s="7"/>
      <c r="I69" s="7"/>
      <c r="J69" s="8"/>
      <c r="K69" s="9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2.75" customHeight="1" x14ac:dyDescent="0.25">
      <c r="A70" s="20"/>
      <c r="B70" s="20"/>
      <c r="C70" s="20"/>
      <c r="D70" s="14"/>
      <c r="E70" s="14"/>
      <c r="F70" s="6"/>
      <c r="G70" s="7"/>
      <c r="H70" s="7"/>
      <c r="I70" s="7"/>
      <c r="J70" s="8"/>
      <c r="K70" s="9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2.75" customHeight="1" x14ac:dyDescent="0.25">
      <c r="A71" s="20"/>
      <c r="B71" s="20"/>
      <c r="C71" s="20"/>
      <c r="D71" s="14"/>
      <c r="E71" s="14"/>
      <c r="F71" s="6"/>
      <c r="G71" s="7"/>
      <c r="H71" s="7"/>
      <c r="I71" s="7"/>
      <c r="J71" s="8"/>
      <c r="K71" s="9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2.75" customHeight="1" x14ac:dyDescent="0.25">
      <c r="A72" s="20"/>
      <c r="B72" s="20"/>
      <c r="C72" s="20"/>
      <c r="D72" s="14"/>
      <c r="E72" s="14"/>
      <c r="F72" s="6"/>
      <c r="G72" s="7"/>
      <c r="H72" s="7"/>
      <c r="I72" s="7"/>
      <c r="J72" s="8"/>
      <c r="K72" s="9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2.75" customHeight="1" x14ac:dyDescent="0.25">
      <c r="A73" s="20"/>
      <c r="B73" s="20"/>
      <c r="C73" s="20"/>
      <c r="D73" s="14"/>
      <c r="E73" s="14"/>
      <c r="F73" s="6"/>
      <c r="G73" s="7"/>
      <c r="H73" s="7"/>
      <c r="I73" s="7"/>
      <c r="J73" s="8"/>
      <c r="K73" s="9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2.75" customHeight="1" x14ac:dyDescent="0.25">
      <c r="A74" s="20"/>
      <c r="B74" s="20"/>
      <c r="C74" s="20"/>
      <c r="D74" s="14"/>
      <c r="E74" s="14"/>
      <c r="F74" s="53"/>
      <c r="G74" s="54"/>
      <c r="H74" s="54"/>
      <c r="I74" s="7"/>
      <c r="J74" s="9"/>
      <c r="K74" s="21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2.75" customHeight="1" x14ac:dyDescent="0.25">
      <c r="A75" s="20"/>
      <c r="B75" s="20"/>
      <c r="C75" s="20"/>
      <c r="D75" s="14"/>
      <c r="E75" s="14"/>
      <c r="F75" s="53"/>
      <c r="G75" s="54"/>
      <c r="H75" s="54"/>
      <c r="I75" s="7"/>
      <c r="J75" s="9"/>
      <c r="K75" s="21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2.75" customHeight="1" x14ac:dyDescent="0.25">
      <c r="A76" s="20"/>
      <c r="B76" s="20"/>
      <c r="C76" s="20"/>
      <c r="D76" s="14"/>
      <c r="E76" s="14"/>
      <c r="F76" s="53"/>
      <c r="G76" s="54"/>
      <c r="H76" s="54"/>
      <c r="I76" s="7"/>
      <c r="J76" s="9"/>
      <c r="K76" s="21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2.75" customHeight="1" x14ac:dyDescent="0.25">
      <c r="A77" s="20"/>
      <c r="B77" s="20"/>
      <c r="C77" s="20"/>
      <c r="D77" s="14"/>
      <c r="E77" s="14"/>
      <c r="F77" s="53"/>
      <c r="G77" s="54"/>
      <c r="H77" s="54"/>
      <c r="I77" s="7"/>
      <c r="J77" s="9"/>
      <c r="K77" s="21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2.75" customHeight="1" x14ac:dyDescent="0.25">
      <c r="A78" s="20"/>
      <c r="B78" s="20"/>
      <c r="C78" s="20"/>
      <c r="D78" s="14"/>
      <c r="E78" s="14"/>
      <c r="F78" s="53"/>
      <c r="G78" s="54"/>
      <c r="H78" s="54"/>
      <c r="I78" s="7"/>
      <c r="J78" s="9"/>
      <c r="K78" s="21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2.75" customHeight="1" x14ac:dyDescent="0.25">
      <c r="A79" s="20"/>
      <c r="B79" s="20"/>
      <c r="C79" s="20"/>
      <c r="D79" s="14"/>
      <c r="E79" s="14"/>
      <c r="F79" s="53"/>
      <c r="G79" s="54"/>
      <c r="H79" s="54"/>
      <c r="I79" s="7"/>
      <c r="J79" s="9"/>
      <c r="K79" s="21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2.75" customHeight="1" x14ac:dyDescent="0.25">
      <c r="A80" s="20"/>
      <c r="B80" s="20"/>
      <c r="C80" s="20"/>
      <c r="D80" s="14"/>
      <c r="E80" s="14"/>
      <c r="F80" s="53"/>
      <c r="G80" s="54"/>
      <c r="H80" s="54"/>
      <c r="I80" s="7"/>
      <c r="J80" s="9"/>
      <c r="K80" s="21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2.75" customHeight="1" x14ac:dyDescent="0.25">
      <c r="A81" s="20"/>
      <c r="B81" s="20"/>
      <c r="C81" s="20"/>
      <c r="D81" s="14"/>
      <c r="E81" s="14"/>
      <c r="F81" s="53"/>
      <c r="G81" s="54"/>
      <c r="H81" s="54"/>
      <c r="I81" s="7"/>
      <c r="J81" s="9"/>
      <c r="K81" s="9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2.75" customHeight="1" x14ac:dyDescent="0.25">
      <c r="A82" s="20"/>
      <c r="B82" s="20"/>
      <c r="C82" s="20"/>
      <c r="D82" s="14"/>
      <c r="E82" s="14"/>
      <c r="F82" s="53"/>
      <c r="G82" s="54"/>
      <c r="H82" s="54"/>
      <c r="I82" s="7"/>
      <c r="J82" s="9"/>
      <c r="K82" s="9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2.75" customHeight="1" x14ac:dyDescent="0.25">
      <c r="A83" s="20"/>
      <c r="B83" s="20"/>
      <c r="C83" s="20"/>
      <c r="D83" s="14"/>
      <c r="E83" s="14"/>
      <c r="F83" s="53"/>
      <c r="G83" s="54"/>
      <c r="H83" s="54"/>
      <c r="I83" s="7"/>
      <c r="J83" s="9"/>
      <c r="K83" s="9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2.75" customHeight="1" x14ac:dyDescent="0.25">
      <c r="A84" s="20"/>
      <c r="B84" s="20"/>
      <c r="C84" s="20"/>
      <c r="D84" s="14"/>
      <c r="E84" s="14"/>
      <c r="F84" s="53"/>
      <c r="G84" s="54"/>
      <c r="H84" s="54"/>
      <c r="I84" s="7"/>
      <c r="J84" s="9"/>
      <c r="K84" s="9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2.75" customHeight="1" x14ac:dyDescent="0.25">
      <c r="A85" s="20"/>
      <c r="B85" s="20"/>
      <c r="C85" s="20"/>
      <c r="D85" s="14"/>
      <c r="E85" s="14"/>
      <c r="F85" s="53"/>
      <c r="G85" s="54"/>
      <c r="H85" s="54"/>
      <c r="I85" s="7"/>
      <c r="J85" s="9"/>
      <c r="K85" s="9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2.75" customHeight="1" x14ac:dyDescent="0.25">
      <c r="A86" s="20"/>
      <c r="B86" s="20"/>
      <c r="C86" s="20"/>
      <c r="D86" s="14"/>
      <c r="E86" s="14"/>
      <c r="F86" s="53"/>
      <c r="G86" s="54"/>
      <c r="H86" s="54"/>
      <c r="I86" s="7"/>
      <c r="J86" s="9"/>
      <c r="K86" s="9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2.75" customHeight="1" x14ac:dyDescent="0.25">
      <c r="A87" s="20"/>
      <c r="B87" s="20"/>
      <c r="C87" s="20"/>
      <c r="D87" s="14"/>
      <c r="E87" s="14"/>
      <c r="F87" s="53"/>
      <c r="G87" s="54"/>
      <c r="H87" s="54"/>
      <c r="I87" s="7"/>
      <c r="J87" s="9"/>
      <c r="K87" s="9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2.75" customHeight="1" x14ac:dyDescent="0.25">
      <c r="A88" s="20"/>
      <c r="B88" s="20"/>
      <c r="C88" s="20"/>
      <c r="D88" s="14"/>
      <c r="E88" s="14"/>
      <c r="F88" s="53"/>
      <c r="G88" s="54"/>
      <c r="H88" s="54"/>
      <c r="I88" s="7"/>
      <c r="J88" s="9"/>
      <c r="K88" s="9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2.75" customHeight="1" x14ac:dyDescent="0.25">
      <c r="A89" s="20"/>
      <c r="B89" s="20"/>
      <c r="C89" s="20"/>
      <c r="D89" s="14"/>
      <c r="E89" s="14"/>
      <c r="F89" s="53"/>
      <c r="G89" s="54"/>
      <c r="H89" s="54"/>
      <c r="I89" s="7"/>
      <c r="J89" s="9"/>
      <c r="K89" s="2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2.75" customHeight="1" x14ac:dyDescent="0.25">
      <c r="A90" s="20"/>
      <c r="B90" s="20"/>
      <c r="C90" s="20"/>
      <c r="D90" s="14"/>
      <c r="E90" s="14"/>
      <c r="F90" s="53"/>
      <c r="G90" s="54"/>
      <c r="H90" s="54"/>
      <c r="I90" s="7"/>
      <c r="J90" s="9"/>
      <c r="K90" s="2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2.75" customHeight="1" x14ac:dyDescent="0.25">
      <c r="A91" s="20"/>
      <c r="B91" s="20"/>
      <c r="C91" s="20"/>
      <c r="D91" s="14"/>
      <c r="E91" s="14"/>
      <c r="F91" s="53"/>
      <c r="G91" s="54"/>
      <c r="H91" s="54"/>
      <c r="I91" s="7"/>
      <c r="J91" s="9"/>
      <c r="K91" s="2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2.75" customHeight="1" x14ac:dyDescent="0.25">
      <c r="A92" s="20"/>
      <c r="B92" s="20"/>
      <c r="C92" s="20"/>
      <c r="D92" s="14"/>
      <c r="E92" s="14"/>
      <c r="F92" s="53"/>
      <c r="G92" s="54"/>
      <c r="H92" s="54"/>
      <c r="I92" s="7"/>
      <c r="J92" s="9"/>
      <c r="K92" s="9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2.75" customHeight="1" x14ac:dyDescent="0.25">
      <c r="A93" s="20"/>
      <c r="B93" s="20"/>
      <c r="C93" s="20"/>
      <c r="D93" s="14"/>
      <c r="E93" s="14"/>
      <c r="F93" s="53"/>
      <c r="G93" s="54"/>
      <c r="H93" s="54"/>
      <c r="I93" s="7"/>
      <c r="J93" s="9"/>
      <c r="K93" s="9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2.75" customHeight="1" x14ac:dyDescent="0.25">
      <c r="A94" s="20"/>
      <c r="B94" s="20"/>
      <c r="C94" s="20"/>
      <c r="D94" s="14"/>
      <c r="E94" s="14"/>
      <c r="F94" s="53"/>
      <c r="G94" s="54"/>
      <c r="H94" s="54"/>
      <c r="I94" s="7"/>
      <c r="J94" s="9"/>
      <c r="K94" s="9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2.75" customHeight="1" x14ac:dyDescent="0.25">
      <c r="A95" s="20"/>
      <c r="B95" s="20"/>
      <c r="C95" s="20"/>
      <c r="D95" s="14"/>
      <c r="E95" s="14"/>
      <c r="F95" s="53"/>
      <c r="G95" s="54"/>
      <c r="H95" s="54"/>
      <c r="I95" s="7"/>
      <c r="J95" s="9"/>
      <c r="K95" s="21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2.75" customHeight="1" x14ac:dyDescent="0.25">
      <c r="A96" s="20"/>
      <c r="B96" s="20"/>
      <c r="C96" s="20"/>
      <c r="D96" s="14"/>
      <c r="E96" s="14"/>
      <c r="F96" s="53"/>
      <c r="G96" s="54"/>
      <c r="H96" s="54"/>
      <c r="I96" s="7"/>
      <c r="J96" s="9"/>
      <c r="K96" s="21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2.75" customHeight="1" x14ac:dyDescent="0.25">
      <c r="A97" s="20"/>
      <c r="B97" s="20"/>
      <c r="C97" s="20"/>
      <c r="D97" s="14"/>
      <c r="E97" s="14"/>
      <c r="F97" s="53"/>
      <c r="G97" s="54"/>
      <c r="H97" s="54"/>
      <c r="I97" s="7"/>
      <c r="J97" s="9"/>
      <c r="K97" s="21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2.75" customHeight="1" x14ac:dyDescent="0.25">
      <c r="A98" s="20"/>
      <c r="B98" s="20"/>
      <c r="C98" s="20"/>
      <c r="D98" s="14"/>
      <c r="E98" s="14"/>
      <c r="F98" s="53"/>
      <c r="G98" s="54"/>
      <c r="H98" s="54"/>
      <c r="I98" s="7"/>
      <c r="J98" s="9"/>
      <c r="K98" s="21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2.75" customHeight="1" x14ac:dyDescent="0.25">
      <c r="A99" s="20"/>
      <c r="B99" s="20"/>
      <c r="C99" s="20"/>
      <c r="D99" s="14"/>
      <c r="E99" s="14"/>
      <c r="F99" s="53"/>
      <c r="G99" s="54"/>
      <c r="H99" s="54"/>
      <c r="I99" s="7"/>
      <c r="J99" s="9"/>
      <c r="K99" s="21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2.75" customHeight="1" x14ac:dyDescent="0.25">
      <c r="A100" s="20"/>
      <c r="B100" s="20"/>
      <c r="C100" s="20"/>
      <c r="D100" s="14"/>
      <c r="E100" s="14"/>
      <c r="F100" s="53"/>
      <c r="G100" s="54"/>
      <c r="H100" s="54"/>
      <c r="I100" s="7"/>
      <c r="J100" s="9"/>
      <c r="K100" s="21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2.75" customHeight="1" x14ac:dyDescent="0.25">
      <c r="A101" s="20"/>
      <c r="B101" s="20"/>
      <c r="C101" s="20"/>
      <c r="D101" s="14"/>
      <c r="E101" s="14"/>
      <c r="F101" s="53"/>
      <c r="G101" s="54"/>
      <c r="H101" s="54"/>
      <c r="I101" s="7"/>
      <c r="J101" s="9"/>
      <c r="K101" s="21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2.75" customHeight="1" x14ac:dyDescent="0.25">
      <c r="A102" s="20"/>
      <c r="B102" s="20"/>
      <c r="C102" s="20"/>
      <c r="D102" s="14"/>
      <c r="E102" s="14"/>
      <c r="F102" s="53"/>
      <c r="G102" s="54"/>
      <c r="H102" s="54"/>
      <c r="I102" s="7"/>
      <c r="J102" s="9"/>
      <c r="K102" s="21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2.75" customHeight="1" x14ac:dyDescent="0.25">
      <c r="A103" s="20"/>
      <c r="B103" s="20"/>
      <c r="C103" s="20"/>
      <c r="D103" s="14"/>
      <c r="E103" s="14"/>
      <c r="F103" s="53"/>
      <c r="G103" s="54"/>
      <c r="H103" s="54"/>
      <c r="I103" s="7"/>
      <c r="J103" s="9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2.75" customHeight="1" x14ac:dyDescent="0.25">
      <c r="A104" s="20"/>
      <c r="B104" s="20"/>
      <c r="C104" s="20"/>
      <c r="D104" s="14"/>
      <c r="E104" s="14"/>
      <c r="F104" s="53"/>
      <c r="G104" s="54"/>
      <c r="H104" s="54"/>
      <c r="I104" s="7"/>
      <c r="J104" s="9"/>
      <c r="K104" s="21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2.75" customHeight="1" x14ac:dyDescent="0.25">
      <c r="A105" s="20"/>
      <c r="B105" s="20"/>
      <c r="C105" s="20"/>
      <c r="D105" s="14"/>
      <c r="E105" s="14"/>
      <c r="F105" s="53"/>
      <c r="G105" s="54"/>
      <c r="H105" s="54"/>
      <c r="I105" s="7"/>
      <c r="J105" s="9"/>
      <c r="K105" s="21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2.75" customHeight="1" x14ac:dyDescent="0.25">
      <c r="A106" s="20"/>
      <c r="B106" s="20"/>
      <c r="C106" s="20"/>
      <c r="D106" s="14"/>
      <c r="E106" s="14"/>
      <c r="F106" s="53"/>
      <c r="G106" s="54"/>
      <c r="H106" s="54"/>
      <c r="I106" s="7"/>
      <c r="J106" s="9"/>
      <c r="K106" s="21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2.75" customHeight="1" x14ac:dyDescent="0.25">
      <c r="A107" s="20"/>
      <c r="B107" s="20"/>
      <c r="C107" s="20"/>
      <c r="D107" s="14"/>
      <c r="E107" s="14"/>
      <c r="F107" s="53"/>
      <c r="G107" s="54"/>
      <c r="H107" s="54"/>
      <c r="I107" s="7"/>
      <c r="J107" s="9"/>
      <c r="K107" s="21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2.75" customHeight="1" x14ac:dyDescent="0.25">
      <c r="A108" s="20"/>
      <c r="B108" s="20"/>
      <c r="C108" s="20"/>
      <c r="D108" s="14"/>
      <c r="E108" s="14"/>
      <c r="F108" s="53"/>
      <c r="G108" s="54"/>
      <c r="H108" s="54"/>
      <c r="I108" s="7"/>
      <c r="J108" s="9"/>
      <c r="K108" s="2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2.75" customHeight="1" x14ac:dyDescent="0.25">
      <c r="A109" s="20"/>
      <c r="B109" s="20"/>
      <c r="C109" s="20"/>
      <c r="D109" s="14"/>
      <c r="E109" s="14"/>
      <c r="F109" s="53"/>
      <c r="G109" s="54"/>
      <c r="H109" s="54"/>
      <c r="I109" s="7"/>
      <c r="J109" s="9"/>
      <c r="K109" s="21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2.75" customHeight="1" x14ac:dyDescent="0.25">
      <c r="A110" s="20"/>
      <c r="B110" s="20"/>
      <c r="C110" s="20"/>
      <c r="D110" s="14"/>
      <c r="E110" s="14"/>
      <c r="F110" s="53"/>
      <c r="G110" s="54"/>
      <c r="H110" s="54"/>
      <c r="I110" s="7"/>
      <c r="J110" s="9"/>
      <c r="K110" s="21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2.75" customHeight="1" x14ac:dyDescent="0.25">
      <c r="A111" s="20"/>
      <c r="B111" s="20"/>
      <c r="C111" s="20"/>
      <c r="D111" s="14"/>
      <c r="E111" s="14"/>
      <c r="F111" s="53"/>
      <c r="G111" s="54"/>
      <c r="H111" s="54"/>
      <c r="I111" s="7"/>
      <c r="J111" s="9"/>
      <c r="K111" s="21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2.75" customHeight="1" x14ac:dyDescent="0.25">
      <c r="A112" s="20"/>
      <c r="B112" s="20"/>
      <c r="C112" s="20"/>
      <c r="D112" s="14"/>
      <c r="E112" s="14"/>
      <c r="F112" s="53"/>
      <c r="G112" s="54"/>
      <c r="H112" s="54"/>
      <c r="I112" s="7"/>
      <c r="J112" s="9"/>
      <c r="K112" s="2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2.75" customHeight="1" x14ac:dyDescent="0.25">
      <c r="A113" s="20"/>
      <c r="B113" s="20"/>
      <c r="C113" s="20"/>
      <c r="D113" s="14"/>
      <c r="E113" s="14"/>
      <c r="F113" s="53"/>
      <c r="G113" s="54"/>
      <c r="H113" s="54"/>
      <c r="I113" s="7"/>
      <c r="J113" s="9"/>
      <c r="K113" s="2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2.75" customHeight="1" x14ac:dyDescent="0.25">
      <c r="A114" s="20"/>
      <c r="B114" s="20"/>
      <c r="C114" s="20"/>
      <c r="D114" s="14"/>
      <c r="E114" s="14"/>
      <c r="F114" s="53"/>
      <c r="G114" s="54"/>
      <c r="H114" s="54"/>
      <c r="I114" s="7"/>
      <c r="J114" s="9"/>
      <c r="K114" s="9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2.75" customHeight="1" x14ac:dyDescent="0.25">
      <c r="A115" s="20"/>
      <c r="B115" s="20"/>
      <c r="C115" s="20"/>
      <c r="D115" s="14"/>
      <c r="E115" s="14"/>
      <c r="F115" s="53"/>
      <c r="G115" s="54"/>
      <c r="H115" s="54"/>
      <c r="I115" s="7"/>
      <c r="J115" s="9"/>
      <c r="K115" s="21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2.75" customHeight="1" x14ac:dyDescent="0.25">
      <c r="A116" s="20"/>
      <c r="B116" s="20"/>
      <c r="C116" s="20"/>
      <c r="D116" s="14"/>
      <c r="E116" s="14"/>
      <c r="F116" s="53"/>
      <c r="G116" s="54"/>
      <c r="H116" s="54"/>
      <c r="I116" s="7"/>
      <c r="J116" s="9"/>
      <c r="K116" s="21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2.75" customHeight="1" x14ac:dyDescent="0.25">
      <c r="A117" s="20"/>
      <c r="B117" s="20"/>
      <c r="C117" s="20"/>
      <c r="D117" s="14"/>
      <c r="E117" s="14"/>
      <c r="F117" s="53"/>
      <c r="G117" s="54"/>
      <c r="H117" s="54"/>
      <c r="I117" s="7"/>
      <c r="J117" s="9"/>
      <c r="K117" s="2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2.75" customHeight="1" x14ac:dyDescent="0.25">
      <c r="A118" s="20"/>
      <c r="B118" s="20"/>
      <c r="C118" s="20"/>
      <c r="D118" s="14"/>
      <c r="E118" s="14"/>
      <c r="F118" s="53"/>
      <c r="G118" s="54"/>
      <c r="H118" s="54"/>
      <c r="I118" s="7"/>
      <c r="J118" s="9"/>
      <c r="K118" s="21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2.75" customHeight="1" x14ac:dyDescent="0.25">
      <c r="A119" s="20"/>
      <c r="B119" s="20"/>
      <c r="C119" s="20"/>
      <c r="D119" s="14"/>
      <c r="E119" s="14"/>
      <c r="F119" s="53"/>
      <c r="G119" s="54"/>
      <c r="H119" s="54"/>
      <c r="I119" s="7"/>
      <c r="J119" s="9"/>
      <c r="K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2.75" customHeight="1" x14ac:dyDescent="0.25">
      <c r="A120" s="20"/>
      <c r="B120" s="20"/>
      <c r="C120" s="20"/>
      <c r="D120" s="14"/>
      <c r="E120" s="14"/>
      <c r="F120" s="53"/>
      <c r="G120" s="54"/>
      <c r="H120" s="54"/>
      <c r="I120" s="7"/>
      <c r="J120" s="9"/>
      <c r="K120" s="2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2.75" customHeight="1" x14ac:dyDescent="0.25">
      <c r="A121" s="20"/>
      <c r="B121" s="20"/>
      <c r="C121" s="20"/>
      <c r="D121" s="14"/>
      <c r="E121" s="14"/>
      <c r="F121" s="53"/>
      <c r="G121" s="54"/>
      <c r="H121" s="54"/>
      <c r="I121" s="7"/>
      <c r="J121" s="9"/>
      <c r="K121" s="21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2.75" customHeight="1" x14ac:dyDescent="0.25">
      <c r="A122" s="20"/>
      <c r="B122" s="20"/>
      <c r="C122" s="20"/>
      <c r="D122" s="14"/>
      <c r="E122" s="14"/>
      <c r="F122" s="53"/>
      <c r="G122" s="54"/>
      <c r="H122" s="54"/>
      <c r="I122" s="7"/>
      <c r="J122" s="9"/>
      <c r="K122" s="21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2.75" customHeight="1" x14ac:dyDescent="0.25">
      <c r="A123" s="20"/>
      <c r="B123" s="20"/>
      <c r="C123" s="20"/>
      <c r="D123" s="14"/>
      <c r="E123" s="14"/>
      <c r="F123" s="53"/>
      <c r="G123" s="54"/>
      <c r="H123" s="54"/>
      <c r="I123" s="7"/>
      <c r="J123" s="9"/>
      <c r="K123" s="21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2.75" customHeight="1" x14ac:dyDescent="0.25">
      <c r="A124" s="20"/>
      <c r="B124" s="20"/>
      <c r="C124" s="20"/>
      <c r="D124" s="14"/>
      <c r="E124" s="14"/>
      <c r="F124" s="53"/>
      <c r="G124" s="54"/>
      <c r="H124" s="54"/>
      <c r="I124" s="7"/>
      <c r="J124" s="9"/>
      <c r="K124" s="2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2.75" customHeight="1" x14ac:dyDescent="0.25">
      <c r="A125" s="20"/>
      <c r="B125" s="20"/>
      <c r="C125" s="20"/>
      <c r="D125" s="14"/>
      <c r="E125" s="14"/>
      <c r="F125" s="53"/>
      <c r="G125" s="54"/>
      <c r="H125" s="54"/>
      <c r="I125" s="7"/>
      <c r="J125" s="9"/>
      <c r="K125" s="21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2.75" customHeight="1" x14ac:dyDescent="0.25">
      <c r="A126" s="20"/>
      <c r="B126" s="20"/>
      <c r="C126" s="20"/>
      <c r="D126" s="14"/>
      <c r="E126" s="14"/>
      <c r="F126" s="53"/>
      <c r="G126" s="54"/>
      <c r="H126" s="54"/>
      <c r="I126" s="7"/>
      <c r="J126" s="9"/>
      <c r="K126" s="21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2.75" customHeight="1" x14ac:dyDescent="0.25">
      <c r="A127" s="20"/>
      <c r="B127" s="20"/>
      <c r="C127" s="20"/>
      <c r="D127" s="14"/>
      <c r="E127" s="14"/>
      <c r="F127" s="53"/>
      <c r="G127" s="54"/>
      <c r="H127" s="54"/>
      <c r="I127" s="7"/>
      <c r="J127" s="9"/>
      <c r="K127" s="2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2.75" customHeight="1" x14ac:dyDescent="0.25">
      <c r="A128" s="20"/>
      <c r="B128" s="20"/>
      <c r="C128" s="20"/>
      <c r="D128" s="14"/>
      <c r="E128" s="14"/>
      <c r="F128" s="53"/>
      <c r="G128" s="54"/>
      <c r="H128" s="54"/>
      <c r="I128" s="7"/>
      <c r="J128" s="9"/>
      <c r="K128" s="2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2.75" customHeight="1" x14ac:dyDescent="0.25">
      <c r="A129" s="20"/>
      <c r="B129" s="20"/>
      <c r="C129" s="20"/>
      <c r="D129" s="14"/>
      <c r="E129" s="14"/>
      <c r="F129" s="53"/>
      <c r="G129" s="54"/>
      <c r="H129" s="54"/>
      <c r="I129" s="7"/>
      <c r="J129" s="9"/>
      <c r="K129" s="2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2.75" customHeight="1" x14ac:dyDescent="0.25">
      <c r="A130" s="20"/>
      <c r="B130" s="20"/>
      <c r="C130" s="20"/>
      <c r="D130" s="14"/>
      <c r="E130" s="14"/>
      <c r="F130" s="53"/>
      <c r="G130" s="54"/>
      <c r="H130" s="54"/>
      <c r="I130" s="7"/>
      <c r="J130" s="9"/>
      <c r="K130" s="21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2.75" customHeight="1" x14ac:dyDescent="0.25">
      <c r="A131" s="20"/>
      <c r="B131" s="20"/>
      <c r="C131" s="20"/>
      <c r="D131" s="14"/>
      <c r="E131" s="14"/>
      <c r="F131" s="53"/>
      <c r="G131" s="54"/>
      <c r="H131" s="54"/>
      <c r="I131" s="7"/>
      <c r="J131" s="9"/>
      <c r="K131" s="2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2.75" customHeight="1" x14ac:dyDescent="0.25">
      <c r="A132" s="20"/>
      <c r="B132" s="20"/>
      <c r="C132" s="20"/>
      <c r="D132" s="14"/>
      <c r="E132" s="14"/>
      <c r="F132" s="53"/>
      <c r="G132" s="54"/>
      <c r="H132" s="54"/>
      <c r="I132" s="7"/>
      <c r="J132" s="9"/>
      <c r="K132" s="21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2.75" customHeight="1" x14ac:dyDescent="0.25">
      <c r="A133" s="20"/>
      <c r="B133" s="20"/>
      <c r="C133" s="20"/>
      <c r="D133" s="14"/>
      <c r="E133" s="14"/>
      <c r="F133" s="53"/>
      <c r="G133" s="54"/>
      <c r="H133" s="54"/>
      <c r="I133" s="7"/>
      <c r="J133" s="9"/>
      <c r="K133" s="9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2.75" customHeight="1" x14ac:dyDescent="0.25">
      <c r="A134" s="20"/>
      <c r="B134" s="20"/>
      <c r="C134" s="20"/>
      <c r="D134" s="14"/>
      <c r="E134" s="14"/>
      <c r="F134" s="53"/>
      <c r="G134" s="54"/>
      <c r="H134" s="54"/>
      <c r="I134" s="7"/>
      <c r="J134" s="9"/>
      <c r="K134" s="9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2.75" customHeight="1" x14ac:dyDescent="0.25">
      <c r="A135" s="20"/>
      <c r="B135" s="20"/>
      <c r="C135" s="20"/>
      <c r="D135" s="14"/>
      <c r="E135" s="14"/>
      <c r="F135" s="53"/>
      <c r="G135" s="54"/>
      <c r="H135" s="54"/>
      <c r="I135" s="7"/>
      <c r="J135" s="9"/>
      <c r="K135" s="9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2.75" customHeight="1" x14ac:dyDescent="0.25">
      <c r="A136" s="20"/>
      <c r="B136" s="20"/>
      <c r="C136" s="20"/>
      <c r="D136" s="14"/>
      <c r="E136" s="14"/>
      <c r="F136" s="53"/>
      <c r="G136" s="54"/>
      <c r="H136" s="54"/>
      <c r="I136" s="7"/>
      <c r="J136" s="9"/>
      <c r="K136" s="9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2.75" customHeight="1" x14ac:dyDescent="0.25">
      <c r="A137" s="20"/>
      <c r="B137" s="20"/>
      <c r="C137" s="20"/>
      <c r="D137" s="14"/>
      <c r="E137" s="14"/>
      <c r="F137" s="53"/>
      <c r="G137" s="54"/>
      <c r="H137" s="54"/>
      <c r="I137" s="7"/>
      <c r="J137" s="9"/>
      <c r="K137" s="9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2.75" customHeight="1" x14ac:dyDescent="0.25">
      <c r="A138" s="20"/>
      <c r="B138" s="20"/>
      <c r="C138" s="20"/>
      <c r="D138" s="14"/>
      <c r="E138" s="14"/>
      <c r="F138" s="53"/>
      <c r="G138" s="54"/>
      <c r="H138" s="54"/>
      <c r="I138" s="7"/>
      <c r="J138" s="9"/>
      <c r="K138" s="9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2.75" customHeight="1" x14ac:dyDescent="0.25">
      <c r="A139" s="20"/>
      <c r="B139" s="20"/>
      <c r="C139" s="20"/>
      <c r="D139" s="14"/>
      <c r="E139" s="14"/>
      <c r="F139" s="53"/>
      <c r="G139" s="54"/>
      <c r="H139" s="54"/>
      <c r="I139" s="7"/>
      <c r="J139" s="9"/>
      <c r="K139" s="9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2.75" customHeight="1" x14ac:dyDescent="0.25">
      <c r="A140" s="20"/>
      <c r="B140" s="20"/>
      <c r="C140" s="20"/>
      <c r="D140" s="14"/>
      <c r="E140" s="14"/>
      <c r="F140" s="53"/>
      <c r="G140" s="54"/>
      <c r="H140" s="54"/>
      <c r="I140" s="7"/>
      <c r="J140" s="9"/>
      <c r="K140" s="9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2.75" customHeight="1" x14ac:dyDescent="0.25">
      <c r="A141" s="20"/>
      <c r="B141" s="20"/>
      <c r="C141" s="20"/>
      <c r="D141" s="14"/>
      <c r="E141" s="14"/>
      <c r="F141" s="53"/>
      <c r="G141" s="54"/>
      <c r="H141" s="54"/>
      <c r="I141" s="7"/>
      <c r="J141" s="9"/>
      <c r="K141" s="9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2.75" customHeight="1" x14ac:dyDescent="0.25">
      <c r="A142" s="20"/>
      <c r="B142" s="20"/>
      <c r="C142" s="20"/>
      <c r="D142" s="14"/>
      <c r="E142" s="14"/>
      <c r="F142" s="53"/>
      <c r="G142" s="54"/>
      <c r="H142" s="54"/>
      <c r="I142" s="7"/>
      <c r="J142" s="9"/>
      <c r="K142" s="9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2.75" customHeight="1" x14ac:dyDescent="0.25">
      <c r="A143" s="20"/>
      <c r="B143" s="20"/>
      <c r="C143" s="20"/>
      <c r="D143" s="14"/>
      <c r="E143" s="14"/>
      <c r="F143" s="53"/>
      <c r="G143" s="54"/>
      <c r="H143" s="54"/>
      <c r="I143" s="7"/>
      <c r="J143" s="9"/>
      <c r="K143" s="9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2.75" customHeight="1" x14ac:dyDescent="0.25">
      <c r="A144" s="20"/>
      <c r="B144" s="20"/>
      <c r="C144" s="20"/>
      <c r="D144" s="14"/>
      <c r="E144" s="14"/>
      <c r="F144" s="53"/>
      <c r="G144" s="54"/>
      <c r="H144" s="54"/>
      <c r="I144" s="7"/>
      <c r="J144" s="9"/>
      <c r="K144" s="9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2.75" customHeight="1" x14ac:dyDescent="0.25">
      <c r="A145" s="20"/>
      <c r="B145" s="20"/>
      <c r="C145" s="20"/>
      <c r="D145" s="14"/>
      <c r="E145" s="14"/>
      <c r="F145" s="53"/>
      <c r="G145" s="54"/>
      <c r="H145" s="54"/>
      <c r="I145" s="7"/>
      <c r="J145" s="9"/>
      <c r="K145" s="9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2.75" customHeight="1" x14ac:dyDescent="0.25">
      <c r="A146" s="20"/>
      <c r="B146" s="20"/>
      <c r="C146" s="20"/>
      <c r="D146" s="14"/>
      <c r="E146" s="14"/>
      <c r="F146" s="53"/>
      <c r="G146" s="54"/>
      <c r="H146" s="54"/>
      <c r="I146" s="7"/>
      <c r="J146" s="9"/>
      <c r="K146" s="9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2.75" customHeight="1" x14ac:dyDescent="0.25">
      <c r="A147" s="20"/>
      <c r="B147" s="20"/>
      <c r="C147" s="20"/>
      <c r="D147" s="14"/>
      <c r="E147" s="14"/>
      <c r="F147" s="53"/>
      <c r="G147" s="54"/>
      <c r="H147" s="54"/>
      <c r="I147" s="7"/>
      <c r="J147" s="9"/>
      <c r="K147" s="9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2.75" customHeight="1" x14ac:dyDescent="0.25">
      <c r="A148" s="20"/>
      <c r="B148" s="20"/>
      <c r="C148" s="20"/>
      <c r="D148" s="14"/>
      <c r="E148" s="14"/>
      <c r="F148" s="53"/>
      <c r="G148" s="54"/>
      <c r="H148" s="54"/>
      <c r="I148" s="7"/>
      <c r="J148" s="9"/>
      <c r="K148" s="9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2.75" customHeight="1" x14ac:dyDescent="0.25">
      <c r="A149" s="20"/>
      <c r="B149" s="20"/>
      <c r="C149" s="20"/>
      <c r="D149" s="14"/>
      <c r="E149" s="14"/>
      <c r="F149" s="53"/>
      <c r="G149" s="54"/>
      <c r="H149" s="54"/>
      <c r="I149" s="7"/>
      <c r="J149" s="9"/>
      <c r="K149" s="9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2.75" customHeight="1" x14ac:dyDescent="0.25">
      <c r="A150" s="20"/>
      <c r="B150" s="20"/>
      <c r="C150" s="20"/>
      <c r="D150" s="14"/>
      <c r="E150" s="14"/>
      <c r="F150" s="53"/>
      <c r="G150" s="54"/>
      <c r="H150" s="54"/>
      <c r="I150" s="7"/>
      <c r="J150" s="9"/>
      <c r="K150" s="9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2.75" customHeight="1" x14ac:dyDescent="0.25">
      <c r="A151" s="20"/>
      <c r="B151" s="20"/>
      <c r="C151" s="20"/>
      <c r="D151" s="14"/>
      <c r="E151" s="14"/>
      <c r="F151" s="53"/>
      <c r="G151" s="54"/>
      <c r="H151" s="54"/>
      <c r="I151" s="7"/>
      <c r="J151" s="9"/>
      <c r="K151" s="9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2.75" customHeight="1" x14ac:dyDescent="0.25">
      <c r="A152" s="20"/>
      <c r="B152" s="20"/>
      <c r="C152" s="20"/>
      <c r="D152" s="14"/>
      <c r="E152" s="14"/>
      <c r="F152" s="53"/>
      <c r="G152" s="54"/>
      <c r="H152" s="54"/>
      <c r="I152" s="7"/>
      <c r="J152" s="9"/>
      <c r="K152" s="9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2.75" customHeight="1" x14ac:dyDescent="0.25">
      <c r="A153" s="20"/>
      <c r="B153" s="20"/>
      <c r="C153" s="20"/>
      <c r="D153" s="14"/>
      <c r="E153" s="14"/>
      <c r="F153" s="53"/>
      <c r="G153" s="54"/>
      <c r="H153" s="54"/>
      <c r="I153" s="7"/>
      <c r="J153" s="9"/>
      <c r="K153" s="9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2.75" customHeight="1" x14ac:dyDescent="0.25">
      <c r="A154" s="20"/>
      <c r="B154" s="20"/>
      <c r="C154" s="20"/>
      <c r="D154" s="14"/>
      <c r="E154" s="14"/>
      <c r="F154" s="53"/>
      <c r="G154" s="54"/>
      <c r="H154" s="54"/>
      <c r="I154" s="7"/>
      <c r="J154" s="9"/>
      <c r="K154" s="9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2.75" customHeight="1" x14ac:dyDescent="0.25">
      <c r="A155" s="20"/>
      <c r="B155" s="20"/>
      <c r="C155" s="20"/>
      <c r="D155" s="14"/>
      <c r="E155" s="14"/>
      <c r="F155" s="53"/>
      <c r="G155" s="54"/>
      <c r="H155" s="54"/>
      <c r="I155" s="7"/>
      <c r="J155" s="9"/>
      <c r="K155" s="9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2.75" customHeight="1" x14ac:dyDescent="0.25">
      <c r="A156" s="20"/>
      <c r="B156" s="20"/>
      <c r="C156" s="20"/>
      <c r="D156" s="14"/>
      <c r="E156" s="14"/>
      <c r="F156" s="53"/>
      <c r="G156" s="54"/>
      <c r="H156" s="54"/>
      <c r="I156" s="7"/>
      <c r="J156" s="9"/>
      <c r="K156" s="9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2.75" customHeight="1" x14ac:dyDescent="0.25">
      <c r="A157" s="20"/>
      <c r="B157" s="20"/>
      <c r="C157" s="20"/>
      <c r="D157" s="14"/>
      <c r="E157" s="14"/>
      <c r="F157" s="53"/>
      <c r="G157" s="54"/>
      <c r="H157" s="54"/>
      <c r="I157" s="7"/>
      <c r="J157" s="9"/>
      <c r="K157" s="9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2.75" customHeight="1" x14ac:dyDescent="0.25">
      <c r="A158" s="20"/>
      <c r="B158" s="20"/>
      <c r="C158" s="20"/>
      <c r="D158" s="14"/>
      <c r="E158" s="14"/>
      <c r="F158" s="53"/>
      <c r="G158" s="54"/>
      <c r="H158" s="54"/>
      <c r="I158" s="7"/>
      <c r="J158" s="9"/>
      <c r="K158" s="9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2.75" customHeight="1" x14ac:dyDescent="0.25">
      <c r="A159" s="20"/>
      <c r="B159" s="20"/>
      <c r="C159" s="20"/>
      <c r="D159" s="14"/>
      <c r="E159" s="14"/>
      <c r="F159" s="53"/>
      <c r="G159" s="54"/>
      <c r="H159" s="54"/>
      <c r="I159" s="7"/>
      <c r="J159" s="9"/>
      <c r="K159" s="9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2.75" customHeight="1" x14ac:dyDescent="0.25">
      <c r="A160" s="20"/>
      <c r="B160" s="20"/>
      <c r="C160" s="20"/>
      <c r="D160" s="14"/>
      <c r="E160" s="14"/>
      <c r="F160" s="53"/>
      <c r="G160" s="54"/>
      <c r="H160" s="54"/>
      <c r="I160" s="7"/>
      <c r="J160" s="9"/>
      <c r="K160" s="9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2.75" customHeight="1" x14ac:dyDescent="0.25">
      <c r="A161" s="20"/>
      <c r="B161" s="20"/>
      <c r="C161" s="20"/>
      <c r="D161" s="14"/>
      <c r="E161" s="14"/>
      <c r="F161" s="53"/>
      <c r="G161" s="54"/>
      <c r="H161" s="54"/>
      <c r="I161" s="7"/>
      <c r="J161" s="9"/>
      <c r="K161" s="9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2.75" customHeight="1" x14ac:dyDescent="0.25">
      <c r="A162" s="20"/>
      <c r="B162" s="20"/>
      <c r="C162" s="20"/>
      <c r="D162" s="14"/>
      <c r="E162" s="14"/>
      <c r="F162" s="53"/>
      <c r="G162" s="54"/>
      <c r="H162" s="54"/>
      <c r="I162" s="7"/>
      <c r="J162" s="9"/>
      <c r="K162" s="9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2.75" customHeight="1" x14ac:dyDescent="0.25">
      <c r="A163" s="20"/>
      <c r="B163" s="20"/>
      <c r="C163" s="20"/>
      <c r="D163" s="14"/>
      <c r="E163" s="14"/>
      <c r="F163" s="53"/>
      <c r="G163" s="54"/>
      <c r="H163" s="54"/>
      <c r="I163" s="7"/>
      <c r="J163" s="9"/>
      <c r="K163" s="9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2.75" customHeight="1" x14ac:dyDescent="0.25">
      <c r="A164" s="20"/>
      <c r="B164" s="20"/>
      <c r="C164" s="20"/>
      <c r="D164" s="14"/>
      <c r="E164" s="14"/>
      <c r="F164" s="53"/>
      <c r="G164" s="54"/>
      <c r="H164" s="54"/>
      <c r="I164" s="7"/>
      <c r="J164" s="9"/>
      <c r="K164" s="9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2.75" customHeight="1" x14ac:dyDescent="0.25">
      <c r="A165" s="20"/>
      <c r="B165" s="20"/>
      <c r="C165" s="20"/>
      <c r="D165" s="14"/>
      <c r="E165" s="14"/>
      <c r="F165" s="53"/>
      <c r="G165" s="54"/>
      <c r="H165" s="54"/>
      <c r="I165" s="7"/>
      <c r="J165" s="9"/>
      <c r="K165" s="9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2.75" customHeight="1" x14ac:dyDescent="0.25">
      <c r="A166" s="20"/>
      <c r="B166" s="20"/>
      <c r="C166" s="20"/>
      <c r="D166" s="14"/>
      <c r="E166" s="14"/>
      <c r="F166" s="53"/>
      <c r="G166" s="54"/>
      <c r="H166" s="54"/>
      <c r="I166" s="7"/>
      <c r="J166" s="9"/>
      <c r="K166" s="9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2.75" customHeight="1" x14ac:dyDescent="0.25">
      <c r="A167" s="20"/>
      <c r="B167" s="20"/>
      <c r="C167" s="20"/>
      <c r="D167" s="14"/>
      <c r="E167" s="14"/>
      <c r="F167" s="53"/>
      <c r="G167" s="54"/>
      <c r="H167" s="54"/>
      <c r="I167" s="7"/>
      <c r="J167" s="9"/>
      <c r="K167" s="9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2.75" customHeight="1" x14ac:dyDescent="0.25">
      <c r="A168" s="20"/>
      <c r="B168" s="20"/>
      <c r="C168" s="20"/>
      <c r="D168" s="14"/>
      <c r="E168" s="14"/>
      <c r="F168" s="53"/>
      <c r="G168" s="54"/>
      <c r="H168" s="54"/>
      <c r="I168" s="7"/>
      <c r="J168" s="9"/>
      <c r="K168" s="9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2.75" customHeight="1" x14ac:dyDescent="0.25">
      <c r="A169" s="20"/>
      <c r="B169" s="20"/>
      <c r="C169" s="20"/>
      <c r="D169" s="14"/>
      <c r="E169" s="14"/>
      <c r="F169" s="53"/>
      <c r="G169" s="54"/>
      <c r="H169" s="54"/>
      <c r="I169" s="7"/>
      <c r="J169" s="9"/>
      <c r="K169" s="9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2.75" customHeight="1" x14ac:dyDescent="0.25">
      <c r="A170" s="20"/>
      <c r="B170" s="20"/>
      <c r="C170" s="20"/>
      <c r="D170" s="14"/>
      <c r="E170" s="14"/>
      <c r="F170" s="53"/>
      <c r="G170" s="54"/>
      <c r="H170" s="54"/>
      <c r="I170" s="7"/>
      <c r="J170" s="9"/>
      <c r="K170" s="9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2.75" customHeight="1" x14ac:dyDescent="0.25">
      <c r="A171" s="20"/>
      <c r="B171" s="20"/>
      <c r="C171" s="20"/>
      <c r="D171" s="14"/>
      <c r="E171" s="14"/>
      <c r="F171" s="53"/>
      <c r="G171" s="54"/>
      <c r="H171" s="54"/>
      <c r="I171" s="7"/>
      <c r="J171" s="9"/>
      <c r="K171" s="9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2.75" customHeight="1" x14ac:dyDescent="0.25">
      <c r="A172" s="20"/>
      <c r="B172" s="20"/>
      <c r="C172" s="20"/>
      <c r="D172" s="14"/>
      <c r="E172" s="14"/>
      <c r="F172" s="53"/>
      <c r="G172" s="54"/>
      <c r="H172" s="54"/>
      <c r="I172" s="7"/>
      <c r="J172" s="9"/>
      <c r="K172" s="9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2.75" customHeight="1" x14ac:dyDescent="0.25">
      <c r="A173" s="20"/>
      <c r="B173" s="20"/>
      <c r="C173" s="20"/>
      <c r="D173" s="14"/>
      <c r="E173" s="14"/>
      <c r="F173" s="53"/>
      <c r="G173" s="54"/>
      <c r="H173" s="54"/>
      <c r="I173" s="7"/>
      <c r="J173" s="9"/>
      <c r="K173" s="9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2.75" customHeight="1" x14ac:dyDescent="0.25">
      <c r="A174" s="20"/>
      <c r="B174" s="20"/>
      <c r="C174" s="20"/>
      <c r="D174" s="14"/>
      <c r="E174" s="14"/>
      <c r="F174" s="53"/>
      <c r="G174" s="54"/>
      <c r="H174" s="54"/>
      <c r="I174" s="7"/>
      <c r="J174" s="9"/>
      <c r="K174" s="9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2.75" customHeight="1" x14ac:dyDescent="0.25">
      <c r="A175" s="20"/>
      <c r="B175" s="20"/>
      <c r="C175" s="20"/>
      <c r="D175" s="14"/>
      <c r="E175" s="14"/>
      <c r="F175" s="53"/>
      <c r="G175" s="54"/>
      <c r="H175" s="54"/>
      <c r="I175" s="7"/>
      <c r="J175" s="9"/>
      <c r="K175" s="9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2.75" customHeight="1" x14ac:dyDescent="0.25">
      <c r="A176" s="20"/>
      <c r="B176" s="20"/>
      <c r="C176" s="20"/>
      <c r="D176" s="14"/>
      <c r="E176" s="14"/>
      <c r="F176" s="53"/>
      <c r="G176" s="54"/>
      <c r="H176" s="54"/>
      <c r="I176" s="7"/>
      <c r="J176" s="9"/>
      <c r="K176" s="9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2.75" customHeight="1" x14ac:dyDescent="0.25">
      <c r="A177" s="20"/>
      <c r="B177" s="20"/>
      <c r="C177" s="20"/>
      <c r="D177" s="14"/>
      <c r="E177" s="14"/>
      <c r="F177" s="53"/>
      <c r="G177" s="54"/>
      <c r="H177" s="54"/>
      <c r="I177" s="7"/>
      <c r="J177" s="9"/>
      <c r="K177" s="9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2.75" customHeight="1" x14ac:dyDescent="0.25">
      <c r="A178" s="20"/>
      <c r="B178" s="20"/>
      <c r="C178" s="20"/>
      <c r="D178" s="14"/>
      <c r="E178" s="14"/>
      <c r="F178" s="53"/>
      <c r="G178" s="54"/>
      <c r="H178" s="54"/>
      <c r="I178" s="7"/>
      <c r="J178" s="9"/>
      <c r="K178" s="9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2.75" customHeight="1" x14ac:dyDescent="0.25">
      <c r="A179" s="20"/>
      <c r="B179" s="20"/>
      <c r="C179" s="20"/>
      <c r="D179" s="14"/>
      <c r="E179" s="14"/>
      <c r="F179" s="53"/>
      <c r="G179" s="54"/>
      <c r="H179" s="54"/>
      <c r="I179" s="7"/>
      <c r="J179" s="9"/>
      <c r="K179" s="9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2.75" customHeight="1" x14ac:dyDescent="0.25">
      <c r="A180" s="20"/>
      <c r="B180" s="20"/>
      <c r="C180" s="20"/>
      <c r="D180" s="14"/>
      <c r="E180" s="14"/>
      <c r="F180" s="53"/>
      <c r="G180" s="54"/>
      <c r="H180" s="54"/>
      <c r="I180" s="7"/>
      <c r="J180" s="9"/>
      <c r="K180" s="9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2.75" customHeight="1" x14ac:dyDescent="0.25">
      <c r="A181" s="20"/>
      <c r="B181" s="20"/>
      <c r="C181" s="20"/>
      <c r="D181" s="14"/>
      <c r="E181" s="14"/>
      <c r="F181" s="53"/>
      <c r="G181" s="54"/>
      <c r="H181" s="54"/>
      <c r="I181" s="7"/>
      <c r="J181" s="9"/>
      <c r="K181" s="9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2.75" customHeight="1" x14ac:dyDescent="0.25">
      <c r="A182" s="20"/>
      <c r="B182" s="20"/>
      <c r="C182" s="20"/>
      <c r="D182" s="14"/>
      <c r="E182" s="14"/>
      <c r="F182" s="53"/>
      <c r="G182" s="54"/>
      <c r="H182" s="54"/>
      <c r="I182" s="7"/>
      <c r="J182" s="9"/>
      <c r="K182" s="9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2.75" customHeight="1" x14ac:dyDescent="0.25">
      <c r="A183" s="20"/>
      <c r="B183" s="20"/>
      <c r="C183" s="20"/>
      <c r="D183" s="14"/>
      <c r="E183" s="14"/>
      <c r="F183" s="53"/>
      <c r="G183" s="54"/>
      <c r="H183" s="54"/>
      <c r="I183" s="7"/>
      <c r="J183" s="9"/>
      <c r="K183" s="9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2.75" customHeight="1" x14ac:dyDescent="0.25">
      <c r="A184" s="20"/>
      <c r="B184" s="20"/>
      <c r="C184" s="20"/>
      <c r="D184" s="14"/>
      <c r="E184" s="14"/>
      <c r="F184" s="53"/>
      <c r="G184" s="54"/>
      <c r="H184" s="54"/>
      <c r="I184" s="7"/>
      <c r="J184" s="9"/>
      <c r="K184" s="9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2.75" customHeight="1" x14ac:dyDescent="0.25">
      <c r="A185" s="20"/>
      <c r="B185" s="20"/>
      <c r="C185" s="20"/>
      <c r="D185" s="14"/>
      <c r="E185" s="14"/>
      <c r="F185" s="53"/>
      <c r="G185" s="54"/>
      <c r="H185" s="54"/>
      <c r="I185" s="7"/>
      <c r="J185" s="9"/>
      <c r="K185" s="9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2.75" customHeight="1" x14ac:dyDescent="0.25">
      <c r="A186" s="20"/>
      <c r="B186" s="20"/>
      <c r="C186" s="20"/>
      <c r="D186" s="14"/>
      <c r="E186" s="14"/>
      <c r="F186" s="53"/>
      <c r="G186" s="54"/>
      <c r="H186" s="54"/>
      <c r="I186" s="7"/>
      <c r="J186" s="9"/>
      <c r="K186" s="9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2.75" customHeight="1" x14ac:dyDescent="0.25">
      <c r="A187" s="20"/>
      <c r="B187" s="20"/>
      <c r="C187" s="20"/>
      <c r="D187" s="14"/>
      <c r="E187" s="14"/>
      <c r="F187" s="53"/>
      <c r="G187" s="54"/>
      <c r="H187" s="54"/>
      <c r="I187" s="7"/>
      <c r="J187" s="9"/>
      <c r="K187" s="9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2.75" customHeight="1" x14ac:dyDescent="0.25">
      <c r="A188" s="20"/>
      <c r="B188" s="20"/>
      <c r="C188" s="20"/>
      <c r="D188" s="14"/>
      <c r="E188" s="14"/>
      <c r="F188" s="53"/>
      <c r="G188" s="54"/>
      <c r="H188" s="54"/>
      <c r="I188" s="7"/>
      <c r="J188" s="9"/>
      <c r="K188" s="9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2.75" customHeight="1" x14ac:dyDescent="0.25">
      <c r="A189" s="20"/>
      <c r="B189" s="20"/>
      <c r="C189" s="20"/>
      <c r="D189" s="14"/>
      <c r="E189" s="14"/>
      <c r="F189" s="53"/>
      <c r="G189" s="54"/>
      <c r="H189" s="54"/>
      <c r="I189" s="7"/>
      <c r="J189" s="9"/>
      <c r="K189" s="9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2.75" customHeight="1" x14ac:dyDescent="0.25">
      <c r="A190" s="20"/>
      <c r="B190" s="20"/>
      <c r="C190" s="20"/>
      <c r="D190" s="14"/>
      <c r="E190" s="14"/>
      <c r="F190" s="53"/>
      <c r="G190" s="54"/>
      <c r="H190" s="54"/>
      <c r="I190" s="7"/>
      <c r="J190" s="9"/>
      <c r="K190" s="9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2.75" customHeight="1" x14ac:dyDescent="0.25">
      <c r="A191" s="20"/>
      <c r="B191" s="20"/>
      <c r="C191" s="20"/>
      <c r="D191" s="14"/>
      <c r="E191" s="14"/>
      <c r="F191" s="53"/>
      <c r="G191" s="54"/>
      <c r="H191" s="54"/>
      <c r="I191" s="7"/>
      <c r="J191" s="9"/>
      <c r="K191" s="9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2.75" customHeight="1" x14ac:dyDescent="0.25">
      <c r="A192" s="20"/>
      <c r="B192" s="20"/>
      <c r="C192" s="20"/>
      <c r="D192" s="14"/>
      <c r="E192" s="14"/>
      <c r="F192" s="53"/>
      <c r="G192" s="54"/>
      <c r="H192" s="54"/>
      <c r="I192" s="7"/>
      <c r="J192" s="9"/>
      <c r="K192" s="9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2.75" customHeight="1" x14ac:dyDescent="0.25">
      <c r="A193" s="20"/>
      <c r="B193" s="20"/>
      <c r="C193" s="20"/>
      <c r="D193" s="14"/>
      <c r="E193" s="14"/>
      <c r="F193" s="53"/>
      <c r="G193" s="54"/>
      <c r="H193" s="54"/>
      <c r="I193" s="7"/>
      <c r="J193" s="9"/>
      <c r="K193" s="9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2.75" customHeight="1" x14ac:dyDescent="0.25">
      <c r="A194" s="20"/>
      <c r="B194" s="20"/>
      <c r="C194" s="20"/>
      <c r="D194" s="14"/>
      <c r="E194" s="14"/>
      <c r="F194" s="53"/>
      <c r="G194" s="54"/>
      <c r="H194" s="54"/>
      <c r="I194" s="7"/>
      <c r="J194" s="9"/>
      <c r="K194" s="21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2.75" customHeight="1" x14ac:dyDescent="0.25">
      <c r="A195" s="20"/>
      <c r="B195" s="20"/>
      <c r="C195" s="20"/>
      <c r="D195" s="14"/>
      <c r="E195" s="14"/>
      <c r="F195" s="53"/>
      <c r="G195" s="54"/>
      <c r="H195" s="54"/>
      <c r="I195" s="7"/>
      <c r="J195" s="9"/>
      <c r="K195" s="9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2.75" customHeight="1" x14ac:dyDescent="0.25">
      <c r="A196" s="20"/>
      <c r="B196" s="20"/>
      <c r="C196" s="20"/>
      <c r="D196" s="14"/>
      <c r="E196" s="14"/>
      <c r="F196" s="53"/>
      <c r="G196" s="54"/>
      <c r="H196" s="54"/>
      <c r="I196" s="7"/>
      <c r="J196" s="9"/>
      <c r="K196" s="9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2.75" customHeight="1" x14ac:dyDescent="0.25">
      <c r="A197" s="20"/>
      <c r="B197" s="20"/>
      <c r="C197" s="20"/>
      <c r="D197" s="14"/>
      <c r="E197" s="14"/>
      <c r="F197" s="53"/>
      <c r="G197" s="54"/>
      <c r="H197" s="54"/>
      <c r="I197" s="7"/>
      <c r="J197" s="9"/>
      <c r="K197" s="9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2.75" customHeight="1" x14ac:dyDescent="0.25">
      <c r="A198" s="20"/>
      <c r="B198" s="20"/>
      <c r="C198" s="20"/>
      <c r="D198" s="14"/>
      <c r="E198" s="14"/>
      <c r="F198" s="53"/>
      <c r="G198" s="54"/>
      <c r="H198" s="54"/>
      <c r="I198" s="7"/>
      <c r="J198" s="9"/>
      <c r="K198" s="9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2.75" customHeight="1" x14ac:dyDescent="0.25">
      <c r="A199" s="20"/>
      <c r="B199" s="20"/>
      <c r="C199" s="20"/>
      <c r="D199" s="14"/>
      <c r="E199" s="14"/>
      <c r="F199" s="53"/>
      <c r="G199" s="54"/>
      <c r="H199" s="54"/>
      <c r="I199" s="7"/>
      <c r="J199" s="9"/>
      <c r="K199" s="9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2.75" customHeight="1" x14ac:dyDescent="0.25">
      <c r="A200" s="20"/>
      <c r="B200" s="20"/>
      <c r="C200" s="20"/>
      <c r="D200" s="14"/>
      <c r="E200" s="14"/>
      <c r="F200" s="53"/>
      <c r="G200" s="54"/>
      <c r="H200" s="54"/>
      <c r="I200" s="7"/>
      <c r="J200" s="9"/>
      <c r="K200" s="9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2.75" customHeight="1" x14ac:dyDescent="0.25">
      <c r="A201" s="20"/>
      <c r="B201" s="20"/>
      <c r="C201" s="20"/>
      <c r="D201" s="14"/>
      <c r="E201" s="14"/>
      <c r="F201" s="53"/>
      <c r="G201" s="54"/>
      <c r="H201" s="54"/>
      <c r="I201" s="7"/>
      <c r="J201" s="9"/>
      <c r="K201" s="9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2.75" customHeight="1" x14ac:dyDescent="0.25">
      <c r="A202" s="20"/>
      <c r="B202" s="20"/>
      <c r="C202" s="20"/>
      <c r="D202" s="14"/>
      <c r="E202" s="14"/>
      <c r="F202" s="53"/>
      <c r="G202" s="54"/>
      <c r="H202" s="54"/>
      <c r="I202" s="7"/>
      <c r="J202" s="9"/>
      <c r="K202" s="9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2.75" customHeight="1" x14ac:dyDescent="0.25">
      <c r="A203" s="20"/>
      <c r="B203" s="20"/>
      <c r="C203" s="20"/>
      <c r="D203" s="14"/>
      <c r="E203" s="14"/>
      <c r="F203" s="53"/>
      <c r="G203" s="54"/>
      <c r="H203" s="54"/>
      <c r="I203" s="7"/>
      <c r="J203" s="9"/>
      <c r="K203" s="9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2.75" customHeight="1" x14ac:dyDescent="0.25">
      <c r="A204" s="20"/>
      <c r="B204" s="20"/>
      <c r="C204" s="20"/>
      <c r="D204" s="14"/>
      <c r="E204" s="14"/>
      <c r="F204" s="53"/>
      <c r="G204" s="54"/>
      <c r="H204" s="54"/>
      <c r="I204" s="7"/>
      <c r="J204" s="9"/>
      <c r="K204" s="9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2.75" customHeight="1" x14ac:dyDescent="0.25">
      <c r="A205" s="20"/>
      <c r="B205" s="20"/>
      <c r="C205" s="20"/>
      <c r="D205" s="14"/>
      <c r="E205" s="14"/>
      <c r="F205" s="53"/>
      <c r="G205" s="54"/>
      <c r="H205" s="54"/>
      <c r="I205" s="7"/>
      <c r="J205" s="9"/>
      <c r="K205" s="9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2.75" customHeight="1" x14ac:dyDescent="0.25">
      <c r="A206" s="20"/>
      <c r="B206" s="20"/>
      <c r="C206" s="20"/>
      <c r="D206" s="14"/>
      <c r="E206" s="14"/>
      <c r="F206" s="53"/>
      <c r="G206" s="54"/>
      <c r="H206" s="54"/>
      <c r="I206" s="7"/>
      <c r="J206" s="9"/>
      <c r="K206" s="9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2.75" customHeight="1" x14ac:dyDescent="0.25">
      <c r="A207" s="20"/>
      <c r="B207" s="20"/>
      <c r="C207" s="20"/>
      <c r="D207" s="14"/>
      <c r="E207" s="14"/>
      <c r="F207" s="53"/>
      <c r="G207" s="54"/>
      <c r="H207" s="54"/>
      <c r="I207" s="7"/>
      <c r="J207" s="9"/>
      <c r="K207" s="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2.75" customHeight="1" x14ac:dyDescent="0.25">
      <c r="A208" s="20"/>
      <c r="B208" s="20"/>
      <c r="C208" s="20"/>
      <c r="D208" s="14"/>
      <c r="E208" s="14"/>
      <c r="F208" s="53"/>
      <c r="G208" s="54"/>
      <c r="H208" s="54"/>
      <c r="I208" s="7"/>
      <c r="J208" s="9"/>
      <c r="K208" s="9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2.75" customHeight="1" x14ac:dyDescent="0.25">
      <c r="A209" s="20"/>
      <c r="B209" s="20"/>
      <c r="C209" s="20"/>
      <c r="D209" s="14"/>
      <c r="E209" s="14"/>
      <c r="F209" s="53"/>
      <c r="G209" s="54"/>
      <c r="H209" s="54"/>
      <c r="I209" s="7"/>
      <c r="J209" s="9"/>
      <c r="K209" s="9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2.75" customHeight="1" x14ac:dyDescent="0.25">
      <c r="A210" s="20"/>
      <c r="B210" s="20"/>
      <c r="C210" s="20"/>
      <c r="D210" s="14"/>
      <c r="E210" s="14"/>
      <c r="F210" s="53"/>
      <c r="G210" s="54"/>
      <c r="H210" s="54"/>
      <c r="I210" s="7"/>
      <c r="J210" s="9"/>
      <c r="K210" s="9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2.75" customHeight="1" x14ac:dyDescent="0.25">
      <c r="A211" s="20"/>
      <c r="B211" s="20"/>
      <c r="C211" s="20"/>
      <c r="D211" s="14"/>
      <c r="E211" s="14"/>
      <c r="F211" s="53"/>
      <c r="G211" s="54"/>
      <c r="H211" s="54"/>
      <c r="I211" s="7"/>
      <c r="J211" s="9"/>
      <c r="K211" s="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2.75" customHeight="1" x14ac:dyDescent="0.25">
      <c r="A212" s="20"/>
      <c r="B212" s="20"/>
      <c r="C212" s="20"/>
      <c r="D212" s="14"/>
      <c r="E212" s="14"/>
      <c r="F212" s="53"/>
      <c r="G212" s="54"/>
      <c r="H212" s="54"/>
      <c r="I212" s="7"/>
      <c r="J212" s="9"/>
      <c r="K212" s="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2.75" customHeight="1" x14ac:dyDescent="0.25">
      <c r="A213" s="20"/>
      <c r="B213" s="20"/>
      <c r="C213" s="20"/>
      <c r="D213" s="14"/>
      <c r="E213" s="14"/>
      <c r="F213" s="53"/>
      <c r="G213" s="54"/>
      <c r="H213" s="54"/>
      <c r="I213" s="7"/>
      <c r="J213" s="9"/>
      <c r="K213" s="9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2.75" customHeight="1" x14ac:dyDescent="0.25">
      <c r="A214" s="20"/>
      <c r="B214" s="20"/>
      <c r="C214" s="20"/>
      <c r="D214" s="14"/>
      <c r="E214" s="14"/>
      <c r="F214" s="53"/>
      <c r="G214" s="54"/>
      <c r="H214" s="54"/>
      <c r="I214" s="7"/>
      <c r="J214" s="9"/>
      <c r="K214" s="9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2.75" customHeight="1" x14ac:dyDescent="0.25">
      <c r="A215" s="20"/>
      <c r="B215" s="20"/>
      <c r="C215" s="20"/>
      <c r="D215" s="14"/>
      <c r="E215" s="14"/>
      <c r="F215" s="53"/>
      <c r="G215" s="54"/>
      <c r="H215" s="54"/>
      <c r="I215" s="7"/>
      <c r="J215" s="9"/>
      <c r="K215" s="9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2.75" customHeight="1" x14ac:dyDescent="0.25">
      <c r="A216" s="20"/>
      <c r="B216" s="20"/>
      <c r="C216" s="20"/>
      <c r="D216" s="14"/>
      <c r="E216" s="14"/>
      <c r="F216" s="53"/>
      <c r="G216" s="54"/>
      <c r="H216" s="54"/>
      <c r="I216" s="7"/>
      <c r="J216" s="9"/>
      <c r="K216" s="9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2.75" customHeight="1" x14ac:dyDescent="0.25">
      <c r="A217" s="20"/>
      <c r="B217" s="20"/>
      <c r="C217" s="20"/>
      <c r="D217" s="14"/>
      <c r="E217" s="14"/>
      <c r="F217" s="53"/>
      <c r="G217" s="54"/>
      <c r="H217" s="54"/>
      <c r="I217" s="7"/>
      <c r="J217" s="9"/>
      <c r="K217" s="9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2.75" customHeight="1" x14ac:dyDescent="0.25">
      <c r="A218" s="20"/>
      <c r="B218" s="20"/>
      <c r="C218" s="20"/>
      <c r="D218" s="14"/>
      <c r="E218" s="14"/>
      <c r="F218" s="53"/>
      <c r="G218" s="54"/>
      <c r="H218" s="54"/>
      <c r="I218" s="7"/>
      <c r="J218" s="9"/>
      <c r="K218" s="9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2.75" customHeight="1" x14ac:dyDescent="0.25">
      <c r="A219" s="20"/>
      <c r="B219" s="20"/>
      <c r="C219" s="20"/>
      <c r="D219" s="14"/>
      <c r="E219" s="14"/>
      <c r="F219" s="53"/>
      <c r="G219" s="54"/>
      <c r="H219" s="54"/>
      <c r="I219" s="7"/>
      <c r="J219" s="9"/>
      <c r="K219" s="9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2.75" customHeight="1" x14ac:dyDescent="0.25">
      <c r="A220" s="20"/>
      <c r="B220" s="20"/>
      <c r="C220" s="20"/>
      <c r="D220" s="14"/>
      <c r="E220" s="14"/>
      <c r="F220" s="53"/>
      <c r="G220" s="54"/>
      <c r="H220" s="54"/>
      <c r="I220" s="7"/>
      <c r="J220" s="9"/>
      <c r="K220" s="9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2.75" customHeight="1" x14ac:dyDescent="0.25">
      <c r="A221" s="20"/>
      <c r="B221" s="20"/>
      <c r="C221" s="20"/>
      <c r="D221" s="14"/>
      <c r="E221" s="14"/>
      <c r="F221" s="53"/>
      <c r="G221" s="54"/>
      <c r="H221" s="54"/>
      <c r="I221" s="7"/>
      <c r="J221" s="9"/>
      <c r="K221" s="9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2.75" customHeight="1" x14ac:dyDescent="0.25">
      <c r="A222" s="20"/>
      <c r="B222" s="20"/>
      <c r="C222" s="20"/>
      <c r="D222" s="14"/>
      <c r="E222" s="14"/>
      <c r="F222" s="53"/>
      <c r="G222" s="54"/>
      <c r="H222" s="54"/>
      <c r="I222" s="7"/>
      <c r="J222" s="9"/>
      <c r="K222" s="9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2.75" customHeight="1" x14ac:dyDescent="0.25">
      <c r="A223" s="20"/>
      <c r="B223" s="20"/>
      <c r="C223" s="20"/>
      <c r="D223" s="14"/>
      <c r="E223" s="14"/>
      <c r="F223" s="53"/>
      <c r="G223" s="54"/>
      <c r="H223" s="54"/>
      <c r="I223" s="7"/>
      <c r="J223" s="9"/>
      <c r="K223" s="9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2.75" customHeight="1" x14ac:dyDescent="0.25">
      <c r="A224" s="20"/>
      <c r="B224" s="20"/>
      <c r="C224" s="20"/>
      <c r="D224" s="14"/>
      <c r="E224" s="14"/>
      <c r="F224" s="53"/>
      <c r="G224" s="54"/>
      <c r="H224" s="54"/>
      <c r="I224" s="7"/>
      <c r="J224" s="9"/>
      <c r="K224" s="9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2.75" customHeight="1" x14ac:dyDescent="0.25">
      <c r="A225" s="20"/>
      <c r="B225" s="20"/>
      <c r="C225" s="20"/>
      <c r="D225" s="14"/>
      <c r="E225" s="14"/>
      <c r="F225" s="53"/>
      <c r="G225" s="54"/>
      <c r="H225" s="54"/>
      <c r="I225" s="7"/>
      <c r="J225" s="9"/>
      <c r="K225" s="9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2.75" customHeight="1" x14ac:dyDescent="0.25">
      <c r="A226" s="20"/>
      <c r="B226" s="20"/>
      <c r="C226" s="20"/>
      <c r="D226" s="14"/>
      <c r="E226" s="14"/>
      <c r="F226" s="53"/>
      <c r="G226" s="54"/>
      <c r="H226" s="54"/>
      <c r="I226" s="7"/>
      <c r="J226" s="9"/>
      <c r="K226" s="9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2.75" customHeight="1" x14ac:dyDescent="0.25">
      <c r="A227" s="20"/>
      <c r="B227" s="20"/>
      <c r="C227" s="20"/>
      <c r="D227" s="14"/>
      <c r="E227" s="14"/>
      <c r="F227" s="53"/>
      <c r="G227" s="54"/>
      <c r="H227" s="54"/>
      <c r="I227" s="7"/>
      <c r="J227" s="9"/>
      <c r="K227" s="9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2.75" customHeight="1" x14ac:dyDescent="0.25">
      <c r="A228" s="20"/>
      <c r="B228" s="20"/>
      <c r="C228" s="20"/>
      <c r="D228" s="14"/>
      <c r="E228" s="14"/>
      <c r="F228" s="53"/>
      <c r="G228" s="54"/>
      <c r="H228" s="54"/>
      <c r="I228" s="7"/>
      <c r="J228" s="9"/>
      <c r="K228" s="9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2.75" customHeight="1" x14ac:dyDescent="0.25">
      <c r="A229" s="20"/>
      <c r="B229" s="20"/>
      <c r="C229" s="20"/>
      <c r="D229" s="14"/>
      <c r="E229" s="14"/>
      <c r="F229" s="53"/>
      <c r="G229" s="54"/>
      <c r="H229" s="54"/>
      <c r="I229" s="7"/>
      <c r="J229" s="9"/>
      <c r="K229" s="9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2.75" customHeight="1" x14ac:dyDescent="0.25">
      <c r="A230" s="20"/>
      <c r="B230" s="20"/>
      <c r="C230" s="20"/>
      <c r="D230" s="14"/>
      <c r="E230" s="14"/>
      <c r="F230" s="53"/>
      <c r="G230" s="54"/>
      <c r="H230" s="54"/>
      <c r="I230" s="7"/>
      <c r="J230" s="9"/>
      <c r="K230" s="9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2.75" customHeight="1" x14ac:dyDescent="0.25">
      <c r="A231" s="20"/>
      <c r="B231" s="20"/>
      <c r="C231" s="20"/>
      <c r="D231" s="14"/>
      <c r="E231" s="14"/>
      <c r="F231" s="53"/>
      <c r="G231" s="54"/>
      <c r="H231" s="54"/>
      <c r="I231" s="7"/>
      <c r="J231" s="9"/>
      <c r="K231" s="9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2.75" customHeight="1" x14ac:dyDescent="0.25">
      <c r="A232" s="20"/>
      <c r="B232" s="20"/>
      <c r="C232" s="20"/>
      <c r="D232" s="14"/>
      <c r="E232" s="14"/>
      <c r="F232" s="53"/>
      <c r="G232" s="54"/>
      <c r="H232" s="54"/>
      <c r="I232" s="7"/>
      <c r="J232" s="9"/>
      <c r="K232" s="9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2.75" customHeight="1" x14ac:dyDescent="0.25">
      <c r="A233" s="20"/>
      <c r="B233" s="20"/>
      <c r="C233" s="20"/>
      <c r="D233" s="14"/>
      <c r="E233" s="14"/>
      <c r="F233" s="53"/>
      <c r="G233" s="54"/>
      <c r="H233" s="54"/>
      <c r="I233" s="7"/>
      <c r="J233" s="9"/>
      <c r="K233" s="9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2.75" customHeight="1" x14ac:dyDescent="0.25">
      <c r="A234" s="20"/>
      <c r="B234" s="20"/>
      <c r="C234" s="20"/>
      <c r="D234" s="14"/>
      <c r="E234" s="14"/>
      <c r="F234" s="53"/>
      <c r="G234" s="54"/>
      <c r="H234" s="54"/>
      <c r="I234" s="7"/>
      <c r="J234" s="9"/>
      <c r="K234" s="9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2.75" customHeight="1" x14ac:dyDescent="0.25">
      <c r="A235" s="20"/>
      <c r="B235" s="20"/>
      <c r="C235" s="20"/>
      <c r="D235" s="14"/>
      <c r="E235" s="14"/>
      <c r="F235" s="53"/>
      <c r="G235" s="54"/>
      <c r="H235" s="54"/>
      <c r="I235" s="7"/>
      <c r="J235" s="9"/>
      <c r="K235" s="9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2.75" customHeight="1" x14ac:dyDescent="0.25">
      <c r="A236" s="20"/>
      <c r="B236" s="20"/>
      <c r="C236" s="20"/>
      <c r="D236" s="14"/>
      <c r="E236" s="14"/>
      <c r="F236" s="53"/>
      <c r="G236" s="54"/>
      <c r="H236" s="54"/>
      <c r="I236" s="7"/>
      <c r="J236" s="9"/>
      <c r="K236" s="9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2.75" customHeight="1" x14ac:dyDescent="0.25">
      <c r="A237" s="20"/>
      <c r="B237" s="20"/>
      <c r="C237" s="20"/>
      <c r="D237" s="14"/>
      <c r="E237" s="14"/>
      <c r="F237" s="53"/>
      <c r="G237" s="54"/>
      <c r="H237" s="54"/>
      <c r="I237" s="7"/>
      <c r="J237" s="9"/>
      <c r="K237" s="9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2.75" customHeight="1" x14ac:dyDescent="0.25">
      <c r="A238" s="20"/>
      <c r="B238" s="20"/>
      <c r="C238" s="20"/>
      <c r="D238" s="14"/>
      <c r="E238" s="14"/>
      <c r="F238" s="53"/>
      <c r="G238" s="54"/>
      <c r="H238" s="54"/>
      <c r="I238" s="7"/>
      <c r="J238" s="9"/>
      <c r="K238" s="9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2.75" customHeight="1" x14ac:dyDescent="0.25">
      <c r="A239" s="20"/>
      <c r="B239" s="20"/>
      <c r="C239" s="20"/>
      <c r="D239" s="14"/>
      <c r="E239" s="14"/>
      <c r="F239" s="53"/>
      <c r="G239" s="54"/>
      <c r="H239" s="54"/>
      <c r="I239" s="7"/>
      <c r="J239" s="9"/>
      <c r="K239" s="9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2.75" customHeight="1" x14ac:dyDescent="0.25">
      <c r="A240" s="20"/>
      <c r="B240" s="20"/>
      <c r="C240" s="20"/>
      <c r="D240" s="14"/>
      <c r="E240" s="14"/>
      <c r="F240" s="53"/>
      <c r="G240" s="54"/>
      <c r="H240" s="54"/>
      <c r="I240" s="7"/>
      <c r="J240" s="9"/>
      <c r="K240" s="9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2.75" customHeight="1" x14ac:dyDescent="0.25">
      <c r="A241" s="20"/>
      <c r="B241" s="20"/>
      <c r="C241" s="20"/>
      <c r="D241" s="14"/>
      <c r="E241" s="14"/>
      <c r="F241" s="53"/>
      <c r="G241" s="54"/>
      <c r="H241" s="54"/>
      <c r="I241" s="7"/>
      <c r="J241" s="9"/>
      <c r="K241" s="9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2.75" customHeight="1" x14ac:dyDescent="0.25">
      <c r="A242" s="20"/>
      <c r="B242" s="20"/>
      <c r="C242" s="20"/>
      <c r="D242" s="14"/>
      <c r="E242" s="14"/>
      <c r="F242" s="53"/>
      <c r="G242" s="54"/>
      <c r="H242" s="54"/>
      <c r="I242" s="7"/>
      <c r="J242" s="9"/>
      <c r="K242" s="9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2.75" customHeight="1" x14ac:dyDescent="0.25">
      <c r="A243" s="20"/>
      <c r="B243" s="20"/>
      <c r="C243" s="20"/>
      <c r="D243" s="14"/>
      <c r="E243" s="14"/>
      <c r="F243" s="53"/>
      <c r="G243" s="54"/>
      <c r="H243" s="54"/>
      <c r="I243" s="7"/>
      <c r="J243" s="9"/>
      <c r="K243" s="9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2.75" customHeight="1" x14ac:dyDescent="0.25">
      <c r="A244" s="20"/>
      <c r="B244" s="20"/>
      <c r="C244" s="20"/>
      <c r="D244" s="14"/>
      <c r="E244" s="14"/>
      <c r="F244" s="53"/>
      <c r="G244" s="54"/>
      <c r="H244" s="54"/>
      <c r="I244" s="7"/>
      <c r="J244" s="9"/>
      <c r="K244" s="9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2.75" customHeight="1" x14ac:dyDescent="0.25">
      <c r="A245" s="20"/>
      <c r="B245" s="20"/>
      <c r="C245" s="20"/>
      <c r="D245" s="14"/>
      <c r="E245" s="14"/>
      <c r="F245" s="53"/>
      <c r="G245" s="54"/>
      <c r="H245" s="54"/>
      <c r="I245" s="7"/>
      <c r="J245" s="9"/>
      <c r="K245" s="9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2.75" customHeight="1" x14ac:dyDescent="0.25">
      <c r="A246" s="20"/>
      <c r="B246" s="20"/>
      <c r="C246" s="20"/>
      <c r="D246" s="14"/>
      <c r="E246" s="14"/>
      <c r="F246" s="53"/>
      <c r="G246" s="54"/>
      <c r="H246" s="54"/>
      <c r="I246" s="7"/>
      <c r="J246" s="9"/>
      <c r="K246" s="9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2.75" customHeight="1" x14ac:dyDescent="0.25">
      <c r="A247" s="20"/>
      <c r="B247" s="20"/>
      <c r="C247" s="20"/>
      <c r="D247" s="14"/>
      <c r="E247" s="14"/>
      <c r="F247" s="53"/>
      <c r="G247" s="54"/>
      <c r="H247" s="54"/>
      <c r="I247" s="7"/>
      <c r="J247" s="9"/>
      <c r="K247" s="9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2.75" customHeight="1" x14ac:dyDescent="0.25">
      <c r="A248" s="20"/>
      <c r="B248" s="20"/>
      <c r="C248" s="20"/>
      <c r="D248" s="14"/>
      <c r="E248" s="14"/>
      <c r="F248" s="53"/>
      <c r="G248" s="54"/>
      <c r="H248" s="54"/>
      <c r="I248" s="7"/>
      <c r="J248" s="9"/>
      <c r="K248" s="9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2.75" customHeight="1" x14ac:dyDescent="0.25">
      <c r="A249" s="20"/>
      <c r="B249" s="20"/>
      <c r="C249" s="20"/>
      <c r="D249" s="14"/>
      <c r="E249" s="14"/>
      <c r="F249" s="53"/>
      <c r="G249" s="54"/>
      <c r="H249" s="54"/>
      <c r="I249" s="7"/>
      <c r="J249" s="9"/>
      <c r="K249" s="21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2.75" customHeight="1" x14ac:dyDescent="0.25">
      <c r="A250" s="20"/>
      <c r="B250" s="20"/>
      <c r="C250" s="20"/>
      <c r="D250" s="14"/>
      <c r="E250" s="14"/>
      <c r="F250" s="53"/>
      <c r="G250" s="54"/>
      <c r="H250" s="54"/>
      <c r="I250" s="7"/>
      <c r="J250" s="9"/>
      <c r="K250" s="9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2.75" customHeight="1" x14ac:dyDescent="0.25">
      <c r="A251" s="20"/>
      <c r="B251" s="20"/>
      <c r="C251" s="20"/>
      <c r="D251" s="14"/>
      <c r="E251" s="14"/>
      <c r="F251" s="53"/>
      <c r="G251" s="54"/>
      <c r="H251" s="54"/>
      <c r="I251" s="7"/>
      <c r="J251" s="9"/>
      <c r="K251" s="9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2.75" customHeight="1" x14ac:dyDescent="0.25">
      <c r="A252" s="20"/>
      <c r="B252" s="20"/>
      <c r="C252" s="20"/>
      <c r="D252" s="14"/>
      <c r="E252" s="14"/>
      <c r="F252" s="53"/>
      <c r="G252" s="54"/>
      <c r="H252" s="54"/>
      <c r="I252" s="7"/>
      <c r="J252" s="9"/>
      <c r="K252" s="9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2.75" customHeight="1" x14ac:dyDescent="0.25">
      <c r="A253" s="20"/>
      <c r="B253" s="20"/>
      <c r="C253" s="20"/>
      <c r="D253" s="14"/>
      <c r="E253" s="14"/>
      <c r="F253" s="53"/>
      <c r="G253" s="54"/>
      <c r="H253" s="54"/>
      <c r="I253" s="7"/>
      <c r="J253" s="9"/>
      <c r="K253" s="9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2.75" customHeight="1" x14ac:dyDescent="0.25">
      <c r="A254" s="20"/>
      <c r="B254" s="20"/>
      <c r="C254" s="20"/>
      <c r="D254" s="14"/>
      <c r="E254" s="14"/>
      <c r="F254" s="53"/>
      <c r="G254" s="54"/>
      <c r="H254" s="54"/>
      <c r="I254" s="7"/>
      <c r="J254" s="9"/>
      <c r="K254" s="21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2.75" customHeight="1" x14ac:dyDescent="0.25">
      <c r="A255" s="20"/>
      <c r="B255" s="20"/>
      <c r="C255" s="20"/>
      <c r="D255" s="14"/>
      <c r="E255" s="14"/>
      <c r="F255" s="53"/>
      <c r="G255" s="54"/>
      <c r="H255" s="54"/>
      <c r="I255" s="7"/>
      <c r="J255" s="9"/>
      <c r="K255" s="21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2.75" customHeight="1" x14ac:dyDescent="0.25">
      <c r="A256" s="20"/>
      <c r="B256" s="20"/>
      <c r="C256" s="20"/>
      <c r="D256" s="14"/>
      <c r="E256" s="14"/>
      <c r="F256" s="53"/>
      <c r="G256" s="54"/>
      <c r="H256" s="54"/>
      <c r="I256" s="7"/>
      <c r="J256" s="9"/>
      <c r="K256" s="21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2.75" customHeight="1" x14ac:dyDescent="0.25">
      <c r="A257" s="20"/>
      <c r="B257" s="20"/>
      <c r="C257" s="20"/>
      <c r="D257" s="14"/>
      <c r="E257" s="14"/>
      <c r="F257" s="53"/>
      <c r="G257" s="54"/>
      <c r="H257" s="54"/>
      <c r="I257" s="7"/>
      <c r="J257" s="9"/>
      <c r="K257" s="21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2.75" customHeight="1" x14ac:dyDescent="0.25">
      <c r="A258" s="20"/>
      <c r="B258" s="20"/>
      <c r="C258" s="20"/>
      <c r="D258" s="14"/>
      <c r="E258" s="14"/>
      <c r="F258" s="53"/>
      <c r="G258" s="54"/>
      <c r="H258" s="54"/>
      <c r="I258" s="7"/>
      <c r="J258" s="9"/>
      <c r="K258" s="21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2.75" customHeight="1" x14ac:dyDescent="0.25">
      <c r="A259" s="20"/>
      <c r="B259" s="20"/>
      <c r="C259" s="20"/>
      <c r="D259" s="14"/>
      <c r="E259" s="14"/>
      <c r="F259" s="53"/>
      <c r="G259" s="54"/>
      <c r="H259" s="54"/>
      <c r="I259" s="7"/>
      <c r="J259" s="9"/>
      <c r="K259" s="21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2.75" customHeight="1" x14ac:dyDescent="0.25">
      <c r="A260" s="20"/>
      <c r="B260" s="20"/>
      <c r="C260" s="20"/>
      <c r="D260" s="14"/>
      <c r="E260" s="14"/>
      <c r="F260" s="53"/>
      <c r="G260" s="54"/>
      <c r="H260" s="54"/>
      <c r="I260" s="7"/>
      <c r="J260" s="9"/>
      <c r="K260" s="21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2.75" customHeight="1" x14ac:dyDescent="0.25">
      <c r="A261" s="20"/>
      <c r="B261" s="20"/>
      <c r="C261" s="20"/>
      <c r="D261" s="14"/>
      <c r="E261" s="14"/>
      <c r="F261" s="53"/>
      <c r="G261" s="54"/>
      <c r="H261" s="54"/>
      <c r="I261" s="7"/>
      <c r="J261" s="9"/>
      <c r="K261" s="21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2.75" customHeight="1" x14ac:dyDescent="0.25">
      <c r="A262" s="20"/>
      <c r="B262" s="20"/>
      <c r="C262" s="20"/>
      <c r="D262" s="14"/>
      <c r="E262" s="14"/>
      <c r="F262" s="53"/>
      <c r="G262" s="54"/>
      <c r="H262" s="54"/>
      <c r="I262" s="7"/>
      <c r="J262" s="9"/>
      <c r="K262" s="21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2.75" customHeight="1" x14ac:dyDescent="0.25">
      <c r="A263" s="20"/>
      <c r="B263" s="20"/>
      <c r="C263" s="20"/>
      <c r="D263" s="14"/>
      <c r="E263" s="14"/>
      <c r="F263" s="53"/>
      <c r="G263" s="54"/>
      <c r="H263" s="54"/>
      <c r="I263" s="7"/>
      <c r="J263" s="9"/>
      <c r="K263" s="21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2.75" customHeight="1" x14ac:dyDescent="0.25">
      <c r="A264" s="20"/>
      <c r="B264" s="20"/>
      <c r="C264" s="20"/>
      <c r="D264" s="14"/>
      <c r="E264" s="14"/>
      <c r="F264" s="53"/>
      <c r="G264" s="54"/>
      <c r="H264" s="54"/>
      <c r="I264" s="7"/>
      <c r="J264" s="9"/>
      <c r="K264" s="21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2.75" customHeight="1" x14ac:dyDescent="0.25">
      <c r="A265" s="20"/>
      <c r="B265" s="20"/>
      <c r="C265" s="20"/>
      <c r="D265" s="14"/>
      <c r="E265" s="14"/>
      <c r="F265" s="53"/>
      <c r="G265" s="54"/>
      <c r="H265" s="54"/>
      <c r="I265" s="7"/>
      <c r="J265" s="9"/>
      <c r="K265" s="21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2.75" customHeight="1" x14ac:dyDescent="0.25">
      <c r="A266" s="20"/>
      <c r="B266" s="20"/>
      <c r="C266" s="20"/>
      <c r="D266" s="14"/>
      <c r="E266" s="14"/>
      <c r="F266" s="53"/>
      <c r="G266" s="54"/>
      <c r="H266" s="54"/>
      <c r="I266" s="7"/>
      <c r="J266" s="9"/>
      <c r="K266" s="21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2.75" customHeight="1" x14ac:dyDescent="0.25">
      <c r="A267" s="20"/>
      <c r="B267" s="20"/>
      <c r="C267" s="20"/>
      <c r="D267" s="14"/>
      <c r="E267" s="14"/>
      <c r="F267" s="53"/>
      <c r="G267" s="54"/>
      <c r="H267" s="54"/>
      <c r="I267" s="7"/>
      <c r="J267" s="9"/>
      <c r="K267" s="21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2.75" customHeight="1" x14ac:dyDescent="0.25">
      <c r="A268" s="20"/>
      <c r="B268" s="20"/>
      <c r="C268" s="20"/>
      <c r="D268" s="14"/>
      <c r="E268" s="14"/>
      <c r="F268" s="53"/>
      <c r="G268" s="54"/>
      <c r="H268" s="54"/>
      <c r="I268" s="7"/>
      <c r="J268" s="9"/>
      <c r="K268" s="21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2.75" customHeight="1" x14ac:dyDescent="0.25">
      <c r="A269" s="20"/>
      <c r="B269" s="20"/>
      <c r="C269" s="20"/>
      <c r="D269" s="14"/>
      <c r="E269" s="14"/>
      <c r="F269" s="53"/>
      <c r="G269" s="54"/>
      <c r="H269" s="54"/>
      <c r="I269" s="7"/>
      <c r="J269" s="9"/>
      <c r="K269" s="21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2.75" customHeight="1" x14ac:dyDescent="0.25">
      <c r="A270" s="20"/>
      <c r="B270" s="20"/>
      <c r="C270" s="20"/>
      <c r="D270" s="14"/>
      <c r="E270" s="14"/>
      <c r="F270" s="53"/>
      <c r="G270" s="54"/>
      <c r="H270" s="54"/>
      <c r="I270" s="7"/>
      <c r="J270" s="9"/>
      <c r="K270" s="9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2.75" customHeight="1" x14ac:dyDescent="0.25">
      <c r="A271" s="20"/>
      <c r="B271" s="20"/>
      <c r="C271" s="20"/>
      <c r="D271" s="14"/>
      <c r="E271" s="14"/>
      <c r="F271" s="53"/>
      <c r="G271" s="54"/>
      <c r="H271" s="54"/>
      <c r="I271" s="7"/>
      <c r="J271" s="9"/>
      <c r="K271" s="21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2.75" customHeight="1" x14ac:dyDescent="0.25">
      <c r="A272" s="20"/>
      <c r="B272" s="20"/>
      <c r="C272" s="20"/>
      <c r="D272" s="14"/>
      <c r="E272" s="14"/>
      <c r="F272" s="53"/>
      <c r="G272" s="54"/>
      <c r="H272" s="54"/>
      <c r="I272" s="7"/>
      <c r="J272" s="9"/>
      <c r="K272" s="21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2.75" customHeight="1" x14ac:dyDescent="0.25">
      <c r="A273" s="20"/>
      <c r="B273" s="20"/>
      <c r="C273" s="20"/>
      <c r="D273" s="14"/>
      <c r="E273" s="14"/>
      <c r="F273" s="53"/>
      <c r="G273" s="54"/>
      <c r="H273" s="54"/>
      <c r="I273" s="7"/>
      <c r="J273" s="9"/>
      <c r="K273" s="21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2.75" customHeight="1" x14ac:dyDescent="0.25">
      <c r="A274" s="20"/>
      <c r="B274" s="20"/>
      <c r="C274" s="20"/>
      <c r="D274" s="14"/>
      <c r="E274" s="14"/>
      <c r="F274" s="53"/>
      <c r="G274" s="54"/>
      <c r="H274" s="54"/>
      <c r="I274" s="7"/>
      <c r="J274" s="9"/>
      <c r="K274" s="21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2.75" customHeight="1" x14ac:dyDescent="0.25">
      <c r="A275" s="20"/>
      <c r="B275" s="20"/>
      <c r="C275" s="20"/>
      <c r="D275" s="14"/>
      <c r="E275" s="14"/>
      <c r="F275" s="53"/>
      <c r="G275" s="54"/>
      <c r="H275" s="54"/>
      <c r="I275" s="7"/>
      <c r="J275" s="9"/>
      <c r="K275" s="21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2.75" customHeight="1" x14ac:dyDescent="0.25">
      <c r="A276" s="20"/>
      <c r="B276" s="20"/>
      <c r="C276" s="20"/>
      <c r="D276" s="14"/>
      <c r="E276" s="14"/>
      <c r="F276" s="53"/>
      <c r="G276" s="54"/>
      <c r="H276" s="54"/>
      <c r="I276" s="7"/>
      <c r="J276" s="9"/>
      <c r="K276" s="21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2.75" customHeight="1" x14ac:dyDescent="0.25">
      <c r="A277" s="20"/>
      <c r="B277" s="20"/>
      <c r="C277" s="20"/>
      <c r="D277" s="14"/>
      <c r="E277" s="14"/>
      <c r="F277" s="53"/>
      <c r="G277" s="54"/>
      <c r="H277" s="54"/>
      <c r="I277" s="7"/>
      <c r="J277" s="9"/>
      <c r="K277" s="21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2.75" customHeight="1" x14ac:dyDescent="0.25">
      <c r="A278" s="20"/>
      <c r="B278" s="20"/>
      <c r="C278" s="20"/>
      <c r="D278" s="14"/>
      <c r="E278" s="14"/>
      <c r="F278" s="53"/>
      <c r="G278" s="54"/>
      <c r="H278" s="54"/>
      <c r="I278" s="7"/>
      <c r="J278" s="9"/>
      <c r="K278" s="21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2.75" customHeight="1" x14ac:dyDescent="0.25">
      <c r="A279" s="20"/>
      <c r="B279" s="20"/>
      <c r="C279" s="20"/>
      <c r="D279" s="14"/>
      <c r="E279" s="14"/>
      <c r="F279" s="53"/>
      <c r="G279" s="54"/>
      <c r="H279" s="54"/>
      <c r="I279" s="7"/>
      <c r="J279" s="9"/>
      <c r="K279" s="21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2.75" customHeight="1" x14ac:dyDescent="0.25">
      <c r="A280" s="20"/>
      <c r="B280" s="20"/>
      <c r="C280" s="20"/>
      <c r="D280" s="14"/>
      <c r="E280" s="14"/>
      <c r="F280" s="53"/>
      <c r="G280" s="54"/>
      <c r="H280" s="54"/>
      <c r="I280" s="7"/>
      <c r="J280" s="9"/>
      <c r="K280" s="21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2.75" customHeight="1" x14ac:dyDescent="0.25">
      <c r="A281" s="20"/>
      <c r="B281" s="20"/>
      <c r="C281" s="20"/>
      <c r="D281" s="14"/>
      <c r="E281" s="14"/>
      <c r="F281" s="53"/>
      <c r="G281" s="54"/>
      <c r="H281" s="54"/>
      <c r="I281" s="7"/>
      <c r="J281" s="9"/>
      <c r="K281" s="21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2.75" customHeight="1" x14ac:dyDescent="0.25">
      <c r="A282" s="20"/>
      <c r="B282" s="20"/>
      <c r="C282" s="20"/>
      <c r="D282" s="14"/>
      <c r="E282" s="14"/>
      <c r="F282" s="53"/>
      <c r="G282" s="54"/>
      <c r="H282" s="54"/>
      <c r="I282" s="7"/>
      <c r="J282" s="9"/>
      <c r="K282" s="21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2.75" customHeight="1" x14ac:dyDescent="0.25">
      <c r="A283" s="20"/>
      <c r="B283" s="20"/>
      <c r="C283" s="20"/>
      <c r="D283" s="14"/>
      <c r="E283" s="14"/>
      <c r="F283" s="53"/>
      <c r="G283" s="54"/>
      <c r="H283" s="54"/>
      <c r="I283" s="7"/>
      <c r="J283" s="9"/>
      <c r="K283" s="21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2.75" customHeight="1" x14ac:dyDescent="0.25">
      <c r="A284" s="20"/>
      <c r="B284" s="20"/>
      <c r="C284" s="20"/>
      <c r="D284" s="14"/>
      <c r="E284" s="14"/>
      <c r="F284" s="53"/>
      <c r="G284" s="54"/>
      <c r="H284" s="54"/>
      <c r="I284" s="7"/>
      <c r="J284" s="9"/>
      <c r="K284" s="21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2.75" customHeight="1" x14ac:dyDescent="0.25">
      <c r="A285" s="20"/>
      <c r="B285" s="20"/>
      <c r="C285" s="20"/>
      <c r="D285" s="14"/>
      <c r="E285" s="14"/>
      <c r="F285" s="53"/>
      <c r="G285" s="54"/>
      <c r="H285" s="54"/>
      <c r="I285" s="7"/>
      <c r="J285" s="9"/>
      <c r="K285" s="21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2.75" customHeight="1" x14ac:dyDescent="0.25">
      <c r="A286" s="20"/>
      <c r="B286" s="20"/>
      <c r="C286" s="20"/>
      <c r="D286" s="14"/>
      <c r="E286" s="14"/>
      <c r="F286" s="53"/>
      <c r="G286" s="54"/>
      <c r="H286" s="54"/>
      <c r="I286" s="7"/>
      <c r="J286" s="9"/>
      <c r="K286" s="21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2.75" customHeight="1" x14ac:dyDescent="0.25">
      <c r="A287" s="20"/>
      <c r="B287" s="20"/>
      <c r="C287" s="20"/>
      <c r="D287" s="14"/>
      <c r="E287" s="14"/>
      <c r="F287" s="53"/>
      <c r="G287" s="54"/>
      <c r="H287" s="54"/>
      <c r="I287" s="7"/>
      <c r="J287" s="9"/>
      <c r="K287" s="21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2.75" customHeight="1" x14ac:dyDescent="0.25">
      <c r="A288" s="20"/>
      <c r="B288" s="20"/>
      <c r="C288" s="20"/>
      <c r="D288" s="14"/>
      <c r="E288" s="14"/>
      <c r="F288" s="53"/>
      <c r="G288" s="54"/>
      <c r="H288" s="54"/>
      <c r="I288" s="7"/>
      <c r="J288" s="9"/>
      <c r="K288" s="21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2.75" customHeight="1" x14ac:dyDescent="0.25">
      <c r="A289" s="20"/>
      <c r="B289" s="20"/>
      <c r="C289" s="20"/>
      <c r="D289" s="14"/>
      <c r="E289" s="14"/>
      <c r="F289" s="53"/>
      <c r="G289" s="54"/>
      <c r="H289" s="54"/>
      <c r="I289" s="7"/>
      <c r="J289" s="9"/>
      <c r="K289" s="21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2.75" customHeight="1" x14ac:dyDescent="0.25">
      <c r="A290" s="20"/>
      <c r="B290" s="20"/>
      <c r="C290" s="20"/>
      <c r="D290" s="14"/>
      <c r="E290" s="14"/>
      <c r="F290" s="53"/>
      <c r="G290" s="54"/>
      <c r="H290" s="54"/>
      <c r="I290" s="7"/>
      <c r="J290" s="9"/>
      <c r="K290" s="21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2.75" customHeight="1" x14ac:dyDescent="0.25">
      <c r="A291" s="20"/>
      <c r="B291" s="20"/>
      <c r="C291" s="20"/>
      <c r="D291" s="14"/>
      <c r="E291" s="14"/>
      <c r="F291" s="53"/>
      <c r="G291" s="54"/>
      <c r="H291" s="54"/>
      <c r="I291" s="7"/>
      <c r="J291" s="9"/>
      <c r="K291" s="21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2.75" customHeight="1" x14ac:dyDescent="0.25">
      <c r="A292" s="20"/>
      <c r="B292" s="20"/>
      <c r="C292" s="20"/>
      <c r="D292" s="14"/>
      <c r="E292" s="14"/>
      <c r="F292" s="53"/>
      <c r="G292" s="54"/>
      <c r="H292" s="54"/>
      <c r="I292" s="7"/>
      <c r="J292" s="9"/>
      <c r="K292" s="21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2.75" customHeight="1" x14ac:dyDescent="0.25">
      <c r="A293" s="20"/>
      <c r="B293" s="20"/>
      <c r="C293" s="20"/>
      <c r="D293" s="14"/>
      <c r="E293" s="14"/>
      <c r="F293" s="53"/>
      <c r="G293" s="54"/>
      <c r="H293" s="54"/>
      <c r="I293" s="7"/>
      <c r="J293" s="9"/>
      <c r="K293" s="21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2.75" customHeight="1" x14ac:dyDescent="0.25">
      <c r="A294" s="20"/>
      <c r="B294" s="20"/>
      <c r="C294" s="20"/>
      <c r="D294" s="14"/>
      <c r="E294" s="14"/>
      <c r="F294" s="53"/>
      <c r="G294" s="54"/>
      <c r="H294" s="54"/>
      <c r="I294" s="7"/>
      <c r="J294" s="9"/>
      <c r="K294" s="21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2.75" customHeight="1" x14ac:dyDescent="0.25">
      <c r="A295" s="20"/>
      <c r="B295" s="20"/>
      <c r="C295" s="20"/>
      <c r="D295" s="14"/>
      <c r="E295" s="14"/>
      <c r="F295" s="53"/>
      <c r="G295" s="54"/>
      <c r="H295" s="54"/>
      <c r="I295" s="7"/>
      <c r="J295" s="9"/>
      <c r="K295" s="21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2.75" customHeight="1" x14ac:dyDescent="0.25">
      <c r="A296" s="20"/>
      <c r="B296" s="20"/>
      <c r="C296" s="20"/>
      <c r="D296" s="14"/>
      <c r="E296" s="14"/>
      <c r="F296" s="53"/>
      <c r="G296" s="54"/>
      <c r="H296" s="54"/>
      <c r="I296" s="7"/>
      <c r="J296" s="9"/>
      <c r="K296" s="21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2.75" customHeight="1" x14ac:dyDescent="0.25">
      <c r="A297" s="20"/>
      <c r="B297" s="20"/>
      <c r="C297" s="20"/>
      <c r="D297" s="14"/>
      <c r="E297" s="14"/>
      <c r="F297" s="53"/>
      <c r="G297" s="54"/>
      <c r="H297" s="54"/>
      <c r="I297" s="7"/>
      <c r="J297" s="9"/>
      <c r="K297" s="21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2.75" customHeight="1" x14ac:dyDescent="0.25">
      <c r="A298" s="20"/>
      <c r="B298" s="20"/>
      <c r="C298" s="20"/>
      <c r="D298" s="14"/>
      <c r="E298" s="14"/>
      <c r="F298" s="53"/>
      <c r="G298" s="54"/>
      <c r="H298" s="54"/>
      <c r="I298" s="7"/>
      <c r="J298" s="9"/>
      <c r="K298" s="21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2.75" customHeight="1" x14ac:dyDescent="0.25">
      <c r="A299" s="20"/>
      <c r="B299" s="20"/>
      <c r="C299" s="20"/>
      <c r="D299" s="14"/>
      <c r="E299" s="14"/>
      <c r="F299" s="53"/>
      <c r="G299" s="54"/>
      <c r="H299" s="54"/>
      <c r="I299" s="7"/>
      <c r="J299" s="9"/>
      <c r="K299" s="21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2.75" customHeight="1" x14ac:dyDescent="0.25">
      <c r="A300" s="20"/>
      <c r="B300" s="20"/>
      <c r="C300" s="20"/>
      <c r="D300" s="14"/>
      <c r="E300" s="14"/>
      <c r="F300" s="53"/>
      <c r="G300" s="54"/>
      <c r="H300" s="54"/>
      <c r="I300" s="7"/>
      <c r="J300" s="9"/>
      <c r="K300" s="21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2.75" customHeight="1" x14ac:dyDescent="0.25">
      <c r="A301" s="20"/>
      <c r="B301" s="20"/>
      <c r="C301" s="20"/>
      <c r="D301" s="14"/>
      <c r="E301" s="14"/>
      <c r="F301" s="53"/>
      <c r="G301" s="54"/>
      <c r="H301" s="54"/>
      <c r="I301" s="7"/>
      <c r="J301" s="9"/>
      <c r="K301" s="21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2.75" customHeight="1" x14ac:dyDescent="0.25">
      <c r="A302" s="20"/>
      <c r="B302" s="20"/>
      <c r="C302" s="20"/>
      <c r="D302" s="14"/>
      <c r="E302" s="14"/>
      <c r="F302" s="53"/>
      <c r="G302" s="54"/>
      <c r="H302" s="54"/>
      <c r="I302" s="7"/>
      <c r="J302" s="9"/>
      <c r="K302" s="21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2.75" customHeight="1" x14ac:dyDescent="0.25">
      <c r="A303" s="20"/>
      <c r="B303" s="20"/>
      <c r="C303" s="20"/>
      <c r="D303" s="14"/>
      <c r="E303" s="14"/>
      <c r="F303" s="53"/>
      <c r="G303" s="54"/>
      <c r="H303" s="54"/>
      <c r="I303" s="7"/>
      <c r="J303" s="9"/>
      <c r="K303" s="21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2.75" customHeight="1" x14ac:dyDescent="0.25">
      <c r="A304" s="20"/>
      <c r="B304" s="20"/>
      <c r="C304" s="20"/>
      <c r="D304" s="14"/>
      <c r="E304" s="14"/>
      <c r="F304" s="53"/>
      <c r="G304" s="54"/>
      <c r="H304" s="54"/>
      <c r="I304" s="7"/>
      <c r="J304" s="9"/>
      <c r="K304" s="21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2.75" customHeight="1" x14ac:dyDescent="0.25">
      <c r="A305" s="20"/>
      <c r="B305" s="20"/>
      <c r="C305" s="20"/>
      <c r="D305" s="14"/>
      <c r="E305" s="14"/>
      <c r="F305" s="53"/>
      <c r="G305" s="54"/>
      <c r="H305" s="54"/>
      <c r="I305" s="7"/>
      <c r="J305" s="9"/>
      <c r="K305" s="21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2.75" customHeight="1" x14ac:dyDescent="0.25">
      <c r="A306" s="20"/>
      <c r="B306" s="20"/>
      <c r="C306" s="20"/>
      <c r="D306" s="14"/>
      <c r="E306" s="14"/>
      <c r="F306" s="53"/>
      <c r="G306" s="54"/>
      <c r="H306" s="54"/>
      <c r="I306" s="7"/>
      <c r="J306" s="9"/>
      <c r="K306" s="21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2.75" customHeight="1" x14ac:dyDescent="0.25">
      <c r="A307" s="20"/>
      <c r="B307" s="20"/>
      <c r="C307" s="20"/>
      <c r="D307" s="14"/>
      <c r="E307" s="14"/>
      <c r="F307" s="53"/>
      <c r="G307" s="54"/>
      <c r="H307" s="54"/>
      <c r="I307" s="7"/>
      <c r="J307" s="9"/>
      <c r="K307" s="21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2.75" customHeight="1" x14ac:dyDescent="0.25">
      <c r="A308" s="20"/>
      <c r="B308" s="20"/>
      <c r="C308" s="20"/>
      <c r="D308" s="14"/>
      <c r="E308" s="14"/>
      <c r="F308" s="53"/>
      <c r="G308" s="54"/>
      <c r="H308" s="54"/>
      <c r="I308" s="7"/>
      <c r="J308" s="9"/>
      <c r="K308" s="21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2.75" customHeight="1" x14ac:dyDescent="0.25">
      <c r="A309" s="20"/>
      <c r="B309" s="20"/>
      <c r="C309" s="20"/>
      <c r="D309" s="14"/>
      <c r="E309" s="14"/>
      <c r="F309" s="53"/>
      <c r="G309" s="54"/>
      <c r="H309" s="54"/>
      <c r="I309" s="7"/>
      <c r="J309" s="9"/>
      <c r="K309" s="21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2.75" customHeight="1" x14ac:dyDescent="0.25">
      <c r="A310" s="20"/>
      <c r="B310" s="20"/>
      <c r="C310" s="20"/>
      <c r="D310" s="14"/>
      <c r="E310" s="14"/>
      <c r="F310" s="53"/>
      <c r="G310" s="54"/>
      <c r="H310" s="54"/>
      <c r="I310" s="7"/>
      <c r="J310" s="9"/>
      <c r="K310" s="21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2.75" customHeight="1" x14ac:dyDescent="0.25">
      <c r="A311" s="20"/>
      <c r="B311" s="20"/>
      <c r="C311" s="20"/>
      <c r="D311" s="14"/>
      <c r="E311" s="14"/>
      <c r="F311" s="53"/>
      <c r="G311" s="54"/>
      <c r="H311" s="54"/>
      <c r="I311" s="7"/>
      <c r="J311" s="9"/>
      <c r="K311" s="21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2.75" customHeight="1" x14ac:dyDescent="0.25">
      <c r="A312" s="20"/>
      <c r="B312" s="20"/>
      <c r="C312" s="20"/>
      <c r="D312" s="14"/>
      <c r="E312" s="14"/>
      <c r="F312" s="53"/>
      <c r="G312" s="54"/>
      <c r="H312" s="54"/>
      <c r="I312" s="7"/>
      <c r="J312" s="9"/>
      <c r="K312" s="21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2.75" customHeight="1" x14ac:dyDescent="0.25">
      <c r="A313" s="20"/>
      <c r="B313" s="20"/>
      <c r="C313" s="20"/>
      <c r="D313" s="14"/>
      <c r="E313" s="14"/>
      <c r="F313" s="53"/>
      <c r="G313" s="54"/>
      <c r="H313" s="54"/>
      <c r="I313" s="7"/>
      <c r="J313" s="9"/>
      <c r="K313" s="21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2.75" customHeight="1" x14ac:dyDescent="0.25">
      <c r="A314" s="20"/>
      <c r="B314" s="20"/>
      <c r="C314" s="20"/>
      <c r="D314" s="14"/>
      <c r="E314" s="14"/>
      <c r="F314" s="53"/>
      <c r="G314" s="54"/>
      <c r="H314" s="54"/>
      <c r="I314" s="7"/>
      <c r="J314" s="9"/>
      <c r="K314" s="21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2.75" customHeight="1" x14ac:dyDescent="0.25">
      <c r="A315" s="20"/>
      <c r="B315" s="20"/>
      <c r="C315" s="20"/>
      <c r="D315" s="14"/>
      <c r="E315" s="14"/>
      <c r="F315" s="53"/>
      <c r="G315" s="54"/>
      <c r="H315" s="54"/>
      <c r="I315" s="7"/>
      <c r="J315" s="9"/>
      <c r="K315" s="21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2.75" customHeight="1" x14ac:dyDescent="0.25">
      <c r="A316" s="20"/>
      <c r="B316" s="20"/>
      <c r="C316" s="20"/>
      <c r="D316" s="14"/>
      <c r="E316" s="14"/>
      <c r="F316" s="53"/>
      <c r="G316" s="54"/>
      <c r="H316" s="54"/>
      <c r="I316" s="7"/>
      <c r="J316" s="9"/>
      <c r="K316" s="21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2.75" customHeight="1" x14ac:dyDescent="0.25">
      <c r="A317" s="20"/>
      <c r="B317" s="20"/>
      <c r="C317" s="20"/>
      <c r="D317" s="14"/>
      <c r="E317" s="14"/>
      <c r="F317" s="53"/>
      <c r="G317" s="54"/>
      <c r="H317" s="54"/>
      <c r="I317" s="7"/>
      <c r="J317" s="9"/>
      <c r="K317" s="21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2.75" customHeight="1" x14ac:dyDescent="0.25">
      <c r="A318" s="20"/>
      <c r="B318" s="20"/>
      <c r="C318" s="20"/>
      <c r="D318" s="14"/>
      <c r="E318" s="14"/>
      <c r="F318" s="53"/>
      <c r="G318" s="54"/>
      <c r="H318" s="54"/>
      <c r="I318" s="7"/>
      <c r="J318" s="9"/>
      <c r="K318" s="21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2.75" customHeight="1" x14ac:dyDescent="0.25">
      <c r="A319" s="20"/>
      <c r="B319" s="20"/>
      <c r="C319" s="20"/>
      <c r="D319" s="14"/>
      <c r="E319" s="14"/>
      <c r="F319" s="53"/>
      <c r="G319" s="54"/>
      <c r="H319" s="54"/>
      <c r="I319" s="7"/>
      <c r="J319" s="9"/>
      <c r="K319" s="21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2.75" customHeight="1" x14ac:dyDescent="0.25">
      <c r="A320" s="20"/>
      <c r="B320" s="20"/>
      <c r="C320" s="20"/>
      <c r="D320" s="14"/>
      <c r="E320" s="14"/>
      <c r="F320" s="53"/>
      <c r="G320" s="54"/>
      <c r="H320" s="54"/>
      <c r="I320" s="7"/>
      <c r="J320" s="9"/>
      <c r="K320" s="21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2.75" customHeight="1" x14ac:dyDescent="0.25">
      <c r="A321" s="20"/>
      <c r="B321" s="20"/>
      <c r="C321" s="20"/>
      <c r="D321" s="14"/>
      <c r="E321" s="14"/>
      <c r="F321" s="53"/>
      <c r="G321" s="54"/>
      <c r="H321" s="54"/>
      <c r="I321" s="7"/>
      <c r="J321" s="9"/>
      <c r="K321" s="21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2.75" customHeight="1" x14ac:dyDescent="0.25">
      <c r="A322" s="20"/>
      <c r="B322" s="20"/>
      <c r="C322" s="20"/>
      <c r="D322" s="14"/>
      <c r="E322" s="14"/>
      <c r="F322" s="53"/>
      <c r="G322" s="54"/>
      <c r="H322" s="54"/>
      <c r="I322" s="7"/>
      <c r="J322" s="9"/>
      <c r="K322" s="21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2.75" customHeight="1" x14ac:dyDescent="0.25">
      <c r="A323" s="20"/>
      <c r="B323" s="20"/>
      <c r="C323" s="20"/>
      <c r="D323" s="14"/>
      <c r="E323" s="14"/>
      <c r="F323" s="53"/>
      <c r="G323" s="54"/>
      <c r="H323" s="54"/>
      <c r="I323" s="7"/>
      <c r="J323" s="9"/>
      <c r="K323" s="21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2.75" customHeight="1" x14ac:dyDescent="0.25">
      <c r="A324" s="20"/>
      <c r="B324" s="20"/>
      <c r="C324" s="20"/>
      <c r="D324" s="14"/>
      <c r="E324" s="14"/>
      <c r="F324" s="53"/>
      <c r="G324" s="54"/>
      <c r="H324" s="54"/>
      <c r="I324" s="7"/>
      <c r="J324" s="9"/>
      <c r="K324" s="21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2.75" customHeight="1" x14ac:dyDescent="0.25">
      <c r="A325" s="20"/>
      <c r="B325" s="20"/>
      <c r="C325" s="20"/>
      <c r="D325" s="14"/>
      <c r="E325" s="14"/>
      <c r="F325" s="53"/>
      <c r="G325" s="54"/>
      <c r="H325" s="54"/>
      <c r="I325" s="7"/>
      <c r="J325" s="9"/>
      <c r="K325" s="21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2.75" customHeight="1" x14ac:dyDescent="0.25">
      <c r="A326" s="20"/>
      <c r="B326" s="20"/>
      <c r="C326" s="20"/>
      <c r="D326" s="14"/>
      <c r="E326" s="14"/>
      <c r="F326" s="53"/>
      <c r="G326" s="54"/>
      <c r="H326" s="54"/>
      <c r="I326" s="7"/>
      <c r="J326" s="9"/>
      <c r="K326" s="21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2.75" customHeight="1" x14ac:dyDescent="0.25">
      <c r="A327" s="20"/>
      <c r="B327" s="20"/>
      <c r="C327" s="20"/>
      <c r="D327" s="14"/>
      <c r="E327" s="14"/>
      <c r="F327" s="53"/>
      <c r="G327" s="54"/>
      <c r="H327" s="54"/>
      <c r="I327" s="7"/>
      <c r="J327" s="9"/>
      <c r="K327" s="21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2.75" customHeight="1" x14ac:dyDescent="0.25">
      <c r="A328" s="20"/>
      <c r="B328" s="20"/>
      <c r="C328" s="20"/>
      <c r="D328" s="14"/>
      <c r="E328" s="14"/>
      <c r="F328" s="53"/>
      <c r="G328" s="54"/>
      <c r="H328" s="54"/>
      <c r="I328" s="7"/>
      <c r="J328" s="9"/>
      <c r="K328" s="21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2.75" customHeight="1" x14ac:dyDescent="0.25">
      <c r="A329" s="20"/>
      <c r="B329" s="20"/>
      <c r="C329" s="20"/>
      <c r="D329" s="14"/>
      <c r="E329" s="14"/>
      <c r="F329" s="53"/>
      <c r="G329" s="54"/>
      <c r="H329" s="54"/>
      <c r="I329" s="7"/>
      <c r="J329" s="9"/>
      <c r="K329" s="21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2.75" customHeight="1" x14ac:dyDescent="0.25">
      <c r="A330" s="20"/>
      <c r="B330" s="20"/>
      <c r="C330" s="20"/>
      <c r="D330" s="14"/>
      <c r="E330" s="14"/>
      <c r="F330" s="53"/>
      <c r="G330" s="54"/>
      <c r="H330" s="54"/>
      <c r="I330" s="7"/>
      <c r="J330" s="9"/>
      <c r="K330" s="21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2.75" customHeight="1" x14ac:dyDescent="0.25">
      <c r="A331" s="20"/>
      <c r="B331" s="20"/>
      <c r="C331" s="20"/>
      <c r="D331" s="14"/>
      <c r="E331" s="14"/>
      <c r="F331" s="53"/>
      <c r="G331" s="54"/>
      <c r="H331" s="54"/>
      <c r="I331" s="7"/>
      <c r="J331" s="9"/>
      <c r="K331" s="21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2.75" customHeight="1" x14ac:dyDescent="0.25">
      <c r="A332" s="20"/>
      <c r="B332" s="20"/>
      <c r="C332" s="20"/>
      <c r="D332" s="14"/>
      <c r="E332" s="14"/>
      <c r="F332" s="53"/>
      <c r="G332" s="54"/>
      <c r="H332" s="54"/>
      <c r="I332" s="7"/>
      <c r="J332" s="9"/>
      <c r="K332" s="21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2.75" customHeight="1" x14ac:dyDescent="0.25">
      <c r="A333" s="20"/>
      <c r="B333" s="20"/>
      <c r="C333" s="20"/>
      <c r="D333" s="14"/>
      <c r="E333" s="14"/>
      <c r="F333" s="53"/>
      <c r="G333" s="54"/>
      <c r="H333" s="54"/>
      <c r="I333" s="7"/>
      <c r="J333" s="9"/>
      <c r="K333" s="21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2.75" customHeight="1" x14ac:dyDescent="0.25">
      <c r="A334" s="20"/>
      <c r="B334" s="20"/>
      <c r="C334" s="20"/>
      <c r="D334" s="14"/>
      <c r="E334" s="14"/>
      <c r="F334" s="53"/>
      <c r="G334" s="54"/>
      <c r="H334" s="54"/>
      <c r="I334" s="7"/>
      <c r="J334" s="9"/>
      <c r="K334" s="21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2.75" customHeight="1" x14ac:dyDescent="0.25">
      <c r="A335" s="20"/>
      <c r="B335" s="20"/>
      <c r="C335" s="20"/>
      <c r="D335" s="14"/>
      <c r="E335" s="14"/>
      <c r="F335" s="53"/>
      <c r="G335" s="54"/>
      <c r="H335" s="54"/>
      <c r="I335" s="7"/>
      <c r="J335" s="9"/>
      <c r="K335" s="21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2.75" customHeight="1" x14ac:dyDescent="0.25">
      <c r="A336" s="20"/>
      <c r="B336" s="20"/>
      <c r="C336" s="20"/>
      <c r="D336" s="14"/>
      <c r="E336" s="14"/>
      <c r="F336" s="53"/>
      <c r="G336" s="54"/>
      <c r="H336" s="54"/>
      <c r="I336" s="7"/>
      <c r="J336" s="9"/>
      <c r="K336" s="21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2.75" customHeight="1" x14ac:dyDescent="0.25">
      <c r="A337" s="20"/>
      <c r="B337" s="20"/>
      <c r="C337" s="20"/>
      <c r="D337" s="14"/>
      <c r="E337" s="14"/>
      <c r="F337" s="53"/>
      <c r="G337" s="54"/>
      <c r="H337" s="54"/>
      <c r="I337" s="7"/>
      <c r="J337" s="9"/>
      <c r="K337" s="21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2.75" customHeight="1" x14ac:dyDescent="0.25">
      <c r="A338" s="20"/>
      <c r="B338" s="20"/>
      <c r="C338" s="20"/>
      <c r="D338" s="14"/>
      <c r="E338" s="14"/>
      <c r="F338" s="53"/>
      <c r="G338" s="54"/>
      <c r="H338" s="54"/>
      <c r="I338" s="7"/>
      <c r="J338" s="9"/>
      <c r="K338" s="21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2.75" customHeight="1" x14ac:dyDescent="0.25">
      <c r="A339" s="20"/>
      <c r="B339" s="20"/>
      <c r="C339" s="20"/>
      <c r="D339" s="14"/>
      <c r="E339" s="14"/>
      <c r="F339" s="53"/>
      <c r="G339" s="54"/>
      <c r="H339" s="54"/>
      <c r="I339" s="7"/>
      <c r="J339" s="9"/>
      <c r="K339" s="21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2.75" customHeight="1" x14ac:dyDescent="0.25">
      <c r="A340" s="20"/>
      <c r="B340" s="20"/>
      <c r="C340" s="20"/>
      <c r="D340" s="14"/>
      <c r="E340" s="14"/>
      <c r="F340" s="53"/>
      <c r="G340" s="54"/>
      <c r="H340" s="54"/>
      <c r="I340" s="7"/>
      <c r="J340" s="9"/>
      <c r="K340" s="21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2.75" customHeight="1" x14ac:dyDescent="0.25">
      <c r="A341" s="20"/>
      <c r="B341" s="20"/>
      <c r="C341" s="20"/>
      <c r="D341" s="14"/>
      <c r="E341" s="14"/>
      <c r="F341" s="53"/>
      <c r="G341" s="54"/>
      <c r="H341" s="54"/>
      <c r="I341" s="7"/>
      <c r="J341" s="9"/>
      <c r="K341" s="21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2.75" customHeight="1" x14ac:dyDescent="0.25">
      <c r="A342" s="20"/>
      <c r="B342" s="20"/>
      <c r="C342" s="20"/>
      <c r="D342" s="14"/>
      <c r="E342" s="14"/>
      <c r="F342" s="53"/>
      <c r="G342" s="54"/>
      <c r="H342" s="54"/>
      <c r="I342" s="7"/>
      <c r="J342" s="9"/>
      <c r="K342" s="21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2.75" customHeight="1" x14ac:dyDescent="0.25">
      <c r="A343" s="20"/>
      <c r="B343" s="20"/>
      <c r="C343" s="20"/>
      <c r="D343" s="14"/>
      <c r="E343" s="14"/>
      <c r="F343" s="53"/>
      <c r="G343" s="54"/>
      <c r="H343" s="54"/>
      <c r="I343" s="7"/>
      <c r="J343" s="9"/>
      <c r="K343" s="21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2.75" customHeight="1" x14ac:dyDescent="0.25">
      <c r="A344" s="20"/>
      <c r="B344" s="20"/>
      <c r="C344" s="20"/>
      <c r="D344" s="14"/>
      <c r="E344" s="14"/>
      <c r="F344" s="53"/>
      <c r="G344" s="54"/>
      <c r="H344" s="54"/>
      <c r="I344" s="7"/>
      <c r="J344" s="9"/>
      <c r="K344" s="21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2.75" customHeight="1" x14ac:dyDescent="0.25">
      <c r="A345" s="20"/>
      <c r="B345" s="20"/>
      <c r="C345" s="20"/>
      <c r="D345" s="14"/>
      <c r="E345" s="14"/>
      <c r="F345" s="53"/>
      <c r="G345" s="54"/>
      <c r="H345" s="54"/>
      <c r="I345" s="7"/>
      <c r="J345" s="9"/>
      <c r="K345" s="21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2.75" customHeight="1" x14ac:dyDescent="0.25">
      <c r="A346" s="20"/>
      <c r="B346" s="20"/>
      <c r="C346" s="20"/>
      <c r="D346" s="14"/>
      <c r="E346" s="14"/>
      <c r="F346" s="53"/>
      <c r="G346" s="54"/>
      <c r="H346" s="54"/>
      <c r="I346" s="7"/>
      <c r="J346" s="9"/>
      <c r="K346" s="21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2.75" customHeight="1" x14ac:dyDescent="0.25">
      <c r="A347" s="20"/>
      <c r="B347" s="20"/>
      <c r="C347" s="20"/>
      <c r="D347" s="14"/>
      <c r="E347" s="14"/>
      <c r="F347" s="53"/>
      <c r="G347" s="54"/>
      <c r="H347" s="54"/>
      <c r="I347" s="7"/>
      <c r="J347" s="9"/>
      <c r="K347" s="21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2.75" customHeight="1" x14ac:dyDescent="0.25">
      <c r="A348" s="20"/>
      <c r="B348" s="20"/>
      <c r="C348" s="20"/>
      <c r="D348" s="14"/>
      <c r="E348" s="14"/>
      <c r="F348" s="53"/>
      <c r="G348" s="54"/>
      <c r="H348" s="54"/>
      <c r="I348" s="7"/>
      <c r="J348" s="9"/>
      <c r="K348" s="21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2.75" customHeight="1" x14ac:dyDescent="0.25">
      <c r="A349" s="20"/>
      <c r="B349" s="20"/>
      <c r="C349" s="20"/>
      <c r="D349" s="14"/>
      <c r="E349" s="14"/>
      <c r="F349" s="53"/>
      <c r="G349" s="54"/>
      <c r="H349" s="54"/>
      <c r="I349" s="7"/>
      <c r="J349" s="9"/>
      <c r="K349" s="21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2.75" customHeight="1" x14ac:dyDescent="0.25">
      <c r="A350" s="20"/>
      <c r="B350" s="20"/>
      <c r="C350" s="20"/>
      <c r="D350" s="14"/>
      <c r="E350" s="14"/>
      <c r="F350" s="53"/>
      <c r="G350" s="54"/>
      <c r="H350" s="54"/>
      <c r="I350" s="7"/>
      <c r="J350" s="9"/>
      <c r="K350" s="21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2.75" customHeight="1" x14ac:dyDescent="0.25">
      <c r="A351" s="20"/>
      <c r="B351" s="20"/>
      <c r="C351" s="20"/>
      <c r="D351" s="14"/>
      <c r="E351" s="14"/>
      <c r="F351" s="53"/>
      <c r="G351" s="54"/>
      <c r="H351" s="54"/>
      <c r="I351" s="7"/>
      <c r="J351" s="9"/>
      <c r="K351" s="21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2.75" customHeight="1" x14ac:dyDescent="0.25">
      <c r="A352" s="20"/>
      <c r="B352" s="20"/>
      <c r="C352" s="20"/>
      <c r="D352" s="14"/>
      <c r="E352" s="14"/>
      <c r="F352" s="53"/>
      <c r="G352" s="54"/>
      <c r="H352" s="54"/>
      <c r="I352" s="7"/>
      <c r="J352" s="9"/>
      <c r="K352" s="21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2.75" customHeight="1" x14ac:dyDescent="0.25">
      <c r="A353" s="20"/>
      <c r="B353" s="20"/>
      <c r="C353" s="20"/>
      <c r="D353" s="14"/>
      <c r="E353" s="14"/>
      <c r="F353" s="53"/>
      <c r="G353" s="54"/>
      <c r="H353" s="54"/>
      <c r="I353" s="7"/>
      <c r="J353" s="9"/>
      <c r="K353" s="21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2.75" customHeight="1" x14ac:dyDescent="0.25">
      <c r="A354" s="20"/>
      <c r="B354" s="20"/>
      <c r="C354" s="20"/>
      <c r="D354" s="14"/>
      <c r="E354" s="14"/>
      <c r="F354" s="53"/>
      <c r="G354" s="54"/>
      <c r="H354" s="54"/>
      <c r="I354" s="7"/>
      <c r="J354" s="9"/>
      <c r="K354" s="21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2.75" customHeight="1" x14ac:dyDescent="0.25">
      <c r="A355" s="20"/>
      <c r="B355" s="20"/>
      <c r="C355" s="20"/>
      <c r="D355" s="14"/>
      <c r="E355" s="14"/>
      <c r="F355" s="53"/>
      <c r="G355" s="54"/>
      <c r="H355" s="54"/>
      <c r="I355" s="7"/>
      <c r="J355" s="9"/>
      <c r="K355" s="21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2.75" customHeight="1" x14ac:dyDescent="0.25">
      <c r="A356" s="20"/>
      <c r="B356" s="20"/>
      <c r="C356" s="20"/>
      <c r="D356" s="14"/>
      <c r="E356" s="14"/>
      <c r="F356" s="53"/>
      <c r="G356" s="54"/>
      <c r="H356" s="54"/>
      <c r="I356" s="7"/>
      <c r="J356" s="9"/>
      <c r="K356" s="21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2.75" customHeight="1" x14ac:dyDescent="0.25">
      <c r="A357" s="20"/>
      <c r="B357" s="20"/>
      <c r="C357" s="20"/>
      <c r="D357" s="14"/>
      <c r="E357" s="14"/>
      <c r="F357" s="53"/>
      <c r="G357" s="54"/>
      <c r="H357" s="54"/>
      <c r="I357" s="7"/>
      <c r="J357" s="9"/>
      <c r="K357" s="21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2.75" customHeight="1" x14ac:dyDescent="0.25">
      <c r="A358" s="20"/>
      <c r="B358" s="20"/>
      <c r="C358" s="20"/>
      <c r="D358" s="14"/>
      <c r="E358" s="14"/>
      <c r="F358" s="53"/>
      <c r="G358" s="54"/>
      <c r="H358" s="54"/>
      <c r="I358" s="7"/>
      <c r="J358" s="9"/>
      <c r="K358" s="21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2.75" customHeight="1" x14ac:dyDescent="0.25">
      <c r="A359" s="20"/>
      <c r="B359" s="20"/>
      <c r="C359" s="20"/>
      <c r="D359" s="14"/>
      <c r="E359" s="14"/>
      <c r="F359" s="53"/>
      <c r="G359" s="54"/>
      <c r="H359" s="54"/>
      <c r="I359" s="7"/>
      <c r="J359" s="9"/>
      <c r="K359" s="21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2.75" customHeight="1" x14ac:dyDescent="0.25">
      <c r="A360" s="20"/>
      <c r="B360" s="20"/>
      <c r="C360" s="20"/>
      <c r="D360" s="14"/>
      <c r="E360" s="14"/>
      <c r="F360" s="53"/>
      <c r="G360" s="54"/>
      <c r="H360" s="54"/>
      <c r="I360" s="7"/>
      <c r="J360" s="9"/>
      <c r="K360" s="21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2.75" customHeight="1" x14ac:dyDescent="0.25">
      <c r="A361" s="20"/>
      <c r="B361" s="20"/>
      <c r="C361" s="20"/>
      <c r="D361" s="14"/>
      <c r="E361" s="14"/>
      <c r="F361" s="53"/>
      <c r="G361" s="54"/>
      <c r="H361" s="54"/>
      <c r="I361" s="7"/>
      <c r="J361" s="9"/>
      <c r="K361" s="21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2.75" customHeight="1" x14ac:dyDescent="0.25">
      <c r="A362" s="20"/>
      <c r="B362" s="20"/>
      <c r="C362" s="20"/>
      <c r="D362" s="14"/>
      <c r="E362" s="14"/>
      <c r="F362" s="53"/>
      <c r="G362" s="54"/>
      <c r="H362" s="54"/>
      <c r="I362" s="7"/>
      <c r="J362" s="9"/>
      <c r="K362" s="21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2.75" customHeight="1" x14ac:dyDescent="0.25">
      <c r="A363" s="20"/>
      <c r="B363" s="20"/>
      <c r="C363" s="20"/>
      <c r="D363" s="14"/>
      <c r="E363" s="14"/>
      <c r="F363" s="53"/>
      <c r="G363" s="54"/>
      <c r="H363" s="54"/>
      <c r="I363" s="7"/>
      <c r="J363" s="9"/>
      <c r="K363" s="21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2.75" customHeight="1" x14ac:dyDescent="0.25">
      <c r="A364" s="20"/>
      <c r="B364" s="20"/>
      <c r="C364" s="20"/>
      <c r="D364" s="14"/>
      <c r="E364" s="14"/>
      <c r="F364" s="53"/>
      <c r="G364" s="54"/>
      <c r="H364" s="54"/>
      <c r="I364" s="7"/>
      <c r="J364" s="9"/>
      <c r="K364" s="21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2.75" customHeight="1" x14ac:dyDescent="0.25">
      <c r="A365" s="20"/>
      <c r="B365" s="20"/>
      <c r="C365" s="20"/>
      <c r="D365" s="14"/>
      <c r="E365" s="14"/>
      <c r="F365" s="53"/>
      <c r="G365" s="54"/>
      <c r="H365" s="54"/>
      <c r="I365" s="7"/>
      <c r="J365" s="9"/>
      <c r="K365" s="21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2.75" customHeight="1" x14ac:dyDescent="0.25">
      <c r="A366" s="20"/>
      <c r="B366" s="20"/>
      <c r="C366" s="20"/>
      <c r="D366" s="14"/>
      <c r="E366" s="14"/>
      <c r="F366" s="53"/>
      <c r="G366" s="54"/>
      <c r="H366" s="54"/>
      <c r="I366" s="7"/>
      <c r="J366" s="9"/>
      <c r="K366" s="21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2.75" customHeight="1" x14ac:dyDescent="0.25">
      <c r="A367" s="20"/>
      <c r="B367" s="20"/>
      <c r="C367" s="20"/>
      <c r="D367" s="14"/>
      <c r="E367" s="14"/>
      <c r="F367" s="53"/>
      <c r="G367" s="54"/>
      <c r="H367" s="54"/>
      <c r="I367" s="7"/>
      <c r="J367" s="9"/>
      <c r="K367" s="21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2.75" customHeight="1" x14ac:dyDescent="0.25">
      <c r="A368" s="20"/>
      <c r="B368" s="20"/>
      <c r="C368" s="20"/>
      <c r="D368" s="14"/>
      <c r="E368" s="14"/>
      <c r="F368" s="53"/>
      <c r="G368" s="54"/>
      <c r="H368" s="54"/>
      <c r="I368" s="7"/>
      <c r="J368" s="9"/>
      <c r="K368" s="21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2.75" customHeight="1" x14ac:dyDescent="0.25">
      <c r="A369" s="20"/>
      <c r="B369" s="20"/>
      <c r="C369" s="20"/>
      <c r="D369" s="14"/>
      <c r="E369" s="14"/>
      <c r="F369" s="53"/>
      <c r="G369" s="54"/>
      <c r="H369" s="54"/>
      <c r="I369" s="7"/>
      <c r="J369" s="9"/>
      <c r="K369" s="21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2.75" customHeight="1" x14ac:dyDescent="0.25">
      <c r="A370" s="20"/>
      <c r="B370" s="20"/>
      <c r="C370" s="20"/>
      <c r="D370" s="14"/>
      <c r="E370" s="14"/>
      <c r="F370" s="53"/>
      <c r="G370" s="54"/>
      <c r="H370" s="54"/>
      <c r="I370" s="7"/>
      <c r="J370" s="9"/>
      <c r="K370" s="21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2.75" customHeight="1" x14ac:dyDescent="0.25">
      <c r="A371" s="20"/>
      <c r="B371" s="20"/>
      <c r="C371" s="20"/>
      <c r="D371" s="14"/>
      <c r="E371" s="14"/>
      <c r="F371" s="53"/>
      <c r="G371" s="54"/>
      <c r="H371" s="54"/>
      <c r="I371" s="7"/>
      <c r="J371" s="9"/>
      <c r="K371" s="21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2.75" customHeight="1" x14ac:dyDescent="0.25">
      <c r="A372" s="20"/>
      <c r="B372" s="20"/>
      <c r="C372" s="20"/>
      <c r="D372" s="14"/>
      <c r="E372" s="14"/>
      <c r="F372" s="53"/>
      <c r="G372" s="54"/>
      <c r="H372" s="54"/>
      <c r="I372" s="7"/>
      <c r="J372" s="9"/>
      <c r="K372" s="21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2.75" customHeight="1" x14ac:dyDescent="0.25">
      <c r="A373" s="20"/>
      <c r="B373" s="20"/>
      <c r="C373" s="20"/>
      <c r="D373" s="14"/>
      <c r="E373" s="14"/>
      <c r="F373" s="53"/>
      <c r="G373" s="54"/>
      <c r="H373" s="54"/>
      <c r="I373" s="7"/>
      <c r="J373" s="9"/>
      <c r="K373" s="21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2.75" customHeight="1" x14ac:dyDescent="0.25">
      <c r="A374" s="20"/>
      <c r="B374" s="20"/>
      <c r="C374" s="20"/>
      <c r="D374" s="14"/>
      <c r="E374" s="14"/>
      <c r="F374" s="53"/>
      <c r="G374" s="54"/>
      <c r="H374" s="54"/>
      <c r="I374" s="7"/>
      <c r="J374" s="9"/>
      <c r="K374" s="21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2.75" customHeight="1" x14ac:dyDescent="0.25">
      <c r="A375" s="20"/>
      <c r="B375" s="20"/>
      <c r="C375" s="20"/>
      <c r="D375" s="14"/>
      <c r="E375" s="14"/>
      <c r="F375" s="53"/>
      <c r="G375" s="54"/>
      <c r="H375" s="54"/>
      <c r="I375" s="7"/>
      <c r="J375" s="9"/>
      <c r="K375" s="21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2.75" customHeight="1" x14ac:dyDescent="0.25">
      <c r="A376" s="20"/>
      <c r="B376" s="20"/>
      <c r="C376" s="20"/>
      <c r="D376" s="14"/>
      <c r="E376" s="14"/>
      <c r="F376" s="53"/>
      <c r="G376" s="54"/>
      <c r="H376" s="54"/>
      <c r="I376" s="7"/>
      <c r="J376" s="9"/>
      <c r="K376" s="21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2.75" customHeight="1" x14ac:dyDescent="0.25">
      <c r="A377" s="20"/>
      <c r="B377" s="20"/>
      <c r="C377" s="20"/>
      <c r="D377" s="14"/>
      <c r="E377" s="14"/>
      <c r="F377" s="53"/>
      <c r="G377" s="54"/>
      <c r="H377" s="54"/>
      <c r="I377" s="7"/>
      <c r="J377" s="9"/>
      <c r="K377" s="21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2.75" customHeight="1" x14ac:dyDescent="0.25">
      <c r="A378" s="20"/>
      <c r="B378" s="20"/>
      <c r="C378" s="20"/>
      <c r="D378" s="14"/>
      <c r="E378" s="14"/>
      <c r="F378" s="53"/>
      <c r="G378" s="54"/>
      <c r="H378" s="54"/>
      <c r="I378" s="7"/>
      <c r="J378" s="9"/>
      <c r="K378" s="21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2.75" customHeight="1" x14ac:dyDescent="0.25">
      <c r="A379" s="20"/>
      <c r="B379" s="20"/>
      <c r="C379" s="20"/>
      <c r="D379" s="14"/>
      <c r="E379" s="14"/>
      <c r="F379" s="53"/>
      <c r="G379" s="54"/>
      <c r="H379" s="54"/>
      <c r="I379" s="7"/>
      <c r="J379" s="9"/>
      <c r="K379" s="21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2.75" customHeight="1" x14ac:dyDescent="0.25">
      <c r="A380" s="20"/>
      <c r="B380" s="20"/>
      <c r="C380" s="20"/>
      <c r="D380" s="14"/>
      <c r="E380" s="14"/>
      <c r="F380" s="53"/>
      <c r="G380" s="54"/>
      <c r="H380" s="54"/>
      <c r="I380" s="7"/>
      <c r="J380" s="9"/>
      <c r="K380" s="21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2.75" customHeight="1" x14ac:dyDescent="0.25">
      <c r="A381" s="20"/>
      <c r="B381" s="20"/>
      <c r="C381" s="20"/>
      <c r="D381" s="14"/>
      <c r="E381" s="14"/>
      <c r="F381" s="53"/>
      <c r="G381" s="54"/>
      <c r="H381" s="54"/>
      <c r="I381" s="7"/>
      <c r="J381" s="9"/>
      <c r="K381" s="21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2.75" customHeight="1" x14ac:dyDescent="0.25">
      <c r="A382" s="20"/>
      <c r="B382" s="20"/>
      <c r="C382" s="20"/>
      <c r="D382" s="14"/>
      <c r="E382" s="14"/>
      <c r="F382" s="53"/>
      <c r="G382" s="54"/>
      <c r="H382" s="54"/>
      <c r="I382" s="7"/>
      <c r="J382" s="9"/>
      <c r="K382" s="21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2.75" customHeight="1" x14ac:dyDescent="0.25">
      <c r="A383" s="20"/>
      <c r="B383" s="20"/>
      <c r="C383" s="20"/>
      <c r="D383" s="14"/>
      <c r="E383" s="14"/>
      <c r="F383" s="53"/>
      <c r="G383" s="54"/>
      <c r="H383" s="54"/>
      <c r="I383" s="7"/>
      <c r="J383" s="9"/>
      <c r="K383" s="21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2.75" customHeight="1" x14ac:dyDescent="0.25">
      <c r="A384" s="20"/>
      <c r="B384" s="20"/>
      <c r="C384" s="20"/>
      <c r="D384" s="14"/>
      <c r="E384" s="14"/>
      <c r="F384" s="53"/>
      <c r="G384" s="54"/>
      <c r="H384" s="54"/>
      <c r="I384" s="7"/>
      <c r="J384" s="9"/>
      <c r="K384" s="21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2.75" customHeight="1" x14ac:dyDescent="0.25">
      <c r="A385" s="20"/>
      <c r="B385" s="20"/>
      <c r="C385" s="20"/>
      <c r="D385" s="14"/>
      <c r="E385" s="14"/>
      <c r="F385" s="53"/>
      <c r="G385" s="54"/>
      <c r="H385" s="54"/>
      <c r="I385" s="7"/>
      <c r="J385" s="9"/>
      <c r="K385" s="21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2.75" customHeight="1" x14ac:dyDescent="0.25">
      <c r="A386" s="20"/>
      <c r="B386" s="20"/>
      <c r="C386" s="20"/>
      <c r="D386" s="14"/>
      <c r="E386" s="14"/>
      <c r="F386" s="53"/>
      <c r="G386" s="54"/>
      <c r="H386" s="54"/>
      <c r="I386" s="7"/>
      <c r="J386" s="9"/>
      <c r="K386" s="21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2.75" customHeight="1" x14ac:dyDescent="0.25">
      <c r="A387" s="20"/>
      <c r="B387" s="20"/>
      <c r="C387" s="20"/>
      <c r="D387" s="14"/>
      <c r="E387" s="14"/>
      <c r="F387" s="53"/>
      <c r="G387" s="54"/>
      <c r="H387" s="54"/>
      <c r="I387" s="7"/>
      <c r="J387" s="9"/>
      <c r="K387" s="21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2.75" customHeight="1" x14ac:dyDescent="0.25">
      <c r="A388" s="20"/>
      <c r="B388" s="20"/>
      <c r="C388" s="20"/>
      <c r="D388" s="14"/>
      <c r="E388" s="14"/>
      <c r="F388" s="53"/>
      <c r="G388" s="54"/>
      <c r="H388" s="54"/>
      <c r="I388" s="7"/>
      <c r="J388" s="9"/>
      <c r="K388" s="21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2.75" customHeight="1" x14ac:dyDescent="0.25">
      <c r="A389" s="20"/>
      <c r="B389" s="20"/>
      <c r="C389" s="20"/>
      <c r="D389" s="14"/>
      <c r="E389" s="14"/>
      <c r="F389" s="53"/>
      <c r="G389" s="54"/>
      <c r="H389" s="54"/>
      <c r="I389" s="7"/>
      <c r="J389" s="9"/>
      <c r="K389" s="21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2.75" customHeight="1" x14ac:dyDescent="0.25">
      <c r="A390" s="20"/>
      <c r="B390" s="20"/>
      <c r="C390" s="20"/>
      <c r="D390" s="14"/>
      <c r="E390" s="14"/>
      <c r="F390" s="53"/>
      <c r="G390" s="54"/>
      <c r="H390" s="54"/>
      <c r="I390" s="7"/>
      <c r="J390" s="9"/>
      <c r="K390" s="21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2.75" customHeight="1" x14ac:dyDescent="0.25">
      <c r="A391" s="20"/>
      <c r="B391" s="20"/>
      <c r="C391" s="20"/>
      <c r="D391" s="14"/>
      <c r="E391" s="14"/>
      <c r="F391" s="53"/>
      <c r="G391" s="54"/>
      <c r="H391" s="54"/>
      <c r="I391" s="7"/>
      <c r="J391" s="9"/>
      <c r="K391" s="21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2.75" customHeight="1" x14ac:dyDescent="0.25">
      <c r="A392" s="20"/>
      <c r="B392" s="20"/>
      <c r="C392" s="20"/>
      <c r="D392" s="14"/>
      <c r="E392" s="14"/>
      <c r="F392" s="53"/>
      <c r="G392" s="54"/>
      <c r="H392" s="54"/>
      <c r="I392" s="7"/>
      <c r="J392" s="9"/>
      <c r="K392" s="21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2.75" customHeight="1" x14ac:dyDescent="0.25">
      <c r="A393" s="20"/>
      <c r="B393" s="20"/>
      <c r="C393" s="20"/>
      <c r="D393" s="14"/>
      <c r="E393" s="14"/>
      <c r="F393" s="53"/>
      <c r="G393" s="54"/>
      <c r="H393" s="54"/>
      <c r="I393" s="7"/>
      <c r="J393" s="9"/>
      <c r="K393" s="21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2.75" customHeight="1" x14ac:dyDescent="0.25">
      <c r="A394" s="20"/>
      <c r="B394" s="20"/>
      <c r="C394" s="20"/>
      <c r="D394" s="14"/>
      <c r="E394" s="14"/>
      <c r="F394" s="53"/>
      <c r="G394" s="54"/>
      <c r="H394" s="54"/>
      <c r="I394" s="7"/>
      <c r="J394" s="9"/>
      <c r="K394" s="21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2.75" customHeight="1" x14ac:dyDescent="0.25">
      <c r="A395" s="20"/>
      <c r="B395" s="20"/>
      <c r="C395" s="20"/>
      <c r="D395" s="14"/>
      <c r="E395" s="14"/>
      <c r="F395" s="53"/>
      <c r="G395" s="54"/>
      <c r="H395" s="54"/>
      <c r="I395" s="7"/>
      <c r="J395" s="9"/>
      <c r="K395" s="21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2.75" customHeight="1" x14ac:dyDescent="0.25">
      <c r="A396" s="20"/>
      <c r="B396" s="20"/>
      <c r="C396" s="20"/>
      <c r="D396" s="14"/>
      <c r="E396" s="14"/>
      <c r="F396" s="53"/>
      <c r="G396" s="54"/>
      <c r="H396" s="54"/>
      <c r="I396" s="7"/>
      <c r="J396" s="9"/>
      <c r="K396" s="21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2.75" customHeight="1" x14ac:dyDescent="0.25">
      <c r="A397" s="20"/>
      <c r="B397" s="20"/>
      <c r="C397" s="20"/>
      <c r="D397" s="14"/>
      <c r="E397" s="14"/>
      <c r="F397" s="53"/>
      <c r="G397" s="54"/>
      <c r="H397" s="54"/>
      <c r="I397" s="7"/>
      <c r="J397" s="9"/>
      <c r="K397" s="21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2.75" customHeight="1" x14ac:dyDescent="0.25">
      <c r="A398" s="20"/>
      <c r="B398" s="20"/>
      <c r="C398" s="20"/>
      <c r="D398" s="14"/>
      <c r="E398" s="14"/>
      <c r="F398" s="53"/>
      <c r="G398" s="54"/>
      <c r="H398" s="54"/>
      <c r="I398" s="7"/>
      <c r="J398" s="9"/>
      <c r="K398" s="21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2.75" customHeight="1" x14ac:dyDescent="0.25">
      <c r="A399" s="20"/>
      <c r="B399" s="20"/>
      <c r="C399" s="20"/>
      <c r="D399" s="14"/>
      <c r="E399" s="14"/>
      <c r="F399" s="53"/>
      <c r="G399" s="54"/>
      <c r="H399" s="54"/>
      <c r="I399" s="7"/>
      <c r="J399" s="9"/>
      <c r="K399" s="21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2.75" customHeight="1" x14ac:dyDescent="0.25">
      <c r="A400" s="20"/>
      <c r="B400" s="20"/>
      <c r="C400" s="20"/>
      <c r="D400" s="14"/>
      <c r="E400" s="14"/>
      <c r="F400" s="53"/>
      <c r="G400" s="54"/>
      <c r="H400" s="54"/>
      <c r="I400" s="7"/>
      <c r="J400" s="9"/>
      <c r="K400" s="21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2.75" customHeight="1" x14ac:dyDescent="0.25">
      <c r="A401" s="20"/>
      <c r="B401" s="20"/>
      <c r="C401" s="20"/>
      <c r="D401" s="14"/>
      <c r="E401" s="14"/>
      <c r="F401" s="53"/>
      <c r="G401" s="54"/>
      <c r="H401" s="54"/>
      <c r="I401" s="7"/>
      <c r="J401" s="9"/>
      <c r="K401" s="21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2.75" customHeight="1" x14ac:dyDescent="0.25">
      <c r="A402" s="20"/>
      <c r="B402" s="20"/>
      <c r="C402" s="20"/>
      <c r="D402" s="14"/>
      <c r="E402" s="14"/>
      <c r="F402" s="53"/>
      <c r="G402" s="54"/>
      <c r="H402" s="54"/>
      <c r="I402" s="7"/>
      <c r="J402" s="9"/>
      <c r="K402" s="21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2.75" customHeight="1" x14ac:dyDescent="0.25">
      <c r="A403" s="20"/>
      <c r="B403" s="20"/>
      <c r="C403" s="20"/>
      <c r="D403" s="14"/>
      <c r="E403" s="14"/>
      <c r="F403" s="53"/>
      <c r="G403" s="54"/>
      <c r="H403" s="54"/>
      <c r="I403" s="7"/>
      <c r="J403" s="9"/>
      <c r="K403" s="21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2.75" customHeight="1" x14ac:dyDescent="0.25">
      <c r="A404" s="20"/>
      <c r="B404" s="20"/>
      <c r="C404" s="20"/>
      <c r="D404" s="14"/>
      <c r="E404" s="14"/>
      <c r="F404" s="53"/>
      <c r="G404" s="54"/>
      <c r="H404" s="54"/>
      <c r="I404" s="7"/>
      <c r="J404" s="9"/>
      <c r="K404" s="21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2.75" customHeight="1" x14ac:dyDescent="0.25">
      <c r="A405" s="20"/>
      <c r="B405" s="20"/>
      <c r="C405" s="20"/>
      <c r="D405" s="14"/>
      <c r="E405" s="14"/>
      <c r="F405" s="53"/>
      <c r="G405" s="54"/>
      <c r="H405" s="54"/>
      <c r="I405" s="7"/>
      <c r="J405" s="9"/>
      <c r="K405" s="21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2.75" customHeight="1" x14ac:dyDescent="0.25">
      <c r="A406" s="20"/>
      <c r="B406" s="20"/>
      <c r="C406" s="20"/>
      <c r="D406" s="14"/>
      <c r="E406" s="14"/>
      <c r="F406" s="53"/>
      <c r="G406" s="54"/>
      <c r="H406" s="54"/>
      <c r="I406" s="7"/>
      <c r="J406" s="9"/>
      <c r="K406" s="21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2.75" customHeight="1" x14ac:dyDescent="0.25">
      <c r="A407" s="20"/>
      <c r="B407" s="20"/>
      <c r="C407" s="20"/>
      <c r="D407" s="14"/>
      <c r="E407" s="14"/>
      <c r="F407" s="53"/>
      <c r="G407" s="54"/>
      <c r="H407" s="54"/>
      <c r="I407" s="7"/>
      <c r="J407" s="9"/>
      <c r="K407" s="21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2.75" customHeight="1" x14ac:dyDescent="0.25">
      <c r="A408" s="20"/>
      <c r="B408" s="20"/>
      <c r="C408" s="20"/>
      <c r="D408" s="14"/>
      <c r="E408" s="14"/>
      <c r="F408" s="53"/>
      <c r="G408" s="54"/>
      <c r="H408" s="54"/>
      <c r="I408" s="7"/>
      <c r="J408" s="9"/>
      <c r="K408" s="21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2.75" customHeight="1" x14ac:dyDescent="0.25">
      <c r="A409" s="20"/>
      <c r="B409" s="20"/>
      <c r="C409" s="20"/>
      <c r="D409" s="14"/>
      <c r="E409" s="14"/>
      <c r="F409" s="53"/>
      <c r="G409" s="54"/>
      <c r="H409" s="54"/>
      <c r="I409" s="7"/>
      <c r="J409" s="9"/>
      <c r="K409" s="21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2.75" customHeight="1" x14ac:dyDescent="0.25">
      <c r="A410" s="20"/>
      <c r="B410" s="20"/>
      <c r="C410" s="20"/>
      <c r="D410" s="14"/>
      <c r="E410" s="14"/>
      <c r="F410" s="53"/>
      <c r="G410" s="54"/>
      <c r="H410" s="54"/>
      <c r="I410" s="7"/>
      <c r="J410" s="9"/>
      <c r="K410" s="21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2.75" customHeight="1" x14ac:dyDescent="0.25">
      <c r="A411" s="20"/>
      <c r="B411" s="20"/>
      <c r="C411" s="20"/>
      <c r="D411" s="14"/>
      <c r="E411" s="14"/>
      <c r="F411" s="53"/>
      <c r="G411" s="54"/>
      <c r="H411" s="54"/>
      <c r="I411" s="7"/>
      <c r="J411" s="9"/>
      <c r="K411" s="21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2.75" customHeight="1" x14ac:dyDescent="0.25">
      <c r="A412" s="20"/>
      <c r="B412" s="20"/>
      <c r="C412" s="20"/>
      <c r="D412" s="14"/>
      <c r="E412" s="14"/>
      <c r="F412" s="53"/>
      <c r="G412" s="54"/>
      <c r="H412" s="54"/>
      <c r="I412" s="7"/>
      <c r="J412" s="9"/>
      <c r="K412" s="21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2.75" customHeight="1" x14ac:dyDescent="0.25">
      <c r="A413" s="20"/>
      <c r="B413" s="20"/>
      <c r="C413" s="20"/>
      <c r="D413" s="14"/>
      <c r="E413" s="14"/>
      <c r="F413" s="53"/>
      <c r="G413" s="54"/>
      <c r="H413" s="54"/>
      <c r="I413" s="7"/>
      <c r="J413" s="9"/>
      <c r="K413" s="21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2.75" customHeight="1" x14ac:dyDescent="0.25">
      <c r="A414" s="20"/>
      <c r="B414" s="20"/>
      <c r="C414" s="20"/>
      <c r="D414" s="14"/>
      <c r="E414" s="14"/>
      <c r="F414" s="53"/>
      <c r="G414" s="54"/>
      <c r="H414" s="54"/>
      <c r="I414" s="7"/>
      <c r="J414" s="9"/>
      <c r="K414" s="21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2.75" customHeight="1" x14ac:dyDescent="0.25">
      <c r="A415" s="20"/>
      <c r="B415" s="20"/>
      <c r="C415" s="20"/>
      <c r="D415" s="14"/>
      <c r="E415" s="14"/>
      <c r="F415" s="53"/>
      <c r="G415" s="54"/>
      <c r="H415" s="54"/>
      <c r="I415" s="7"/>
      <c r="J415" s="9"/>
      <c r="K415" s="21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2.75" customHeight="1" x14ac:dyDescent="0.25">
      <c r="A416" s="20"/>
      <c r="B416" s="20"/>
      <c r="C416" s="20"/>
      <c r="D416" s="14"/>
      <c r="E416" s="14"/>
      <c r="F416" s="53"/>
      <c r="G416" s="54"/>
      <c r="H416" s="54"/>
      <c r="I416" s="7"/>
      <c r="J416" s="9"/>
      <c r="K416" s="21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2.75" customHeight="1" x14ac:dyDescent="0.25">
      <c r="A417" s="20"/>
      <c r="B417" s="20"/>
      <c r="C417" s="20"/>
      <c r="D417" s="14"/>
      <c r="E417" s="14"/>
      <c r="F417" s="53"/>
      <c r="G417" s="54"/>
      <c r="H417" s="54"/>
      <c r="I417" s="7"/>
      <c r="J417" s="9"/>
      <c r="K417" s="21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2.75" customHeight="1" x14ac:dyDescent="0.25">
      <c r="A418" s="20"/>
      <c r="B418" s="20"/>
      <c r="C418" s="20"/>
      <c r="D418" s="14"/>
      <c r="E418" s="14"/>
      <c r="F418" s="53"/>
      <c r="G418" s="54"/>
      <c r="H418" s="54"/>
      <c r="I418" s="7"/>
      <c r="J418" s="9"/>
      <c r="K418" s="21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2.75" customHeight="1" x14ac:dyDescent="0.25">
      <c r="A419" s="20"/>
      <c r="B419" s="20"/>
      <c r="C419" s="20"/>
      <c r="D419" s="14"/>
      <c r="E419" s="14"/>
      <c r="F419" s="53"/>
      <c r="G419" s="54"/>
      <c r="H419" s="54"/>
      <c r="I419" s="7"/>
      <c r="J419" s="9"/>
      <c r="K419" s="21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2.75" customHeight="1" x14ac:dyDescent="0.25">
      <c r="A420" s="20"/>
      <c r="B420" s="20"/>
      <c r="C420" s="20"/>
      <c r="D420" s="14"/>
      <c r="E420" s="14"/>
      <c r="F420" s="53"/>
      <c r="G420" s="54"/>
      <c r="H420" s="54"/>
      <c r="I420" s="7"/>
      <c r="J420" s="9"/>
      <c r="K420" s="21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2.75" customHeight="1" x14ac:dyDescent="0.25">
      <c r="A421" s="20"/>
      <c r="B421" s="20"/>
      <c r="C421" s="20"/>
      <c r="D421" s="14"/>
      <c r="E421" s="14"/>
      <c r="F421" s="53"/>
      <c r="G421" s="54"/>
      <c r="H421" s="54"/>
      <c r="I421" s="7"/>
      <c r="J421" s="9"/>
      <c r="K421" s="21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2.75" customHeight="1" x14ac:dyDescent="0.25">
      <c r="A422" s="20"/>
      <c r="B422" s="20"/>
      <c r="C422" s="20"/>
      <c r="D422" s="14"/>
      <c r="E422" s="14"/>
      <c r="F422" s="53"/>
      <c r="G422" s="54"/>
      <c r="H422" s="54"/>
      <c r="I422" s="7"/>
      <c r="J422" s="9"/>
      <c r="K422" s="21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2.75" customHeight="1" x14ac:dyDescent="0.25">
      <c r="A423" s="20"/>
      <c r="B423" s="20"/>
      <c r="C423" s="20"/>
      <c r="D423" s="14"/>
      <c r="E423" s="14"/>
      <c r="F423" s="53"/>
      <c r="G423" s="54"/>
      <c r="H423" s="54"/>
      <c r="I423" s="7"/>
      <c r="J423" s="9"/>
      <c r="K423" s="21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2.75" customHeight="1" x14ac:dyDescent="0.25">
      <c r="A424" s="20"/>
      <c r="B424" s="20"/>
      <c r="C424" s="20"/>
      <c r="D424" s="14"/>
      <c r="E424" s="14"/>
      <c r="F424" s="53"/>
      <c r="G424" s="54"/>
      <c r="H424" s="54"/>
      <c r="I424" s="7"/>
      <c r="J424" s="9"/>
      <c r="K424" s="21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2.75" customHeight="1" x14ac:dyDescent="0.25">
      <c r="A425" s="20"/>
      <c r="B425" s="20"/>
      <c r="C425" s="20"/>
      <c r="D425" s="14"/>
      <c r="E425" s="14"/>
      <c r="F425" s="53"/>
      <c r="G425" s="54"/>
      <c r="H425" s="54"/>
      <c r="I425" s="7"/>
      <c r="J425" s="9"/>
      <c r="K425" s="21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2.75" customHeight="1" x14ac:dyDescent="0.25">
      <c r="A426" s="20"/>
      <c r="B426" s="20"/>
      <c r="C426" s="20"/>
      <c r="D426" s="14"/>
      <c r="E426" s="14"/>
      <c r="F426" s="53"/>
      <c r="G426" s="54"/>
      <c r="H426" s="54"/>
      <c r="I426" s="7"/>
      <c r="J426" s="9"/>
      <c r="K426" s="21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2.75" customHeight="1" x14ac:dyDescent="0.25">
      <c r="A427" s="20"/>
      <c r="B427" s="20"/>
      <c r="C427" s="20"/>
      <c r="D427" s="14"/>
      <c r="E427" s="14"/>
      <c r="F427" s="53"/>
      <c r="G427" s="54"/>
      <c r="H427" s="54"/>
      <c r="I427" s="7"/>
      <c r="J427" s="9"/>
      <c r="K427" s="21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2.75" customHeight="1" x14ac:dyDescent="0.25">
      <c r="A428" s="20"/>
      <c r="B428" s="20"/>
      <c r="C428" s="20"/>
      <c r="D428" s="14"/>
      <c r="E428" s="14"/>
      <c r="F428" s="53"/>
      <c r="G428" s="54"/>
      <c r="H428" s="54"/>
      <c r="I428" s="7"/>
      <c r="J428" s="9"/>
      <c r="K428" s="21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2.75" customHeight="1" x14ac:dyDescent="0.25">
      <c r="A429" s="20"/>
      <c r="B429" s="20"/>
      <c r="C429" s="20"/>
      <c r="D429" s="14"/>
      <c r="E429" s="14"/>
      <c r="F429" s="53"/>
      <c r="G429" s="54"/>
      <c r="H429" s="54"/>
      <c r="I429" s="7"/>
      <c r="J429" s="9"/>
      <c r="K429" s="21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2.75" customHeight="1" x14ac:dyDescent="0.25">
      <c r="A430" s="20"/>
      <c r="B430" s="20"/>
      <c r="C430" s="20"/>
      <c r="D430" s="14"/>
      <c r="E430" s="14"/>
      <c r="F430" s="53"/>
      <c r="G430" s="54"/>
      <c r="H430" s="54"/>
      <c r="I430" s="7"/>
      <c r="J430" s="9"/>
      <c r="K430" s="21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2.75" customHeight="1" x14ac:dyDescent="0.25">
      <c r="A431" s="20"/>
      <c r="B431" s="20"/>
      <c r="C431" s="20"/>
      <c r="D431" s="14"/>
      <c r="E431" s="14"/>
      <c r="F431" s="53"/>
      <c r="G431" s="54"/>
      <c r="H431" s="54"/>
      <c r="I431" s="7"/>
      <c r="J431" s="9"/>
      <c r="K431" s="21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2.75" customHeight="1" x14ac:dyDescent="0.25">
      <c r="A432" s="20"/>
      <c r="B432" s="20"/>
      <c r="C432" s="20"/>
      <c r="D432" s="14"/>
      <c r="E432" s="14"/>
      <c r="F432" s="53"/>
      <c r="G432" s="54"/>
      <c r="H432" s="54"/>
      <c r="I432" s="7"/>
      <c r="J432" s="9"/>
      <c r="K432" s="21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2.75" customHeight="1" x14ac:dyDescent="0.25">
      <c r="A433" s="20"/>
      <c r="B433" s="20"/>
      <c r="C433" s="20"/>
      <c r="D433" s="14"/>
      <c r="E433" s="14"/>
      <c r="F433" s="53"/>
      <c r="G433" s="54"/>
      <c r="H433" s="54"/>
      <c r="I433" s="7"/>
      <c r="J433" s="9"/>
      <c r="K433" s="21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2.75" customHeight="1" x14ac:dyDescent="0.25">
      <c r="A434" s="20"/>
      <c r="B434" s="20"/>
      <c r="C434" s="20"/>
      <c r="D434" s="14"/>
      <c r="E434" s="14"/>
      <c r="F434" s="53"/>
      <c r="G434" s="54"/>
      <c r="H434" s="54"/>
      <c r="I434" s="7"/>
      <c r="J434" s="9"/>
      <c r="K434" s="21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2.75" customHeight="1" x14ac:dyDescent="0.25">
      <c r="A435" s="20"/>
      <c r="B435" s="20"/>
      <c r="C435" s="20"/>
      <c r="D435" s="14"/>
      <c r="E435" s="14"/>
      <c r="F435" s="53"/>
      <c r="G435" s="54"/>
      <c r="H435" s="54"/>
      <c r="I435" s="7"/>
      <c r="J435" s="9"/>
      <c r="K435" s="21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2.75" customHeight="1" x14ac:dyDescent="0.25">
      <c r="A436" s="20"/>
      <c r="B436" s="20"/>
      <c r="C436" s="20"/>
      <c r="D436" s="14"/>
      <c r="E436" s="14"/>
      <c r="F436" s="53"/>
      <c r="G436" s="54"/>
      <c r="H436" s="54"/>
      <c r="I436" s="7"/>
      <c r="J436" s="9"/>
      <c r="K436" s="21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2.75" customHeight="1" x14ac:dyDescent="0.25">
      <c r="A437" s="20"/>
      <c r="B437" s="20"/>
      <c r="C437" s="20"/>
      <c r="D437" s="14"/>
      <c r="E437" s="14"/>
      <c r="F437" s="53"/>
      <c r="G437" s="54"/>
      <c r="H437" s="54"/>
      <c r="I437" s="7"/>
      <c r="J437" s="9"/>
      <c r="K437" s="21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2.75" customHeight="1" x14ac:dyDescent="0.25">
      <c r="A438" s="20"/>
      <c r="B438" s="20"/>
      <c r="C438" s="20"/>
      <c r="D438" s="14"/>
      <c r="E438" s="14"/>
      <c r="F438" s="53"/>
      <c r="G438" s="54"/>
      <c r="H438" s="54"/>
      <c r="I438" s="7"/>
      <c r="J438" s="9"/>
      <c r="K438" s="21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2.75" customHeight="1" x14ac:dyDescent="0.25">
      <c r="A439" s="20"/>
      <c r="B439" s="20"/>
      <c r="C439" s="20"/>
      <c r="D439" s="14"/>
      <c r="E439" s="14"/>
      <c r="F439" s="53"/>
      <c r="G439" s="54"/>
      <c r="H439" s="54"/>
      <c r="I439" s="7"/>
      <c r="J439" s="9"/>
      <c r="K439" s="21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2.75" customHeight="1" x14ac:dyDescent="0.25">
      <c r="A440" s="20"/>
      <c r="B440" s="20"/>
      <c r="C440" s="20"/>
      <c r="D440" s="14"/>
      <c r="E440" s="14"/>
      <c r="F440" s="53"/>
      <c r="G440" s="54"/>
      <c r="H440" s="54"/>
      <c r="I440" s="7"/>
      <c r="J440" s="9"/>
      <c r="K440" s="21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2.75" customHeight="1" x14ac:dyDescent="0.25">
      <c r="A441" s="20"/>
      <c r="B441" s="20"/>
      <c r="C441" s="20"/>
      <c r="D441" s="14"/>
      <c r="E441" s="14"/>
      <c r="F441" s="53"/>
      <c r="G441" s="54"/>
      <c r="H441" s="54"/>
      <c r="I441" s="7"/>
      <c r="J441" s="9"/>
      <c r="K441" s="21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2.75" customHeight="1" x14ac:dyDescent="0.25">
      <c r="A442" s="20"/>
      <c r="B442" s="20"/>
      <c r="C442" s="20"/>
      <c r="D442" s="14"/>
      <c r="E442" s="14"/>
      <c r="F442" s="53"/>
      <c r="G442" s="54"/>
      <c r="H442" s="54"/>
      <c r="I442" s="7"/>
      <c r="J442" s="9"/>
      <c r="K442" s="21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2.75" customHeight="1" x14ac:dyDescent="0.25">
      <c r="A443" s="20"/>
      <c r="B443" s="20"/>
      <c r="C443" s="20"/>
      <c r="D443" s="14"/>
      <c r="E443" s="14"/>
      <c r="F443" s="53"/>
      <c r="G443" s="54"/>
      <c r="H443" s="54"/>
      <c r="I443" s="7"/>
      <c r="J443" s="9"/>
      <c r="K443" s="21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2.75" customHeight="1" x14ac:dyDescent="0.25">
      <c r="A444" s="20"/>
      <c r="B444" s="20"/>
      <c r="C444" s="20"/>
      <c r="D444" s="14"/>
      <c r="E444" s="14"/>
      <c r="F444" s="53"/>
      <c r="G444" s="54"/>
      <c r="H444" s="54"/>
      <c r="I444" s="7"/>
      <c r="J444" s="9"/>
      <c r="K444" s="21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2.75" customHeight="1" x14ac:dyDescent="0.25">
      <c r="A445" s="20"/>
      <c r="B445" s="20"/>
      <c r="C445" s="20"/>
      <c r="D445" s="14"/>
      <c r="E445" s="14"/>
      <c r="F445" s="53"/>
      <c r="G445" s="54"/>
      <c r="H445" s="54"/>
      <c r="I445" s="7"/>
      <c r="J445" s="9"/>
      <c r="K445" s="21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2.75" customHeight="1" x14ac:dyDescent="0.25">
      <c r="A446" s="20"/>
      <c r="B446" s="20"/>
      <c r="C446" s="20"/>
      <c r="D446" s="14"/>
      <c r="E446" s="14"/>
      <c r="F446" s="53"/>
      <c r="G446" s="54"/>
      <c r="H446" s="54"/>
      <c r="I446" s="7"/>
      <c r="J446" s="9"/>
      <c r="K446" s="21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2.75" customHeight="1" x14ac:dyDescent="0.25">
      <c r="A447" s="20"/>
      <c r="B447" s="20"/>
      <c r="C447" s="20"/>
      <c r="D447" s="14"/>
      <c r="E447" s="14"/>
      <c r="F447" s="53"/>
      <c r="G447" s="54"/>
      <c r="H447" s="54"/>
      <c r="I447" s="7"/>
      <c r="J447" s="9"/>
      <c r="K447" s="21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2.75" customHeight="1" x14ac:dyDescent="0.25">
      <c r="A448" s="20"/>
      <c r="B448" s="20"/>
      <c r="C448" s="20"/>
      <c r="D448" s="14"/>
      <c r="E448" s="14"/>
      <c r="F448" s="53"/>
      <c r="G448" s="54"/>
      <c r="H448" s="54"/>
      <c r="I448" s="7"/>
      <c r="J448" s="9"/>
      <c r="K448" s="21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2.75" customHeight="1" x14ac:dyDescent="0.25">
      <c r="A449" s="20"/>
      <c r="B449" s="20"/>
      <c r="C449" s="20"/>
      <c r="D449" s="14"/>
      <c r="E449" s="14"/>
      <c r="F449" s="53"/>
      <c r="G449" s="54"/>
      <c r="H449" s="54"/>
      <c r="I449" s="7"/>
      <c r="J449" s="9"/>
      <c r="K449" s="21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2.75" customHeight="1" x14ac:dyDescent="0.25">
      <c r="A450" s="20"/>
      <c r="B450" s="20"/>
      <c r="C450" s="20"/>
      <c r="D450" s="14"/>
      <c r="E450" s="14"/>
      <c r="F450" s="53"/>
      <c r="G450" s="54"/>
      <c r="H450" s="54"/>
      <c r="I450" s="7"/>
      <c r="J450" s="9"/>
      <c r="K450" s="21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2.75" customHeight="1" x14ac:dyDescent="0.25">
      <c r="A451" s="20"/>
      <c r="B451" s="20"/>
      <c r="C451" s="20"/>
      <c r="D451" s="14"/>
      <c r="E451" s="14"/>
      <c r="F451" s="53"/>
      <c r="G451" s="54"/>
      <c r="H451" s="54"/>
      <c r="I451" s="7"/>
      <c r="J451" s="9"/>
      <c r="K451" s="21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2.75" customHeight="1" x14ac:dyDescent="0.25">
      <c r="A452" s="20"/>
      <c r="B452" s="20"/>
      <c r="C452" s="20"/>
      <c r="D452" s="14"/>
      <c r="E452" s="14"/>
      <c r="F452" s="53"/>
      <c r="G452" s="54"/>
      <c r="H452" s="54"/>
      <c r="I452" s="7"/>
      <c r="J452" s="9"/>
      <c r="K452" s="21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2.75" customHeight="1" x14ac:dyDescent="0.25">
      <c r="A453" s="20"/>
      <c r="B453" s="20"/>
      <c r="C453" s="20"/>
      <c r="D453" s="14"/>
      <c r="E453" s="14"/>
      <c r="F453" s="53"/>
      <c r="G453" s="54"/>
      <c r="H453" s="54"/>
      <c r="I453" s="7"/>
      <c r="J453" s="9"/>
      <c r="K453" s="21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2.75" customHeight="1" x14ac:dyDescent="0.25">
      <c r="A454" s="20"/>
      <c r="B454" s="20"/>
      <c r="C454" s="20"/>
      <c r="D454" s="14"/>
      <c r="E454" s="14"/>
      <c r="F454" s="53"/>
      <c r="G454" s="54"/>
      <c r="H454" s="54"/>
      <c r="I454" s="7"/>
      <c r="J454" s="9"/>
      <c r="K454" s="21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2.75" customHeight="1" x14ac:dyDescent="0.25">
      <c r="A455" s="20"/>
      <c r="B455" s="20"/>
      <c r="C455" s="20"/>
      <c r="D455" s="14"/>
      <c r="E455" s="14"/>
      <c r="F455" s="53"/>
      <c r="G455" s="54"/>
      <c r="H455" s="54"/>
      <c r="I455" s="7"/>
      <c r="J455" s="9"/>
      <c r="K455" s="21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2.75" customHeight="1" x14ac:dyDescent="0.25">
      <c r="A456" s="20"/>
      <c r="B456" s="20"/>
      <c r="C456" s="20"/>
      <c r="D456" s="14"/>
      <c r="E456" s="14"/>
      <c r="F456" s="53"/>
      <c r="G456" s="54"/>
      <c r="H456" s="54"/>
      <c r="I456" s="7"/>
      <c r="J456" s="9"/>
      <c r="K456" s="21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2.75" customHeight="1" x14ac:dyDescent="0.25">
      <c r="A457" s="20"/>
      <c r="B457" s="20"/>
      <c r="C457" s="20"/>
      <c r="D457" s="14"/>
      <c r="E457" s="14"/>
      <c r="F457" s="53"/>
      <c r="G457" s="54"/>
      <c r="H457" s="54"/>
      <c r="I457" s="7"/>
      <c r="J457" s="9"/>
      <c r="K457" s="21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2.75" customHeight="1" x14ac:dyDescent="0.25">
      <c r="A458" s="20"/>
      <c r="B458" s="20"/>
      <c r="C458" s="20"/>
      <c r="D458" s="14"/>
      <c r="E458" s="14"/>
      <c r="F458" s="53"/>
      <c r="G458" s="54"/>
      <c r="H458" s="54"/>
      <c r="I458" s="7"/>
      <c r="J458" s="9"/>
      <c r="K458" s="21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2.75" customHeight="1" x14ac:dyDescent="0.25">
      <c r="A459" s="20"/>
      <c r="B459" s="20"/>
      <c r="C459" s="20"/>
      <c r="D459" s="14"/>
      <c r="E459" s="14"/>
      <c r="F459" s="53"/>
      <c r="G459" s="54"/>
      <c r="H459" s="54"/>
      <c r="I459" s="7"/>
      <c r="J459" s="9"/>
      <c r="K459" s="21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2.75" customHeight="1" x14ac:dyDescent="0.25">
      <c r="A460" s="20"/>
      <c r="B460" s="20"/>
      <c r="C460" s="20"/>
      <c r="D460" s="14"/>
      <c r="E460" s="14"/>
      <c r="F460" s="53"/>
      <c r="G460" s="54"/>
      <c r="H460" s="54"/>
      <c r="I460" s="7"/>
      <c r="J460" s="9"/>
      <c r="K460" s="21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2.75" customHeight="1" x14ac:dyDescent="0.25">
      <c r="A461" s="20"/>
      <c r="B461" s="20"/>
      <c r="C461" s="20"/>
      <c r="D461" s="14"/>
      <c r="E461" s="14"/>
      <c r="F461" s="53"/>
      <c r="G461" s="54"/>
      <c r="H461" s="54"/>
      <c r="I461" s="7"/>
      <c r="J461" s="9"/>
      <c r="K461" s="21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2.75" customHeight="1" x14ac:dyDescent="0.25">
      <c r="A462" s="20"/>
      <c r="B462" s="20"/>
      <c r="C462" s="20"/>
      <c r="D462" s="14"/>
      <c r="E462" s="14"/>
      <c r="F462" s="53"/>
      <c r="G462" s="54"/>
      <c r="H462" s="54"/>
      <c r="I462" s="7"/>
      <c r="J462" s="9"/>
      <c r="K462" s="21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2.75" customHeight="1" x14ac:dyDescent="0.25">
      <c r="A463" s="20"/>
      <c r="B463" s="20"/>
      <c r="C463" s="20"/>
      <c r="D463" s="14"/>
      <c r="E463" s="14"/>
      <c r="F463" s="53"/>
      <c r="G463" s="54"/>
      <c r="H463" s="54"/>
      <c r="I463" s="7"/>
      <c r="J463" s="9"/>
      <c r="K463" s="21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2.75" customHeight="1" x14ac:dyDescent="0.25">
      <c r="A464" s="20"/>
      <c r="B464" s="20"/>
      <c r="C464" s="20"/>
      <c r="D464" s="14"/>
      <c r="E464" s="14"/>
      <c r="F464" s="53"/>
      <c r="G464" s="54"/>
      <c r="H464" s="54"/>
      <c r="I464" s="7"/>
      <c r="J464" s="9"/>
      <c r="K464" s="21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2.75" customHeight="1" x14ac:dyDescent="0.25">
      <c r="A465" s="20"/>
      <c r="B465" s="20"/>
      <c r="C465" s="20"/>
      <c r="D465" s="14"/>
      <c r="E465" s="14"/>
      <c r="F465" s="53"/>
      <c r="G465" s="54"/>
      <c r="H465" s="54"/>
      <c r="I465" s="7"/>
      <c r="J465" s="9"/>
      <c r="K465" s="21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2.75" customHeight="1" x14ac:dyDescent="0.25">
      <c r="A466" s="20"/>
      <c r="B466" s="20"/>
      <c r="C466" s="20"/>
      <c r="D466" s="14"/>
      <c r="E466" s="14"/>
      <c r="F466" s="53"/>
      <c r="G466" s="54"/>
      <c r="H466" s="54"/>
      <c r="I466" s="7"/>
      <c r="J466" s="9"/>
      <c r="K466" s="21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2.75" customHeight="1" x14ac:dyDescent="0.25">
      <c r="A467" s="20"/>
      <c r="B467" s="20"/>
      <c r="C467" s="20"/>
      <c r="D467" s="14"/>
      <c r="E467" s="14"/>
      <c r="F467" s="53"/>
      <c r="G467" s="54"/>
      <c r="H467" s="54"/>
      <c r="I467" s="7"/>
      <c r="J467" s="9"/>
      <c r="K467" s="21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2.75" customHeight="1" x14ac:dyDescent="0.25">
      <c r="A468" s="20"/>
      <c r="B468" s="20"/>
      <c r="C468" s="20"/>
      <c r="D468" s="14"/>
      <c r="E468" s="14"/>
      <c r="F468" s="53"/>
      <c r="G468" s="54"/>
      <c r="H468" s="54"/>
      <c r="I468" s="7"/>
      <c r="J468" s="9"/>
      <c r="K468" s="21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2.75" customHeight="1" x14ac:dyDescent="0.25">
      <c r="A469" s="20"/>
      <c r="B469" s="20"/>
      <c r="C469" s="20"/>
      <c r="D469" s="14"/>
      <c r="E469" s="14"/>
      <c r="F469" s="53"/>
      <c r="G469" s="54"/>
      <c r="H469" s="54"/>
      <c r="I469" s="7"/>
      <c r="J469" s="9"/>
      <c r="K469" s="21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2.75" customHeight="1" x14ac:dyDescent="0.25">
      <c r="A470" s="20"/>
      <c r="B470" s="20"/>
      <c r="C470" s="20"/>
      <c r="D470" s="14"/>
      <c r="E470" s="14"/>
      <c r="F470" s="53"/>
      <c r="G470" s="54"/>
      <c r="H470" s="54"/>
      <c r="I470" s="7"/>
      <c r="J470" s="9"/>
      <c r="K470" s="21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2.75" customHeight="1" x14ac:dyDescent="0.25">
      <c r="A471" s="20"/>
      <c r="B471" s="20"/>
      <c r="C471" s="20"/>
      <c r="D471" s="14"/>
      <c r="E471" s="14"/>
      <c r="F471" s="53"/>
      <c r="G471" s="54"/>
      <c r="H471" s="54"/>
      <c r="I471" s="7"/>
      <c r="J471" s="9"/>
      <c r="K471" s="21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2.75" customHeight="1" x14ac:dyDescent="0.25">
      <c r="A472" s="20"/>
      <c r="B472" s="20"/>
      <c r="C472" s="20"/>
      <c r="D472" s="14"/>
      <c r="E472" s="14"/>
      <c r="F472" s="53"/>
      <c r="G472" s="54"/>
      <c r="H472" s="54"/>
      <c r="I472" s="7"/>
      <c r="J472" s="9"/>
      <c r="K472" s="21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2.75" customHeight="1" x14ac:dyDescent="0.25">
      <c r="A473" s="20"/>
      <c r="B473" s="20"/>
      <c r="C473" s="20"/>
      <c r="D473" s="14"/>
      <c r="E473" s="14"/>
      <c r="F473" s="53"/>
      <c r="G473" s="54"/>
      <c r="H473" s="54"/>
      <c r="I473" s="7"/>
      <c r="J473" s="9"/>
      <c r="K473" s="21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2.75" customHeight="1" x14ac:dyDescent="0.25">
      <c r="A474" s="20"/>
      <c r="B474" s="20"/>
      <c r="C474" s="20"/>
      <c r="D474" s="14"/>
      <c r="E474" s="14"/>
      <c r="F474" s="53"/>
      <c r="G474" s="54"/>
      <c r="H474" s="54"/>
      <c r="I474" s="7"/>
      <c r="J474" s="9"/>
      <c r="K474" s="21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2.75" customHeight="1" x14ac:dyDescent="0.25">
      <c r="A475" s="20"/>
      <c r="B475" s="20"/>
      <c r="C475" s="20"/>
      <c r="D475" s="14"/>
      <c r="E475" s="14"/>
      <c r="F475" s="53"/>
      <c r="G475" s="54"/>
      <c r="H475" s="54"/>
      <c r="I475" s="7"/>
      <c r="J475" s="9"/>
      <c r="K475" s="21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2.75" customHeight="1" x14ac:dyDescent="0.25">
      <c r="A476" s="20"/>
      <c r="B476" s="20"/>
      <c r="C476" s="20"/>
      <c r="D476" s="14"/>
      <c r="E476" s="14"/>
      <c r="F476" s="53"/>
      <c r="G476" s="54"/>
      <c r="H476" s="54"/>
      <c r="I476" s="7"/>
      <c r="J476" s="9"/>
      <c r="K476" s="21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2.75" customHeight="1" x14ac:dyDescent="0.25">
      <c r="A477" s="20"/>
      <c r="B477" s="20"/>
      <c r="C477" s="20"/>
      <c r="D477" s="14"/>
      <c r="E477" s="14"/>
      <c r="F477" s="53"/>
      <c r="G477" s="54"/>
      <c r="H477" s="54"/>
      <c r="I477" s="7"/>
      <c r="J477" s="9"/>
      <c r="K477" s="21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2.75" customHeight="1" x14ac:dyDescent="0.25">
      <c r="A478" s="20"/>
      <c r="B478" s="20"/>
      <c r="C478" s="20"/>
      <c r="D478" s="14"/>
      <c r="E478" s="14"/>
      <c r="F478" s="53"/>
      <c r="G478" s="54"/>
      <c r="H478" s="54"/>
      <c r="I478" s="7"/>
      <c r="J478" s="9"/>
      <c r="K478" s="21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2.75" customHeight="1" x14ac:dyDescent="0.25">
      <c r="A479" s="20"/>
      <c r="B479" s="20"/>
      <c r="C479" s="20"/>
      <c r="D479" s="14"/>
      <c r="E479" s="14"/>
      <c r="F479" s="53"/>
      <c r="G479" s="54"/>
      <c r="H479" s="54"/>
      <c r="I479" s="7"/>
      <c r="J479" s="9"/>
      <c r="K479" s="21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2.75" customHeight="1" x14ac:dyDescent="0.25">
      <c r="A480" s="20"/>
      <c r="B480" s="20"/>
      <c r="C480" s="20"/>
      <c r="D480" s="14"/>
      <c r="E480" s="14"/>
      <c r="F480" s="53"/>
      <c r="G480" s="54"/>
      <c r="H480" s="54"/>
      <c r="I480" s="7"/>
      <c r="J480" s="9"/>
      <c r="K480" s="21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2.75" customHeight="1" x14ac:dyDescent="0.25">
      <c r="A481" s="20"/>
      <c r="B481" s="20"/>
      <c r="C481" s="20"/>
      <c r="D481" s="14"/>
      <c r="E481" s="14"/>
      <c r="F481" s="53"/>
      <c r="G481" s="54"/>
      <c r="H481" s="54"/>
      <c r="I481" s="7"/>
      <c r="J481" s="9"/>
      <c r="K481" s="21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2.75" customHeight="1" x14ac:dyDescent="0.25">
      <c r="A482" s="20"/>
      <c r="B482" s="20"/>
      <c r="C482" s="20"/>
      <c r="D482" s="14"/>
      <c r="E482" s="14"/>
      <c r="F482" s="53"/>
      <c r="G482" s="54"/>
      <c r="H482" s="54"/>
      <c r="I482" s="7"/>
      <c r="J482" s="9"/>
      <c r="K482" s="21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2.75" customHeight="1" x14ac:dyDescent="0.25">
      <c r="A483" s="20"/>
      <c r="B483" s="20"/>
      <c r="C483" s="20"/>
      <c r="D483" s="14"/>
      <c r="E483" s="14"/>
      <c r="F483" s="53"/>
      <c r="G483" s="54"/>
      <c r="H483" s="54"/>
      <c r="I483" s="7"/>
      <c r="J483" s="9"/>
      <c r="K483" s="21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2.75" customHeight="1" x14ac:dyDescent="0.25">
      <c r="A484" s="20"/>
      <c r="B484" s="20"/>
      <c r="C484" s="20"/>
      <c r="D484" s="14"/>
      <c r="E484" s="14"/>
      <c r="F484" s="53"/>
      <c r="G484" s="54"/>
      <c r="H484" s="54"/>
      <c r="I484" s="7"/>
      <c r="J484" s="9"/>
      <c r="K484" s="21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2.75" customHeight="1" x14ac:dyDescent="0.25">
      <c r="A485" s="20"/>
      <c r="B485" s="20"/>
      <c r="C485" s="20"/>
      <c r="D485" s="14"/>
      <c r="E485" s="14"/>
      <c r="F485" s="53"/>
      <c r="G485" s="54"/>
      <c r="H485" s="54"/>
      <c r="I485" s="7"/>
      <c r="J485" s="9"/>
      <c r="K485" s="21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2.75" customHeight="1" x14ac:dyDescent="0.25">
      <c r="A486" s="20"/>
      <c r="B486" s="20"/>
      <c r="C486" s="20"/>
      <c r="D486" s="14"/>
      <c r="E486" s="14"/>
      <c r="F486" s="53"/>
      <c r="G486" s="54"/>
      <c r="H486" s="54"/>
      <c r="I486" s="7"/>
      <c r="J486" s="9"/>
      <c r="K486" s="21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2.75" customHeight="1" x14ac:dyDescent="0.25">
      <c r="A487" s="20"/>
      <c r="B487" s="20"/>
      <c r="C487" s="20"/>
      <c r="D487" s="14"/>
      <c r="E487" s="14"/>
      <c r="F487" s="53"/>
      <c r="G487" s="54"/>
      <c r="H487" s="54"/>
      <c r="I487" s="7"/>
      <c r="J487" s="9"/>
      <c r="K487" s="21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2.75" customHeight="1" x14ac:dyDescent="0.25">
      <c r="A488" s="20"/>
      <c r="B488" s="20"/>
      <c r="C488" s="20"/>
      <c r="D488" s="14"/>
      <c r="E488" s="14"/>
      <c r="F488" s="53"/>
      <c r="G488" s="54"/>
      <c r="H488" s="54"/>
      <c r="I488" s="7"/>
      <c r="J488" s="9"/>
      <c r="K488" s="21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2.75" customHeight="1" x14ac:dyDescent="0.25">
      <c r="A489" s="20"/>
      <c r="B489" s="20"/>
      <c r="C489" s="20"/>
      <c r="D489" s="14"/>
      <c r="E489" s="14"/>
      <c r="F489" s="53"/>
      <c r="G489" s="54"/>
      <c r="H489" s="54"/>
      <c r="I489" s="7"/>
      <c r="J489" s="9"/>
      <c r="K489" s="21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2.75" customHeight="1" x14ac:dyDescent="0.25">
      <c r="A490" s="20"/>
      <c r="B490" s="20"/>
      <c r="C490" s="20"/>
      <c r="D490" s="14"/>
      <c r="E490" s="14"/>
      <c r="F490" s="53"/>
      <c r="G490" s="54"/>
      <c r="H490" s="54"/>
      <c r="I490" s="7"/>
      <c r="J490" s="9"/>
      <c r="K490" s="21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2.75" customHeight="1" x14ac:dyDescent="0.25">
      <c r="A491" s="20"/>
      <c r="B491" s="20"/>
      <c r="C491" s="20"/>
      <c r="D491" s="14"/>
      <c r="E491" s="14"/>
      <c r="F491" s="53"/>
      <c r="G491" s="54"/>
      <c r="H491" s="54"/>
      <c r="I491" s="7"/>
      <c r="J491" s="9"/>
      <c r="K491" s="21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2.75" customHeight="1" x14ac:dyDescent="0.25">
      <c r="A492" s="20"/>
      <c r="B492" s="20"/>
      <c r="C492" s="20"/>
      <c r="D492" s="14"/>
      <c r="E492" s="14"/>
      <c r="F492" s="53"/>
      <c r="G492" s="54"/>
      <c r="H492" s="54"/>
      <c r="I492" s="7"/>
      <c r="J492" s="9"/>
      <c r="K492" s="21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2.75" customHeight="1" x14ac:dyDescent="0.25">
      <c r="A493" s="20"/>
      <c r="B493" s="20"/>
      <c r="C493" s="20"/>
      <c r="D493" s="14"/>
      <c r="E493" s="14"/>
      <c r="F493" s="53"/>
      <c r="G493" s="54"/>
      <c r="H493" s="54"/>
      <c r="I493" s="7"/>
      <c r="J493" s="9"/>
      <c r="K493" s="21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2.75" customHeight="1" x14ac:dyDescent="0.25">
      <c r="A494" s="20"/>
      <c r="B494" s="20"/>
      <c r="C494" s="20"/>
      <c r="D494" s="14"/>
      <c r="E494" s="14"/>
      <c r="F494" s="53"/>
      <c r="G494" s="54"/>
      <c r="H494" s="54"/>
      <c r="I494" s="7"/>
      <c r="J494" s="9"/>
      <c r="K494" s="21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2.75" customHeight="1" x14ac:dyDescent="0.25">
      <c r="A495" s="20"/>
      <c r="B495" s="20"/>
      <c r="C495" s="20"/>
      <c r="D495" s="14"/>
      <c r="E495" s="14"/>
      <c r="F495" s="53"/>
      <c r="G495" s="54"/>
      <c r="H495" s="54"/>
      <c r="I495" s="7"/>
      <c r="J495" s="9"/>
      <c r="K495" s="21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2.75" customHeight="1" x14ac:dyDescent="0.25">
      <c r="A496" s="20"/>
      <c r="B496" s="20"/>
      <c r="C496" s="20"/>
      <c r="D496" s="14"/>
      <c r="E496" s="14"/>
      <c r="F496" s="53"/>
      <c r="G496" s="54"/>
      <c r="H496" s="54"/>
      <c r="I496" s="7"/>
      <c r="J496" s="9"/>
      <c r="K496" s="21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2.75" customHeight="1" x14ac:dyDescent="0.25">
      <c r="A497" s="20"/>
      <c r="B497" s="20"/>
      <c r="C497" s="20"/>
      <c r="D497" s="14"/>
      <c r="E497" s="14"/>
      <c r="F497" s="53"/>
      <c r="G497" s="54"/>
      <c r="H497" s="54"/>
      <c r="I497" s="7"/>
      <c r="J497" s="9"/>
      <c r="K497" s="21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2.75" customHeight="1" x14ac:dyDescent="0.25">
      <c r="A498" s="20"/>
      <c r="B498" s="20"/>
      <c r="C498" s="20"/>
      <c r="D498" s="14"/>
      <c r="E498" s="14"/>
      <c r="F498" s="53"/>
      <c r="G498" s="54"/>
      <c r="H498" s="54"/>
      <c r="I498" s="7"/>
      <c r="J498" s="9"/>
      <c r="K498" s="21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2.75" customHeight="1" x14ac:dyDescent="0.25">
      <c r="A499" s="20"/>
      <c r="B499" s="20"/>
      <c r="C499" s="20"/>
      <c r="D499" s="14"/>
      <c r="E499" s="14"/>
      <c r="F499" s="53"/>
      <c r="G499" s="54"/>
      <c r="H499" s="54"/>
      <c r="I499" s="7"/>
      <c r="J499" s="9"/>
      <c r="K499" s="21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2.75" customHeight="1" x14ac:dyDescent="0.25">
      <c r="A500" s="20"/>
      <c r="B500" s="20"/>
      <c r="C500" s="20"/>
      <c r="D500" s="14"/>
      <c r="E500" s="14"/>
      <c r="F500" s="53"/>
      <c r="G500" s="54"/>
      <c r="H500" s="54"/>
      <c r="I500" s="7"/>
      <c r="J500" s="9"/>
      <c r="K500" s="21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2.75" customHeight="1" x14ac:dyDescent="0.25">
      <c r="A501" s="20"/>
      <c r="B501" s="20"/>
      <c r="C501" s="20"/>
      <c r="D501" s="14"/>
      <c r="E501" s="14"/>
      <c r="F501" s="53"/>
      <c r="G501" s="54"/>
      <c r="H501" s="54"/>
      <c r="I501" s="7"/>
      <c r="J501" s="9"/>
      <c r="K501" s="21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2.75" customHeight="1" x14ac:dyDescent="0.25">
      <c r="A502" s="20"/>
      <c r="B502" s="20"/>
      <c r="C502" s="20"/>
      <c r="D502" s="14"/>
      <c r="E502" s="14"/>
      <c r="F502" s="53"/>
      <c r="G502" s="54"/>
      <c r="H502" s="54"/>
      <c r="I502" s="7"/>
      <c r="J502" s="9"/>
      <c r="K502" s="21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2.75" customHeight="1" x14ac:dyDescent="0.25">
      <c r="A503" s="20"/>
      <c r="B503" s="20"/>
      <c r="C503" s="20"/>
      <c r="D503" s="14"/>
      <c r="E503" s="14"/>
      <c r="F503" s="53"/>
      <c r="G503" s="54"/>
      <c r="H503" s="54"/>
      <c r="I503" s="7"/>
      <c r="J503" s="9"/>
      <c r="K503" s="21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2.75" customHeight="1" x14ac:dyDescent="0.25">
      <c r="A504" s="20"/>
      <c r="B504" s="20"/>
      <c r="C504" s="20"/>
      <c r="D504" s="14"/>
      <c r="E504" s="14"/>
      <c r="F504" s="53"/>
      <c r="G504" s="54"/>
      <c r="H504" s="54"/>
      <c r="I504" s="7"/>
      <c r="J504" s="9"/>
      <c r="K504" s="21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2.75" customHeight="1" x14ac:dyDescent="0.25">
      <c r="A505" s="20"/>
      <c r="B505" s="20"/>
      <c r="C505" s="20"/>
      <c r="D505" s="14"/>
      <c r="E505" s="14"/>
      <c r="F505" s="53"/>
      <c r="G505" s="54"/>
      <c r="H505" s="54"/>
      <c r="I505" s="7"/>
      <c r="J505" s="9"/>
      <c r="K505" s="21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2.75" customHeight="1" x14ac:dyDescent="0.25">
      <c r="A506" s="20"/>
      <c r="B506" s="20"/>
      <c r="C506" s="20"/>
      <c r="D506" s="14"/>
      <c r="E506" s="14"/>
      <c r="F506" s="53"/>
      <c r="G506" s="54"/>
      <c r="H506" s="54"/>
      <c r="I506" s="7"/>
      <c r="J506" s="9"/>
      <c r="K506" s="21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2.75" customHeight="1" x14ac:dyDescent="0.25">
      <c r="A507" s="20"/>
      <c r="B507" s="20"/>
      <c r="C507" s="20"/>
      <c r="D507" s="14"/>
      <c r="E507" s="14"/>
      <c r="F507" s="53"/>
      <c r="G507" s="54"/>
      <c r="H507" s="54"/>
      <c r="I507" s="7"/>
      <c r="J507" s="9"/>
      <c r="K507" s="21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2.75" customHeight="1" x14ac:dyDescent="0.25">
      <c r="A508" s="20"/>
      <c r="B508" s="20"/>
      <c r="C508" s="20"/>
      <c r="D508" s="14"/>
      <c r="E508" s="14"/>
      <c r="F508" s="53"/>
      <c r="G508" s="54"/>
      <c r="H508" s="54"/>
      <c r="I508" s="7"/>
      <c r="J508" s="9"/>
      <c r="K508" s="21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2.75" customHeight="1" x14ac:dyDescent="0.25">
      <c r="A509" s="20"/>
      <c r="B509" s="20"/>
      <c r="C509" s="20"/>
      <c r="D509" s="14"/>
      <c r="E509" s="14"/>
      <c r="F509" s="53"/>
      <c r="G509" s="54"/>
      <c r="H509" s="54"/>
      <c r="I509" s="7"/>
      <c r="J509" s="9"/>
      <c r="K509" s="21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2.75" customHeight="1" x14ac:dyDescent="0.25">
      <c r="A510" s="20"/>
      <c r="B510" s="20"/>
      <c r="C510" s="20"/>
      <c r="D510" s="14"/>
      <c r="E510" s="14"/>
      <c r="F510" s="53"/>
      <c r="G510" s="54"/>
      <c r="H510" s="54"/>
      <c r="I510" s="7"/>
      <c r="J510" s="9"/>
      <c r="K510" s="21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2.75" customHeight="1" x14ac:dyDescent="0.25">
      <c r="A511" s="20"/>
      <c r="B511" s="20"/>
      <c r="C511" s="20"/>
      <c r="D511" s="14"/>
      <c r="E511" s="14"/>
      <c r="F511" s="53"/>
      <c r="G511" s="54"/>
      <c r="H511" s="54"/>
      <c r="I511" s="7"/>
      <c r="J511" s="9"/>
      <c r="K511" s="21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2.75" customHeight="1" x14ac:dyDescent="0.25">
      <c r="A512" s="20"/>
      <c r="B512" s="20"/>
      <c r="C512" s="20"/>
      <c r="D512" s="14"/>
      <c r="E512" s="14"/>
      <c r="F512" s="53"/>
      <c r="G512" s="54"/>
      <c r="H512" s="54"/>
      <c r="I512" s="7"/>
      <c r="J512" s="9"/>
      <c r="K512" s="21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2.75" customHeight="1" x14ac:dyDescent="0.25">
      <c r="A513" s="20"/>
      <c r="B513" s="20"/>
      <c r="C513" s="20"/>
      <c r="D513" s="14"/>
      <c r="E513" s="14"/>
      <c r="F513" s="53"/>
      <c r="G513" s="54"/>
      <c r="H513" s="54"/>
      <c r="I513" s="7"/>
      <c r="J513" s="9"/>
      <c r="K513" s="21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2.75" customHeight="1" x14ac:dyDescent="0.25">
      <c r="A514" s="20"/>
      <c r="B514" s="20"/>
      <c r="C514" s="20"/>
      <c r="D514" s="14"/>
      <c r="E514" s="14"/>
      <c r="F514" s="53"/>
      <c r="G514" s="54"/>
      <c r="H514" s="54"/>
      <c r="I514" s="7"/>
      <c r="J514" s="9"/>
      <c r="K514" s="21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2.75" customHeight="1" x14ac:dyDescent="0.25">
      <c r="A515" s="20"/>
      <c r="B515" s="20"/>
      <c r="C515" s="20"/>
      <c r="D515" s="14"/>
      <c r="E515" s="14"/>
      <c r="F515" s="53"/>
      <c r="G515" s="54"/>
      <c r="H515" s="54"/>
      <c r="I515" s="7"/>
      <c r="J515" s="9"/>
      <c r="K515" s="21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2.75" customHeight="1" x14ac:dyDescent="0.25">
      <c r="A516" s="20"/>
      <c r="B516" s="20"/>
      <c r="C516" s="20"/>
      <c r="D516" s="14"/>
      <c r="E516" s="14"/>
      <c r="F516" s="53"/>
      <c r="G516" s="54"/>
      <c r="H516" s="54"/>
      <c r="I516" s="7"/>
      <c r="J516" s="9"/>
      <c r="K516" s="21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2.75" customHeight="1" x14ac:dyDescent="0.25">
      <c r="A517" s="20"/>
      <c r="B517" s="20"/>
      <c r="C517" s="20"/>
      <c r="D517" s="14"/>
      <c r="E517" s="14"/>
      <c r="F517" s="53"/>
      <c r="G517" s="54"/>
      <c r="H517" s="54"/>
      <c r="I517" s="7"/>
      <c r="J517" s="9"/>
      <c r="K517" s="21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2.75" customHeight="1" x14ac:dyDescent="0.25">
      <c r="A518" s="20"/>
      <c r="B518" s="20"/>
      <c r="C518" s="20"/>
      <c r="D518" s="14"/>
      <c r="E518" s="14"/>
      <c r="F518" s="53"/>
      <c r="G518" s="54"/>
      <c r="H518" s="54"/>
      <c r="I518" s="7"/>
      <c r="J518" s="9"/>
      <c r="K518" s="21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2.75" customHeight="1" x14ac:dyDescent="0.25">
      <c r="A519" s="20"/>
      <c r="B519" s="20"/>
      <c r="C519" s="20"/>
      <c r="D519" s="14"/>
      <c r="E519" s="14"/>
      <c r="F519" s="53"/>
      <c r="G519" s="54"/>
      <c r="H519" s="54"/>
      <c r="I519" s="7"/>
      <c r="J519" s="9"/>
      <c r="K519" s="21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2.75" customHeight="1" x14ac:dyDescent="0.25">
      <c r="A520" s="20"/>
      <c r="B520" s="20"/>
      <c r="C520" s="20"/>
      <c r="D520" s="14"/>
      <c r="E520" s="14"/>
      <c r="F520" s="53"/>
      <c r="G520" s="54"/>
      <c r="H520" s="54"/>
      <c r="I520" s="7"/>
      <c r="J520" s="9"/>
      <c r="K520" s="21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2.75" customHeight="1" x14ac:dyDescent="0.25">
      <c r="A521" s="20"/>
      <c r="B521" s="20"/>
      <c r="C521" s="20"/>
      <c r="D521" s="14"/>
      <c r="E521" s="14"/>
      <c r="F521" s="53"/>
      <c r="G521" s="54"/>
      <c r="H521" s="54"/>
      <c r="I521" s="7"/>
      <c r="J521" s="9"/>
      <c r="K521" s="21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2.75" customHeight="1" x14ac:dyDescent="0.25">
      <c r="A522" s="20"/>
      <c r="B522" s="20"/>
      <c r="C522" s="20"/>
      <c r="D522" s="14"/>
      <c r="E522" s="14"/>
      <c r="F522" s="53"/>
      <c r="G522" s="54"/>
      <c r="H522" s="54"/>
      <c r="I522" s="7"/>
      <c r="J522" s="9"/>
      <c r="K522" s="21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2.75" customHeight="1" x14ac:dyDescent="0.25">
      <c r="A523" s="20"/>
      <c r="B523" s="20"/>
      <c r="C523" s="20"/>
      <c r="D523" s="14"/>
      <c r="E523" s="14"/>
      <c r="F523" s="53"/>
      <c r="G523" s="54"/>
      <c r="H523" s="54"/>
      <c r="I523" s="7"/>
      <c r="J523" s="9"/>
      <c r="K523" s="21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2.75" customHeight="1" x14ac:dyDescent="0.25">
      <c r="A524" s="20"/>
      <c r="B524" s="20"/>
      <c r="C524" s="20"/>
      <c r="D524" s="14"/>
      <c r="E524" s="14"/>
      <c r="F524" s="53"/>
      <c r="G524" s="54"/>
      <c r="H524" s="54"/>
      <c r="I524" s="7"/>
      <c r="J524" s="9"/>
      <c r="K524" s="21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2.75" customHeight="1" x14ac:dyDescent="0.25">
      <c r="A525" s="20"/>
      <c r="B525" s="20"/>
      <c r="C525" s="20"/>
      <c r="D525" s="14"/>
      <c r="E525" s="14"/>
      <c r="F525" s="53"/>
      <c r="G525" s="54"/>
      <c r="H525" s="54"/>
      <c r="I525" s="7"/>
      <c r="J525" s="9"/>
      <c r="K525" s="21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2.75" customHeight="1" x14ac:dyDescent="0.25">
      <c r="A526" s="20"/>
      <c r="B526" s="20"/>
      <c r="C526" s="20"/>
      <c r="D526" s="14"/>
      <c r="E526" s="14"/>
      <c r="F526" s="53"/>
      <c r="G526" s="54"/>
      <c r="H526" s="54"/>
      <c r="I526" s="7"/>
      <c r="J526" s="9"/>
      <c r="K526" s="21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2.75" customHeight="1" x14ac:dyDescent="0.25">
      <c r="A527" s="20"/>
      <c r="B527" s="20"/>
      <c r="C527" s="20"/>
      <c r="D527" s="14"/>
      <c r="E527" s="14"/>
      <c r="F527" s="53"/>
      <c r="G527" s="54"/>
      <c r="H527" s="54"/>
      <c r="I527" s="7"/>
      <c r="J527" s="9"/>
      <c r="K527" s="21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2.75" customHeight="1" x14ac:dyDescent="0.25">
      <c r="A528" s="20"/>
      <c r="B528" s="20"/>
      <c r="C528" s="20"/>
      <c r="D528" s="14"/>
      <c r="E528" s="14"/>
      <c r="F528" s="53"/>
      <c r="G528" s="54"/>
      <c r="H528" s="54"/>
      <c r="I528" s="7"/>
      <c r="J528" s="9"/>
      <c r="K528" s="21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2.75" customHeight="1" x14ac:dyDescent="0.25">
      <c r="A529" s="20"/>
      <c r="B529" s="20"/>
      <c r="C529" s="20"/>
      <c r="D529" s="14"/>
      <c r="E529" s="14"/>
      <c r="F529" s="53"/>
      <c r="G529" s="54"/>
      <c r="H529" s="54"/>
      <c r="I529" s="7"/>
      <c r="J529" s="9"/>
      <c r="K529" s="21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2.75" customHeight="1" x14ac:dyDescent="0.25">
      <c r="A530" s="20"/>
      <c r="B530" s="20"/>
      <c r="C530" s="20"/>
      <c r="D530" s="14"/>
      <c r="E530" s="14"/>
      <c r="F530" s="53"/>
      <c r="G530" s="54"/>
      <c r="H530" s="54"/>
      <c r="I530" s="7"/>
      <c r="J530" s="9"/>
      <c r="K530" s="21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2.75" customHeight="1" x14ac:dyDescent="0.25">
      <c r="A531" s="20"/>
      <c r="B531" s="20"/>
      <c r="C531" s="20"/>
      <c r="D531" s="14"/>
      <c r="E531" s="14"/>
      <c r="F531" s="53"/>
      <c r="G531" s="54"/>
      <c r="H531" s="54"/>
      <c r="I531" s="7"/>
      <c r="J531" s="9"/>
      <c r="K531" s="21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2.75" customHeight="1" x14ac:dyDescent="0.25">
      <c r="A532" s="20"/>
      <c r="B532" s="20"/>
      <c r="C532" s="20"/>
      <c r="D532" s="14"/>
      <c r="E532" s="14"/>
      <c r="F532" s="53"/>
      <c r="G532" s="54"/>
      <c r="H532" s="54"/>
      <c r="I532" s="7"/>
      <c r="J532" s="9"/>
      <c r="K532" s="21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2.75" customHeight="1" x14ac:dyDescent="0.25">
      <c r="A533" s="20"/>
      <c r="B533" s="20"/>
      <c r="C533" s="20"/>
      <c r="D533" s="14"/>
      <c r="E533" s="14"/>
      <c r="F533" s="53"/>
      <c r="G533" s="54"/>
      <c r="H533" s="54"/>
      <c r="I533" s="7"/>
      <c r="J533" s="9"/>
      <c r="K533" s="21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2.75" customHeight="1" x14ac:dyDescent="0.25">
      <c r="A534" s="20"/>
      <c r="B534" s="20"/>
      <c r="C534" s="20"/>
      <c r="D534" s="14"/>
      <c r="E534" s="14"/>
      <c r="F534" s="53"/>
      <c r="G534" s="54"/>
      <c r="H534" s="54"/>
      <c r="I534" s="7"/>
      <c r="J534" s="9"/>
      <c r="K534" s="21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2.75" customHeight="1" x14ac:dyDescent="0.25">
      <c r="A535" s="20"/>
      <c r="B535" s="20"/>
      <c r="C535" s="20"/>
      <c r="D535" s="14"/>
      <c r="E535" s="14"/>
      <c r="F535" s="53"/>
      <c r="G535" s="54"/>
      <c r="H535" s="54"/>
      <c r="I535" s="7"/>
      <c r="J535" s="9"/>
      <c r="K535" s="21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2.75" customHeight="1" x14ac:dyDescent="0.25">
      <c r="A536" s="20"/>
      <c r="B536" s="20"/>
      <c r="C536" s="20"/>
      <c r="D536" s="14"/>
      <c r="E536" s="14"/>
      <c r="F536" s="53"/>
      <c r="G536" s="54"/>
      <c r="H536" s="54"/>
      <c r="I536" s="7"/>
      <c r="J536" s="9"/>
      <c r="K536" s="21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2.75" customHeight="1" x14ac:dyDescent="0.25">
      <c r="A537" s="20"/>
      <c r="B537" s="20"/>
      <c r="C537" s="20"/>
      <c r="D537" s="14"/>
      <c r="E537" s="14"/>
      <c r="F537" s="53"/>
      <c r="G537" s="54"/>
      <c r="H537" s="54"/>
      <c r="I537" s="7"/>
      <c r="J537" s="9"/>
      <c r="K537" s="21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2.75" customHeight="1" x14ac:dyDescent="0.25">
      <c r="A538" s="20"/>
      <c r="B538" s="20"/>
      <c r="C538" s="20"/>
      <c r="D538" s="14"/>
      <c r="E538" s="14"/>
      <c r="F538" s="53"/>
      <c r="G538" s="54"/>
      <c r="H538" s="54"/>
      <c r="I538" s="7"/>
      <c r="J538" s="9"/>
      <c r="K538" s="21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2.75" customHeight="1" x14ac:dyDescent="0.25">
      <c r="A539" s="20"/>
      <c r="B539" s="20"/>
      <c r="C539" s="20"/>
      <c r="D539" s="14"/>
      <c r="E539" s="14"/>
      <c r="F539" s="53"/>
      <c r="G539" s="54"/>
      <c r="H539" s="54"/>
      <c r="I539" s="7"/>
      <c r="J539" s="9"/>
      <c r="K539" s="21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2.75" customHeight="1" x14ac:dyDescent="0.25">
      <c r="A540" s="20"/>
      <c r="B540" s="20"/>
      <c r="C540" s="20"/>
      <c r="D540" s="14"/>
      <c r="E540" s="14"/>
      <c r="F540" s="53"/>
      <c r="G540" s="54"/>
      <c r="H540" s="54"/>
      <c r="I540" s="7"/>
      <c r="J540" s="9"/>
      <c r="K540" s="21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2.75" customHeight="1" x14ac:dyDescent="0.25">
      <c r="A541" s="20"/>
      <c r="B541" s="20"/>
      <c r="C541" s="20"/>
      <c r="D541" s="14"/>
      <c r="E541" s="14"/>
      <c r="F541" s="53"/>
      <c r="G541" s="54"/>
      <c r="H541" s="54"/>
      <c r="I541" s="7"/>
      <c r="J541" s="9"/>
      <c r="K541" s="21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2.75" customHeight="1" x14ac:dyDescent="0.25">
      <c r="A542" s="20"/>
      <c r="B542" s="20"/>
      <c r="C542" s="20"/>
      <c r="D542" s="14"/>
      <c r="E542" s="14"/>
      <c r="F542" s="53"/>
      <c r="G542" s="54"/>
      <c r="H542" s="54"/>
      <c r="I542" s="7"/>
      <c r="J542" s="9"/>
      <c r="K542" s="21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2.75" customHeight="1" x14ac:dyDescent="0.25">
      <c r="A543" s="20"/>
      <c r="B543" s="20"/>
      <c r="C543" s="20"/>
      <c r="D543" s="14"/>
      <c r="E543" s="14"/>
      <c r="F543" s="53"/>
      <c r="G543" s="54"/>
      <c r="H543" s="54"/>
      <c r="I543" s="7"/>
      <c r="J543" s="9"/>
      <c r="K543" s="21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2.75" customHeight="1" x14ac:dyDescent="0.25">
      <c r="A544" s="20"/>
      <c r="B544" s="20"/>
      <c r="C544" s="20"/>
      <c r="D544" s="14"/>
      <c r="E544" s="14"/>
      <c r="F544" s="53"/>
      <c r="G544" s="54"/>
      <c r="H544" s="54"/>
      <c r="I544" s="7"/>
      <c r="J544" s="9"/>
      <c r="K544" s="21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2.75" customHeight="1" x14ac:dyDescent="0.25">
      <c r="A545" s="20"/>
      <c r="B545" s="20"/>
      <c r="C545" s="20"/>
      <c r="D545" s="14"/>
      <c r="E545" s="14"/>
      <c r="F545" s="53"/>
      <c r="G545" s="54"/>
      <c r="H545" s="54"/>
      <c r="I545" s="7"/>
      <c r="J545" s="9"/>
      <c r="K545" s="21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2.75" customHeight="1" x14ac:dyDescent="0.25">
      <c r="A546" s="20"/>
      <c r="B546" s="20"/>
      <c r="C546" s="20"/>
      <c r="D546" s="14"/>
      <c r="E546" s="14"/>
      <c r="F546" s="53"/>
      <c r="G546" s="54"/>
      <c r="H546" s="54"/>
      <c r="I546" s="7"/>
      <c r="J546" s="9"/>
      <c r="K546" s="21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2.75" customHeight="1" x14ac:dyDescent="0.25">
      <c r="A547" s="20"/>
      <c r="B547" s="20"/>
      <c r="C547" s="20"/>
      <c r="D547" s="14"/>
      <c r="E547" s="14"/>
      <c r="F547" s="53"/>
      <c r="G547" s="54"/>
      <c r="H547" s="54"/>
      <c r="I547" s="7"/>
      <c r="J547" s="9"/>
      <c r="K547" s="21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2.75" customHeight="1" x14ac:dyDescent="0.25">
      <c r="A548" s="20"/>
      <c r="B548" s="20"/>
      <c r="C548" s="20"/>
      <c r="D548" s="14"/>
      <c r="E548" s="14"/>
      <c r="F548" s="53"/>
      <c r="G548" s="54"/>
      <c r="H548" s="54"/>
      <c r="I548" s="7"/>
      <c r="J548" s="9"/>
      <c r="K548" s="21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2.75" customHeight="1" x14ac:dyDescent="0.25">
      <c r="A549" s="20"/>
      <c r="B549" s="20"/>
      <c r="C549" s="20"/>
      <c r="D549" s="14"/>
      <c r="E549" s="14"/>
      <c r="F549" s="53"/>
      <c r="G549" s="54"/>
      <c r="H549" s="54"/>
      <c r="I549" s="7"/>
      <c r="J549" s="9"/>
      <c r="K549" s="21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2.75" customHeight="1" x14ac:dyDescent="0.25">
      <c r="A550" s="20"/>
      <c r="B550" s="20"/>
      <c r="C550" s="20"/>
      <c r="D550" s="14"/>
      <c r="E550" s="14"/>
      <c r="F550" s="53"/>
      <c r="G550" s="54"/>
      <c r="H550" s="54"/>
      <c r="I550" s="7"/>
      <c r="J550" s="9"/>
      <c r="K550" s="21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2.75" customHeight="1" x14ac:dyDescent="0.25">
      <c r="A551" s="20"/>
      <c r="B551" s="20"/>
      <c r="C551" s="20"/>
      <c r="D551" s="14"/>
      <c r="E551" s="14"/>
      <c r="F551" s="53"/>
      <c r="G551" s="54"/>
      <c r="H551" s="54"/>
      <c r="I551" s="7"/>
      <c r="J551" s="9"/>
      <c r="K551" s="21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2.75" customHeight="1" x14ac:dyDescent="0.25">
      <c r="A552" s="20"/>
      <c r="B552" s="20"/>
      <c r="C552" s="20"/>
      <c r="D552" s="14"/>
      <c r="E552" s="14"/>
      <c r="F552" s="53"/>
      <c r="G552" s="54"/>
      <c r="H552" s="54"/>
      <c r="I552" s="7"/>
      <c r="J552" s="9"/>
      <c r="K552" s="21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2.75" customHeight="1" x14ac:dyDescent="0.25">
      <c r="A553" s="20"/>
      <c r="B553" s="20"/>
      <c r="C553" s="20"/>
      <c r="D553" s="14"/>
      <c r="E553" s="14"/>
      <c r="F553" s="53"/>
      <c r="G553" s="54"/>
      <c r="H553" s="54"/>
      <c r="I553" s="7"/>
      <c r="J553" s="9"/>
      <c r="K553" s="21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2.75" customHeight="1" x14ac:dyDescent="0.25">
      <c r="A554" s="20"/>
      <c r="B554" s="20"/>
      <c r="C554" s="20"/>
      <c r="D554" s="14"/>
      <c r="E554" s="14"/>
      <c r="F554" s="53"/>
      <c r="G554" s="54"/>
      <c r="H554" s="54"/>
      <c r="I554" s="7"/>
      <c r="J554" s="9"/>
      <c r="K554" s="21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2.75" customHeight="1" x14ac:dyDescent="0.25">
      <c r="A555" s="20"/>
      <c r="B555" s="20"/>
      <c r="C555" s="20"/>
      <c r="D555" s="14"/>
      <c r="E555" s="14"/>
      <c r="F555" s="53"/>
      <c r="G555" s="54"/>
      <c r="H555" s="54"/>
      <c r="I555" s="7"/>
      <c r="J555" s="9"/>
      <c r="K555" s="21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2.75" customHeight="1" x14ac:dyDescent="0.25">
      <c r="A556" s="20"/>
      <c r="B556" s="20"/>
      <c r="C556" s="20"/>
      <c r="D556" s="14"/>
      <c r="E556" s="14"/>
      <c r="F556" s="53"/>
      <c r="G556" s="54"/>
      <c r="H556" s="54"/>
      <c r="I556" s="7"/>
      <c r="J556" s="9"/>
      <c r="K556" s="21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2.75" customHeight="1" x14ac:dyDescent="0.25">
      <c r="A557" s="20"/>
      <c r="B557" s="20"/>
      <c r="C557" s="20"/>
      <c r="D557" s="14"/>
      <c r="E557" s="14"/>
      <c r="F557" s="53"/>
      <c r="G557" s="54"/>
      <c r="H557" s="54"/>
      <c r="I557" s="7"/>
      <c r="J557" s="9"/>
      <c r="K557" s="21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2.75" customHeight="1" x14ac:dyDescent="0.25">
      <c r="A558" s="20"/>
      <c r="B558" s="20"/>
      <c r="C558" s="20"/>
      <c r="D558" s="14"/>
      <c r="E558" s="14"/>
      <c r="F558" s="53"/>
      <c r="G558" s="54"/>
      <c r="H558" s="54"/>
      <c r="I558" s="7"/>
      <c r="J558" s="9"/>
      <c r="K558" s="21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2.75" customHeight="1" x14ac:dyDescent="0.25">
      <c r="A559" s="20"/>
      <c r="B559" s="20"/>
      <c r="C559" s="20"/>
      <c r="D559" s="14"/>
      <c r="E559" s="14"/>
      <c r="F559" s="53"/>
      <c r="G559" s="54"/>
      <c r="H559" s="54"/>
      <c r="I559" s="7"/>
      <c r="J559" s="9"/>
      <c r="K559" s="21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2.75" customHeight="1" x14ac:dyDescent="0.25">
      <c r="A560" s="20"/>
      <c r="B560" s="20"/>
      <c r="C560" s="20"/>
      <c r="D560" s="14"/>
      <c r="E560" s="14"/>
      <c r="F560" s="53"/>
      <c r="G560" s="54"/>
      <c r="H560" s="54"/>
      <c r="I560" s="7"/>
      <c r="J560" s="9"/>
      <c r="K560" s="21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2.75" customHeight="1" x14ac:dyDescent="0.25">
      <c r="A561" s="20"/>
      <c r="B561" s="20"/>
      <c r="C561" s="20"/>
      <c r="D561" s="14"/>
      <c r="E561" s="14"/>
      <c r="F561" s="53"/>
      <c r="G561" s="54"/>
      <c r="H561" s="54"/>
      <c r="I561" s="7"/>
      <c r="J561" s="9"/>
      <c r="K561" s="21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2.75" customHeight="1" x14ac:dyDescent="0.25">
      <c r="A562" s="20"/>
      <c r="B562" s="20"/>
      <c r="C562" s="20"/>
      <c r="D562" s="14"/>
      <c r="E562" s="14"/>
      <c r="F562" s="53"/>
      <c r="G562" s="54"/>
      <c r="H562" s="54"/>
      <c r="I562" s="7"/>
      <c r="J562" s="9"/>
      <c r="K562" s="21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2.75" customHeight="1" x14ac:dyDescent="0.25">
      <c r="A563" s="20"/>
      <c r="B563" s="20"/>
      <c r="C563" s="20"/>
      <c r="D563" s="14"/>
      <c r="E563" s="14"/>
      <c r="F563" s="53"/>
      <c r="G563" s="54"/>
      <c r="H563" s="54"/>
      <c r="I563" s="7"/>
      <c r="J563" s="9"/>
      <c r="K563" s="21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2.75" customHeight="1" x14ac:dyDescent="0.25">
      <c r="A564" s="20"/>
      <c r="B564" s="20"/>
      <c r="C564" s="20"/>
      <c r="D564" s="14"/>
      <c r="E564" s="14"/>
      <c r="F564" s="53"/>
      <c r="G564" s="54"/>
      <c r="H564" s="54"/>
      <c r="I564" s="7"/>
      <c r="J564" s="9"/>
      <c r="K564" s="21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2.75" customHeight="1" x14ac:dyDescent="0.25">
      <c r="A565" s="20"/>
      <c r="B565" s="20"/>
      <c r="C565" s="20"/>
      <c r="D565" s="14"/>
      <c r="E565" s="14"/>
      <c r="F565" s="53"/>
      <c r="G565" s="54"/>
      <c r="H565" s="54"/>
      <c r="I565" s="7"/>
      <c r="J565" s="9"/>
      <c r="K565" s="21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2.75" customHeight="1" x14ac:dyDescent="0.25">
      <c r="A566" s="20"/>
      <c r="B566" s="20"/>
      <c r="C566" s="20"/>
      <c r="D566" s="14"/>
      <c r="E566" s="14"/>
      <c r="F566" s="53"/>
      <c r="G566" s="54"/>
      <c r="H566" s="54"/>
      <c r="I566" s="7"/>
      <c r="J566" s="9"/>
      <c r="K566" s="21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2.75" customHeight="1" x14ac:dyDescent="0.25">
      <c r="A567" s="20"/>
      <c r="B567" s="20"/>
      <c r="C567" s="20"/>
      <c r="D567" s="14"/>
      <c r="E567" s="14"/>
      <c r="F567" s="53"/>
      <c r="G567" s="54"/>
      <c r="H567" s="54"/>
      <c r="I567" s="7"/>
      <c r="J567" s="9"/>
      <c r="K567" s="21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2.75" customHeight="1" x14ac:dyDescent="0.25">
      <c r="A568" s="20"/>
      <c r="B568" s="20"/>
      <c r="C568" s="20"/>
      <c r="D568" s="14"/>
      <c r="E568" s="14"/>
      <c r="F568" s="53"/>
      <c r="G568" s="54"/>
      <c r="H568" s="54"/>
      <c r="I568" s="7"/>
      <c r="J568" s="9"/>
      <c r="K568" s="21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2.75" customHeight="1" x14ac:dyDescent="0.25">
      <c r="A569" s="20"/>
      <c r="B569" s="20"/>
      <c r="C569" s="20"/>
      <c r="D569" s="14"/>
      <c r="E569" s="14"/>
      <c r="F569" s="53"/>
      <c r="G569" s="54"/>
      <c r="H569" s="54"/>
      <c r="I569" s="7"/>
      <c r="J569" s="9"/>
      <c r="K569" s="21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2.75" customHeight="1" x14ac:dyDescent="0.25">
      <c r="A570" s="20"/>
      <c r="B570" s="20"/>
      <c r="C570" s="20"/>
      <c r="D570" s="14"/>
      <c r="E570" s="14"/>
      <c r="F570" s="53"/>
      <c r="G570" s="54"/>
      <c r="H570" s="54"/>
      <c r="I570" s="7"/>
      <c r="J570" s="9"/>
      <c r="K570" s="21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2.75" customHeight="1" x14ac:dyDescent="0.25">
      <c r="A571" s="20"/>
      <c r="B571" s="20"/>
      <c r="C571" s="20"/>
      <c r="D571" s="14"/>
      <c r="E571" s="14"/>
      <c r="F571" s="53"/>
      <c r="G571" s="54"/>
      <c r="H571" s="54"/>
      <c r="I571" s="7"/>
      <c r="J571" s="9"/>
      <c r="K571" s="21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2.75" customHeight="1" x14ac:dyDescent="0.25">
      <c r="A572" s="20"/>
      <c r="B572" s="20"/>
      <c r="C572" s="20"/>
      <c r="D572" s="14"/>
      <c r="E572" s="14"/>
      <c r="F572" s="53"/>
      <c r="G572" s="54"/>
      <c r="H572" s="54"/>
      <c r="I572" s="7"/>
      <c r="J572" s="9"/>
      <c r="K572" s="21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2.75" customHeight="1" x14ac:dyDescent="0.25">
      <c r="A573" s="20"/>
      <c r="B573" s="20"/>
      <c r="C573" s="20"/>
      <c r="D573" s="14"/>
      <c r="E573" s="14"/>
      <c r="F573" s="53"/>
      <c r="G573" s="54"/>
      <c r="H573" s="54"/>
      <c r="I573" s="7"/>
      <c r="J573" s="9"/>
      <c r="K573" s="21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2.75" customHeight="1" x14ac:dyDescent="0.25">
      <c r="A574" s="20"/>
      <c r="B574" s="20"/>
      <c r="C574" s="20"/>
      <c r="D574" s="14"/>
      <c r="E574" s="14"/>
      <c r="F574" s="53"/>
      <c r="G574" s="54"/>
      <c r="H574" s="54"/>
      <c r="I574" s="7"/>
      <c r="J574" s="9"/>
      <c r="K574" s="21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2.75" customHeight="1" x14ac:dyDescent="0.25">
      <c r="A575" s="20"/>
      <c r="B575" s="20"/>
      <c r="C575" s="20"/>
      <c r="D575" s="14"/>
      <c r="E575" s="14"/>
      <c r="F575" s="53"/>
      <c r="G575" s="54"/>
      <c r="H575" s="54"/>
      <c r="I575" s="7"/>
      <c r="J575" s="9"/>
      <c r="K575" s="21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2.75" customHeight="1" x14ac:dyDescent="0.25">
      <c r="A576" s="20"/>
      <c r="B576" s="20"/>
      <c r="C576" s="20"/>
      <c r="D576" s="14"/>
      <c r="E576" s="14"/>
      <c r="F576" s="53"/>
      <c r="G576" s="54"/>
      <c r="H576" s="54"/>
      <c r="I576" s="7"/>
      <c r="J576" s="9"/>
      <c r="K576" s="21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2.75" customHeight="1" x14ac:dyDescent="0.25">
      <c r="A577" s="20"/>
      <c r="B577" s="20"/>
      <c r="C577" s="20"/>
      <c r="D577" s="14"/>
      <c r="E577" s="14"/>
      <c r="F577" s="53"/>
      <c r="G577" s="54"/>
      <c r="H577" s="54"/>
      <c r="I577" s="7"/>
      <c r="J577" s="9"/>
      <c r="K577" s="21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2.75" customHeight="1" x14ac:dyDescent="0.25">
      <c r="A578" s="20"/>
      <c r="B578" s="20"/>
      <c r="C578" s="20"/>
      <c r="D578" s="14"/>
      <c r="E578" s="14"/>
      <c r="F578" s="53"/>
      <c r="G578" s="54"/>
      <c r="H578" s="54"/>
      <c r="I578" s="7"/>
      <c r="J578" s="9"/>
      <c r="K578" s="21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2.75" customHeight="1" x14ac:dyDescent="0.25">
      <c r="A579" s="20"/>
      <c r="B579" s="20"/>
      <c r="C579" s="20"/>
      <c r="D579" s="14"/>
      <c r="E579" s="14"/>
      <c r="F579" s="53"/>
      <c r="G579" s="54"/>
      <c r="H579" s="54"/>
      <c r="I579" s="7"/>
      <c r="J579" s="9"/>
      <c r="K579" s="21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2.75" customHeight="1" x14ac:dyDescent="0.25">
      <c r="A580" s="20"/>
      <c r="B580" s="20"/>
      <c r="C580" s="20"/>
      <c r="D580" s="14"/>
      <c r="E580" s="14"/>
      <c r="F580" s="53"/>
      <c r="G580" s="54"/>
      <c r="H580" s="54"/>
      <c r="I580" s="7"/>
      <c r="J580" s="9"/>
      <c r="K580" s="21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2.75" customHeight="1" x14ac:dyDescent="0.25">
      <c r="A581" s="20"/>
      <c r="B581" s="20"/>
      <c r="C581" s="20"/>
      <c r="D581" s="14"/>
      <c r="E581" s="14"/>
      <c r="F581" s="53"/>
      <c r="G581" s="54"/>
      <c r="H581" s="54"/>
      <c r="I581" s="7"/>
      <c r="J581" s="9"/>
      <c r="K581" s="21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2.75" customHeight="1" x14ac:dyDescent="0.25">
      <c r="A582" s="20"/>
      <c r="B582" s="20"/>
      <c r="C582" s="20"/>
      <c r="D582" s="14"/>
      <c r="E582" s="14"/>
      <c r="F582" s="53"/>
      <c r="G582" s="54"/>
      <c r="H582" s="54"/>
      <c r="I582" s="7"/>
      <c r="J582" s="9"/>
      <c r="K582" s="21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2.75" customHeight="1" x14ac:dyDescent="0.25">
      <c r="A583" s="20"/>
      <c r="B583" s="20"/>
      <c r="C583" s="20"/>
      <c r="D583" s="14"/>
      <c r="E583" s="14"/>
      <c r="F583" s="53"/>
      <c r="G583" s="54"/>
      <c r="H583" s="54"/>
      <c r="I583" s="7"/>
      <c r="J583" s="9"/>
      <c r="K583" s="21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2.75" customHeight="1" x14ac:dyDescent="0.25">
      <c r="A584" s="20"/>
      <c r="B584" s="20"/>
      <c r="C584" s="20"/>
      <c r="D584" s="14"/>
      <c r="E584" s="14"/>
      <c r="F584" s="53"/>
      <c r="G584" s="54"/>
      <c r="H584" s="54"/>
      <c r="I584" s="7"/>
      <c r="J584" s="9"/>
      <c r="K584" s="21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2.75" customHeight="1" x14ac:dyDescent="0.25">
      <c r="A585" s="20"/>
      <c r="B585" s="20"/>
      <c r="C585" s="20"/>
      <c r="D585" s="14"/>
      <c r="E585" s="14"/>
      <c r="F585" s="53"/>
      <c r="G585" s="54"/>
      <c r="H585" s="54"/>
      <c r="I585" s="7"/>
      <c r="J585" s="9"/>
      <c r="K585" s="21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2.75" customHeight="1" x14ac:dyDescent="0.25">
      <c r="A586" s="20"/>
      <c r="B586" s="20"/>
      <c r="C586" s="20"/>
      <c r="D586" s="14"/>
      <c r="E586" s="14"/>
      <c r="F586" s="53"/>
      <c r="G586" s="54"/>
      <c r="H586" s="54"/>
      <c r="I586" s="7"/>
      <c r="J586" s="9"/>
      <c r="K586" s="21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2.75" customHeight="1" x14ac:dyDescent="0.25">
      <c r="A587" s="20"/>
      <c r="B587" s="20"/>
      <c r="C587" s="20"/>
      <c r="D587" s="14"/>
      <c r="E587" s="14"/>
      <c r="F587" s="53"/>
      <c r="G587" s="54"/>
      <c r="H587" s="54"/>
      <c r="I587" s="7"/>
      <c r="J587" s="9"/>
      <c r="K587" s="21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2.75" customHeight="1" x14ac:dyDescent="0.25">
      <c r="A588" s="20"/>
      <c r="B588" s="20"/>
      <c r="C588" s="20"/>
      <c r="D588" s="14"/>
      <c r="E588" s="14"/>
      <c r="F588" s="53"/>
      <c r="G588" s="54"/>
      <c r="H588" s="54"/>
      <c r="I588" s="7"/>
      <c r="J588" s="9"/>
      <c r="K588" s="21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2.75" customHeight="1" x14ac:dyDescent="0.25">
      <c r="A589" s="20"/>
      <c r="B589" s="20"/>
      <c r="C589" s="20"/>
      <c r="D589" s="14"/>
      <c r="E589" s="14"/>
      <c r="F589" s="53"/>
      <c r="G589" s="54"/>
      <c r="H589" s="54"/>
      <c r="I589" s="7"/>
      <c r="J589" s="9"/>
      <c r="K589" s="21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2.75" customHeight="1" x14ac:dyDescent="0.25">
      <c r="A590" s="20"/>
      <c r="B590" s="20"/>
      <c r="C590" s="20"/>
      <c r="D590" s="14"/>
      <c r="E590" s="14"/>
      <c r="F590" s="53"/>
      <c r="G590" s="54"/>
      <c r="H590" s="54"/>
      <c r="I590" s="7"/>
      <c r="J590" s="9"/>
      <c r="K590" s="21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2.75" customHeight="1" x14ac:dyDescent="0.25">
      <c r="A591" s="20"/>
      <c r="B591" s="20"/>
      <c r="C591" s="20"/>
      <c r="D591" s="14"/>
      <c r="E591" s="14"/>
      <c r="F591" s="53"/>
      <c r="G591" s="54"/>
      <c r="H591" s="54"/>
      <c r="I591" s="7"/>
      <c r="J591" s="9"/>
      <c r="K591" s="21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2.75" customHeight="1" x14ac:dyDescent="0.25">
      <c r="A592" s="20"/>
      <c r="B592" s="20"/>
      <c r="C592" s="20"/>
      <c r="D592" s="14"/>
      <c r="E592" s="14"/>
      <c r="F592" s="53"/>
      <c r="G592" s="54"/>
      <c r="H592" s="54"/>
      <c r="I592" s="7"/>
      <c r="J592" s="9"/>
      <c r="K592" s="21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2.75" customHeight="1" x14ac:dyDescent="0.25">
      <c r="A593" s="20"/>
      <c r="B593" s="20"/>
      <c r="C593" s="20"/>
      <c r="D593" s="14"/>
      <c r="E593" s="14"/>
      <c r="F593" s="53"/>
      <c r="G593" s="54"/>
      <c r="H593" s="54"/>
      <c r="I593" s="7"/>
      <c r="J593" s="9"/>
      <c r="K593" s="21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2.75" customHeight="1" x14ac:dyDescent="0.25">
      <c r="A594" s="20"/>
      <c r="B594" s="20"/>
      <c r="C594" s="20"/>
      <c r="D594" s="14"/>
      <c r="E594" s="14"/>
      <c r="F594" s="53"/>
      <c r="G594" s="54"/>
      <c r="H594" s="54"/>
      <c r="I594" s="7"/>
      <c r="J594" s="9"/>
      <c r="K594" s="21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2.75" customHeight="1" x14ac:dyDescent="0.25">
      <c r="A595" s="20"/>
      <c r="B595" s="20"/>
      <c r="C595" s="20"/>
      <c r="D595" s="14"/>
      <c r="E595" s="14"/>
      <c r="F595" s="53"/>
      <c r="G595" s="54"/>
      <c r="H595" s="54"/>
      <c r="I595" s="7"/>
      <c r="J595" s="9"/>
      <c r="K595" s="21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2.75" customHeight="1" x14ac:dyDescent="0.25">
      <c r="A596" s="20"/>
      <c r="B596" s="20"/>
      <c r="C596" s="20"/>
      <c r="D596" s="14"/>
      <c r="E596" s="14"/>
      <c r="F596" s="53"/>
      <c r="G596" s="54"/>
      <c r="H596" s="54"/>
      <c r="I596" s="7"/>
      <c r="J596" s="9"/>
      <c r="K596" s="21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2.75" customHeight="1" x14ac:dyDescent="0.25">
      <c r="A597" s="20"/>
      <c r="B597" s="20"/>
      <c r="C597" s="20"/>
      <c r="D597" s="14"/>
      <c r="E597" s="14"/>
      <c r="F597" s="53"/>
      <c r="G597" s="54"/>
      <c r="H597" s="54"/>
      <c r="I597" s="7"/>
      <c r="J597" s="9"/>
      <c r="K597" s="21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2.75" customHeight="1" x14ac:dyDescent="0.25">
      <c r="A598" s="20"/>
      <c r="B598" s="20"/>
      <c r="C598" s="20"/>
      <c r="D598" s="14"/>
      <c r="E598" s="14"/>
      <c r="F598" s="53"/>
      <c r="G598" s="54"/>
      <c r="H598" s="54"/>
      <c r="I598" s="7"/>
      <c r="J598" s="9"/>
      <c r="K598" s="21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2.75" customHeight="1" x14ac:dyDescent="0.25">
      <c r="A599" s="20"/>
      <c r="B599" s="20"/>
      <c r="C599" s="20"/>
      <c r="D599" s="14"/>
      <c r="E599" s="14"/>
      <c r="F599" s="53"/>
      <c r="G599" s="54"/>
      <c r="H599" s="54"/>
      <c r="I599" s="7"/>
      <c r="J599" s="9"/>
      <c r="K599" s="21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2.75" customHeight="1" x14ac:dyDescent="0.25">
      <c r="A600" s="20"/>
      <c r="B600" s="20"/>
      <c r="C600" s="20"/>
      <c r="D600" s="14"/>
      <c r="E600" s="14"/>
      <c r="F600" s="53"/>
      <c r="G600" s="54"/>
      <c r="H600" s="54"/>
      <c r="I600" s="7"/>
      <c r="J600" s="9"/>
      <c r="K600" s="21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2.75" customHeight="1" x14ac:dyDescent="0.25">
      <c r="A601" s="20"/>
      <c r="B601" s="20"/>
      <c r="C601" s="20"/>
      <c r="D601" s="14"/>
      <c r="E601" s="14"/>
      <c r="F601" s="53"/>
      <c r="G601" s="54"/>
      <c r="H601" s="54"/>
      <c r="I601" s="7"/>
      <c r="J601" s="9"/>
      <c r="K601" s="21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2.75" customHeight="1" x14ac:dyDescent="0.25">
      <c r="A602" s="20"/>
      <c r="B602" s="20"/>
      <c r="C602" s="20"/>
      <c r="D602" s="14"/>
      <c r="E602" s="14"/>
      <c r="F602" s="53"/>
      <c r="G602" s="54"/>
      <c r="H602" s="54"/>
      <c r="I602" s="7"/>
      <c r="J602" s="9"/>
      <c r="K602" s="21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2.75" customHeight="1" x14ac:dyDescent="0.25">
      <c r="A603" s="20"/>
      <c r="B603" s="20"/>
      <c r="C603" s="20"/>
      <c r="D603" s="14"/>
      <c r="E603" s="14"/>
      <c r="F603" s="53"/>
      <c r="G603" s="54"/>
      <c r="H603" s="54"/>
      <c r="I603" s="7"/>
      <c r="J603" s="9"/>
      <c r="K603" s="21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2.75" customHeight="1" x14ac:dyDescent="0.25">
      <c r="A604" s="20"/>
      <c r="B604" s="20"/>
      <c r="C604" s="20"/>
      <c r="D604" s="14"/>
      <c r="E604" s="14"/>
      <c r="F604" s="53"/>
      <c r="G604" s="54"/>
      <c r="H604" s="54"/>
      <c r="I604" s="7"/>
      <c r="J604" s="9"/>
      <c r="K604" s="21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2.75" customHeight="1" x14ac:dyDescent="0.25">
      <c r="A605" s="20"/>
      <c r="B605" s="20"/>
      <c r="C605" s="20"/>
      <c r="D605" s="14"/>
      <c r="E605" s="14"/>
      <c r="F605" s="53"/>
      <c r="G605" s="54"/>
      <c r="H605" s="54"/>
      <c r="I605" s="7"/>
      <c r="J605" s="9"/>
      <c r="K605" s="21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2.75" customHeight="1" x14ac:dyDescent="0.25">
      <c r="A606" s="20"/>
      <c r="B606" s="20"/>
      <c r="C606" s="20"/>
      <c r="D606" s="14"/>
      <c r="E606" s="14"/>
      <c r="F606" s="53"/>
      <c r="G606" s="54"/>
      <c r="H606" s="54"/>
      <c r="I606" s="7"/>
      <c r="J606" s="9"/>
      <c r="K606" s="21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2.75" customHeight="1" x14ac:dyDescent="0.25">
      <c r="A607" s="20"/>
      <c r="B607" s="20"/>
      <c r="C607" s="20"/>
      <c r="D607" s="14"/>
      <c r="E607" s="14"/>
      <c r="F607" s="53"/>
      <c r="G607" s="54"/>
      <c r="H607" s="54"/>
      <c r="I607" s="7"/>
      <c r="J607" s="9"/>
      <c r="K607" s="21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2.75" customHeight="1" x14ac:dyDescent="0.25">
      <c r="A608" s="20"/>
      <c r="B608" s="20"/>
      <c r="C608" s="20"/>
      <c r="D608" s="14"/>
      <c r="E608" s="14"/>
      <c r="F608" s="53"/>
      <c r="G608" s="54"/>
      <c r="H608" s="54"/>
      <c r="I608" s="7"/>
      <c r="J608" s="9"/>
      <c r="K608" s="21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2.75" customHeight="1" x14ac:dyDescent="0.25">
      <c r="A609" s="20"/>
      <c r="B609" s="20"/>
      <c r="C609" s="20"/>
      <c r="D609" s="14"/>
      <c r="E609" s="14"/>
      <c r="F609" s="53"/>
      <c r="G609" s="54"/>
      <c r="H609" s="54"/>
      <c r="I609" s="7"/>
      <c r="J609" s="9"/>
      <c r="K609" s="21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2.75" customHeight="1" x14ac:dyDescent="0.25">
      <c r="A610" s="20"/>
      <c r="B610" s="20"/>
      <c r="C610" s="20"/>
      <c r="D610" s="14"/>
      <c r="E610" s="14"/>
      <c r="F610" s="53"/>
      <c r="G610" s="54"/>
      <c r="H610" s="54"/>
      <c r="I610" s="7"/>
      <c r="J610" s="9"/>
      <c r="K610" s="21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2.75" customHeight="1" x14ac:dyDescent="0.25">
      <c r="A611" s="20"/>
      <c r="B611" s="20"/>
      <c r="C611" s="20"/>
      <c r="D611" s="14"/>
      <c r="E611" s="14"/>
      <c r="F611" s="53"/>
      <c r="G611" s="54"/>
      <c r="H611" s="54"/>
      <c r="I611" s="7"/>
      <c r="J611" s="9"/>
      <c r="K611" s="21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2.75" customHeight="1" x14ac:dyDescent="0.25">
      <c r="A612" s="20"/>
      <c r="B612" s="20"/>
      <c r="C612" s="20"/>
      <c r="D612" s="14"/>
      <c r="E612" s="14"/>
      <c r="F612" s="53"/>
      <c r="G612" s="54"/>
      <c r="H612" s="54"/>
      <c r="I612" s="7"/>
      <c r="J612" s="9"/>
      <c r="K612" s="21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2.75" customHeight="1" x14ac:dyDescent="0.25">
      <c r="A613" s="20"/>
      <c r="B613" s="20"/>
      <c r="C613" s="20"/>
      <c r="D613" s="14"/>
      <c r="E613" s="14"/>
      <c r="F613" s="53"/>
      <c r="G613" s="54"/>
      <c r="H613" s="54"/>
      <c r="I613" s="7"/>
      <c r="J613" s="9"/>
      <c r="K613" s="21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2.75" customHeight="1" x14ac:dyDescent="0.25">
      <c r="A614" s="20"/>
      <c r="B614" s="20"/>
      <c r="C614" s="20"/>
      <c r="D614" s="14"/>
      <c r="E614" s="14"/>
      <c r="F614" s="53"/>
      <c r="G614" s="54"/>
      <c r="H614" s="54"/>
      <c r="I614" s="7"/>
      <c r="J614" s="9"/>
      <c r="K614" s="21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2.75" customHeight="1" x14ac:dyDescent="0.25">
      <c r="A615" s="20"/>
      <c r="B615" s="20"/>
      <c r="C615" s="20"/>
      <c r="D615" s="14"/>
      <c r="E615" s="14"/>
      <c r="F615" s="53"/>
      <c r="G615" s="54"/>
      <c r="H615" s="54"/>
      <c r="I615" s="7"/>
      <c r="J615" s="9"/>
      <c r="K615" s="21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2.75" customHeight="1" x14ac:dyDescent="0.25">
      <c r="A616" s="20"/>
      <c r="B616" s="20"/>
      <c r="C616" s="20"/>
      <c r="D616" s="14"/>
      <c r="E616" s="14"/>
      <c r="F616" s="53"/>
      <c r="G616" s="54"/>
      <c r="H616" s="54"/>
      <c r="I616" s="7"/>
      <c r="J616" s="9"/>
      <c r="K616" s="21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2.75" customHeight="1" x14ac:dyDescent="0.25">
      <c r="A617" s="20"/>
      <c r="B617" s="20"/>
      <c r="C617" s="20"/>
      <c r="D617" s="14"/>
      <c r="E617" s="14"/>
      <c r="F617" s="53"/>
      <c r="G617" s="54"/>
      <c r="H617" s="54"/>
      <c r="I617" s="7"/>
      <c r="J617" s="9"/>
      <c r="K617" s="21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2.75" customHeight="1" x14ac:dyDescent="0.25">
      <c r="A618" s="20"/>
      <c r="B618" s="20"/>
      <c r="C618" s="20"/>
      <c r="D618" s="14"/>
      <c r="E618" s="14"/>
      <c r="F618" s="53"/>
      <c r="G618" s="54"/>
      <c r="H618" s="54"/>
      <c r="I618" s="7"/>
      <c r="J618" s="9"/>
      <c r="K618" s="21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2.75" customHeight="1" x14ac:dyDescent="0.25">
      <c r="A619" s="20"/>
      <c r="B619" s="20"/>
      <c r="C619" s="20"/>
      <c r="D619" s="14"/>
      <c r="E619" s="14"/>
      <c r="F619" s="53"/>
      <c r="G619" s="54"/>
      <c r="H619" s="54"/>
      <c r="I619" s="7"/>
      <c r="J619" s="9"/>
      <c r="K619" s="21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2.75" customHeight="1" x14ac:dyDescent="0.25">
      <c r="A620" s="20"/>
      <c r="B620" s="20"/>
      <c r="C620" s="20"/>
      <c r="D620" s="14"/>
      <c r="E620" s="14"/>
      <c r="F620" s="53"/>
      <c r="G620" s="54"/>
      <c r="H620" s="54"/>
      <c r="I620" s="7"/>
      <c r="J620" s="9"/>
      <c r="K620" s="21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2.75" customHeight="1" x14ac:dyDescent="0.25">
      <c r="A621" s="20"/>
      <c r="B621" s="20"/>
      <c r="C621" s="20"/>
      <c r="D621" s="14"/>
      <c r="E621" s="14"/>
      <c r="F621" s="53"/>
      <c r="G621" s="54"/>
      <c r="H621" s="54"/>
      <c r="I621" s="7"/>
      <c r="J621" s="9"/>
      <c r="K621" s="21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2.75" customHeight="1" x14ac:dyDescent="0.25">
      <c r="A622" s="20"/>
      <c r="B622" s="20"/>
      <c r="C622" s="20"/>
      <c r="D622" s="14"/>
      <c r="E622" s="14"/>
      <c r="F622" s="53"/>
      <c r="G622" s="54"/>
      <c r="H622" s="54"/>
      <c r="I622" s="7"/>
      <c r="J622" s="9"/>
      <c r="K622" s="21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2.75" customHeight="1" x14ac:dyDescent="0.25">
      <c r="A623" s="20"/>
      <c r="B623" s="20"/>
      <c r="C623" s="20"/>
      <c r="D623" s="14"/>
      <c r="E623" s="14"/>
      <c r="F623" s="53"/>
      <c r="G623" s="54"/>
      <c r="H623" s="54"/>
      <c r="I623" s="7"/>
      <c r="J623" s="9"/>
      <c r="K623" s="21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2.75" customHeight="1" x14ac:dyDescent="0.25">
      <c r="A624" s="20"/>
      <c r="B624" s="20"/>
      <c r="C624" s="20"/>
      <c r="D624" s="14"/>
      <c r="E624" s="14"/>
      <c r="F624" s="53"/>
      <c r="G624" s="54"/>
      <c r="H624" s="54"/>
      <c r="I624" s="7"/>
      <c r="J624" s="9"/>
      <c r="K624" s="21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2.75" customHeight="1" x14ac:dyDescent="0.25">
      <c r="A625" s="20"/>
      <c r="B625" s="20"/>
      <c r="C625" s="20"/>
      <c r="D625" s="14"/>
      <c r="E625" s="14"/>
      <c r="F625" s="53"/>
      <c r="G625" s="54"/>
      <c r="H625" s="54"/>
      <c r="I625" s="7"/>
      <c r="J625" s="9"/>
      <c r="K625" s="21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2.75" customHeight="1" x14ac:dyDescent="0.25">
      <c r="A626" s="20"/>
      <c r="B626" s="20"/>
      <c r="C626" s="20"/>
      <c r="D626" s="14"/>
      <c r="E626" s="14"/>
      <c r="F626" s="53"/>
      <c r="G626" s="54"/>
      <c r="H626" s="54"/>
      <c r="I626" s="7"/>
      <c r="J626" s="9"/>
      <c r="K626" s="21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2.75" customHeight="1" x14ac:dyDescent="0.25">
      <c r="A627" s="20"/>
      <c r="B627" s="20"/>
      <c r="C627" s="20"/>
      <c r="D627" s="14"/>
      <c r="E627" s="14"/>
      <c r="F627" s="53"/>
      <c r="G627" s="54"/>
      <c r="H627" s="54"/>
      <c r="I627" s="7"/>
      <c r="J627" s="9"/>
      <c r="K627" s="21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2.75" customHeight="1" x14ac:dyDescent="0.25">
      <c r="A628" s="20"/>
      <c r="B628" s="20"/>
      <c r="C628" s="20"/>
      <c r="D628" s="14"/>
      <c r="E628" s="14"/>
      <c r="F628" s="53"/>
      <c r="G628" s="54"/>
      <c r="H628" s="54"/>
      <c r="I628" s="7"/>
      <c r="J628" s="9"/>
      <c r="K628" s="21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2.75" customHeight="1" x14ac:dyDescent="0.25">
      <c r="A629" s="20"/>
      <c r="B629" s="20"/>
      <c r="C629" s="20"/>
      <c r="D629" s="14"/>
      <c r="E629" s="14"/>
      <c r="F629" s="53"/>
      <c r="G629" s="54"/>
      <c r="H629" s="54"/>
      <c r="I629" s="7"/>
      <c r="J629" s="9"/>
      <c r="K629" s="21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2.75" customHeight="1" x14ac:dyDescent="0.25">
      <c r="A630" s="20"/>
      <c r="B630" s="20"/>
      <c r="C630" s="20"/>
      <c r="D630" s="14"/>
      <c r="E630" s="14"/>
      <c r="F630" s="53"/>
      <c r="G630" s="54"/>
      <c r="H630" s="54"/>
      <c r="I630" s="7"/>
      <c r="J630" s="9"/>
      <c r="K630" s="21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2.75" customHeight="1" x14ac:dyDescent="0.25">
      <c r="A631" s="20"/>
      <c r="B631" s="20"/>
      <c r="C631" s="20"/>
      <c r="D631" s="14"/>
      <c r="E631" s="14"/>
      <c r="F631" s="53"/>
      <c r="G631" s="54"/>
      <c r="H631" s="54"/>
      <c r="I631" s="7"/>
      <c r="J631" s="9"/>
      <c r="K631" s="21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2.75" customHeight="1" x14ac:dyDescent="0.25">
      <c r="A632" s="20"/>
      <c r="B632" s="20"/>
      <c r="C632" s="20"/>
      <c r="D632" s="14"/>
      <c r="E632" s="14"/>
      <c r="F632" s="53"/>
      <c r="G632" s="54"/>
      <c r="H632" s="54"/>
      <c r="I632" s="7"/>
      <c r="J632" s="9"/>
      <c r="K632" s="21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2.75" customHeight="1" x14ac:dyDescent="0.25">
      <c r="A633" s="20"/>
      <c r="B633" s="20"/>
      <c r="C633" s="20"/>
      <c r="D633" s="14"/>
      <c r="E633" s="14"/>
      <c r="F633" s="53"/>
      <c r="G633" s="54"/>
      <c r="H633" s="54"/>
      <c r="I633" s="7"/>
      <c r="J633" s="9"/>
      <c r="K633" s="21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2.75" customHeight="1" x14ac:dyDescent="0.25">
      <c r="A634" s="20"/>
      <c r="B634" s="20"/>
      <c r="C634" s="20"/>
      <c r="D634" s="14"/>
      <c r="E634" s="14"/>
      <c r="F634" s="53"/>
      <c r="G634" s="54"/>
      <c r="H634" s="54"/>
      <c r="I634" s="7"/>
      <c r="J634" s="9"/>
      <c r="K634" s="21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2.75" customHeight="1" x14ac:dyDescent="0.25">
      <c r="A635" s="20"/>
      <c r="B635" s="20"/>
      <c r="C635" s="20"/>
      <c r="D635" s="14"/>
      <c r="E635" s="14"/>
      <c r="F635" s="53"/>
      <c r="G635" s="54"/>
      <c r="H635" s="54"/>
      <c r="I635" s="7"/>
      <c r="J635" s="9"/>
      <c r="K635" s="21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2.75" customHeight="1" x14ac:dyDescent="0.25">
      <c r="A636" s="20"/>
      <c r="B636" s="20"/>
      <c r="C636" s="20"/>
      <c r="D636" s="14"/>
      <c r="E636" s="14"/>
      <c r="F636" s="53"/>
      <c r="G636" s="54"/>
      <c r="H636" s="54"/>
      <c r="I636" s="7"/>
      <c r="J636" s="9"/>
      <c r="K636" s="21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2.75" customHeight="1" x14ac:dyDescent="0.25">
      <c r="A637" s="20"/>
      <c r="B637" s="20"/>
      <c r="C637" s="20"/>
      <c r="D637" s="14"/>
      <c r="E637" s="14"/>
      <c r="F637" s="53"/>
      <c r="G637" s="54"/>
      <c r="H637" s="54"/>
      <c r="I637" s="7"/>
      <c r="J637" s="9"/>
      <c r="K637" s="21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2.75" customHeight="1" x14ac:dyDescent="0.25">
      <c r="A638" s="20"/>
      <c r="B638" s="20"/>
      <c r="C638" s="20"/>
      <c r="D638" s="14"/>
      <c r="E638" s="14"/>
      <c r="F638" s="53"/>
      <c r="G638" s="54"/>
      <c r="H638" s="54"/>
      <c r="I638" s="7"/>
      <c r="J638" s="9"/>
      <c r="K638" s="21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2.75" customHeight="1" x14ac:dyDescent="0.25">
      <c r="A639" s="20"/>
      <c r="B639" s="20"/>
      <c r="C639" s="20"/>
      <c r="D639" s="14"/>
      <c r="E639" s="14"/>
      <c r="F639" s="53"/>
      <c r="G639" s="54"/>
      <c r="H639" s="54"/>
      <c r="I639" s="7"/>
      <c r="J639" s="9"/>
      <c r="K639" s="21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2.75" customHeight="1" x14ac:dyDescent="0.25">
      <c r="A640" s="20"/>
      <c r="B640" s="20"/>
      <c r="C640" s="20"/>
      <c r="D640" s="14"/>
      <c r="E640" s="14"/>
      <c r="F640" s="53"/>
      <c r="G640" s="54"/>
      <c r="H640" s="54"/>
      <c r="I640" s="7"/>
      <c r="J640" s="9"/>
      <c r="K640" s="21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2.75" customHeight="1" x14ac:dyDescent="0.25">
      <c r="A641" s="20"/>
      <c r="B641" s="20"/>
      <c r="C641" s="20"/>
      <c r="D641" s="14"/>
      <c r="E641" s="14"/>
      <c r="F641" s="53"/>
      <c r="G641" s="54"/>
      <c r="H641" s="54"/>
      <c r="I641" s="7"/>
      <c r="J641" s="9"/>
      <c r="K641" s="21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2.75" customHeight="1" x14ac:dyDescent="0.25">
      <c r="A642" s="20"/>
      <c r="B642" s="20"/>
      <c r="C642" s="20"/>
      <c r="D642" s="14"/>
      <c r="E642" s="14"/>
      <c r="F642" s="53"/>
      <c r="G642" s="54"/>
      <c r="H642" s="54"/>
      <c r="I642" s="7"/>
      <c r="J642" s="9"/>
      <c r="K642" s="21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2.75" customHeight="1" x14ac:dyDescent="0.25">
      <c r="A643" s="20"/>
      <c r="B643" s="20"/>
      <c r="C643" s="20"/>
      <c r="D643" s="14"/>
      <c r="E643" s="14"/>
      <c r="F643" s="53"/>
      <c r="G643" s="54"/>
      <c r="H643" s="54"/>
      <c r="I643" s="7"/>
      <c r="J643" s="9"/>
      <c r="K643" s="21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2.75" customHeight="1" x14ac:dyDescent="0.25">
      <c r="A644" s="20"/>
      <c r="B644" s="20"/>
      <c r="C644" s="20"/>
      <c r="D644" s="14"/>
      <c r="E644" s="14"/>
      <c r="F644" s="53"/>
      <c r="G644" s="54"/>
      <c r="H644" s="54"/>
      <c r="I644" s="7"/>
      <c r="J644" s="9"/>
      <c r="K644" s="21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2.75" customHeight="1" x14ac:dyDescent="0.25">
      <c r="A645" s="20"/>
      <c r="B645" s="20"/>
      <c r="C645" s="20"/>
      <c r="D645" s="14"/>
      <c r="E645" s="14"/>
      <c r="F645" s="53"/>
      <c r="G645" s="54"/>
      <c r="H645" s="54"/>
      <c r="I645" s="7"/>
      <c r="J645" s="9"/>
      <c r="K645" s="21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2.75" customHeight="1" x14ac:dyDescent="0.25">
      <c r="A646" s="20"/>
      <c r="B646" s="20"/>
      <c r="C646" s="20"/>
      <c r="D646" s="14"/>
      <c r="E646" s="14"/>
      <c r="F646" s="53"/>
      <c r="G646" s="54"/>
      <c r="H646" s="54"/>
      <c r="I646" s="7"/>
      <c r="J646" s="9"/>
      <c r="K646" s="21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2.75" customHeight="1" x14ac:dyDescent="0.25">
      <c r="A647" s="20"/>
      <c r="B647" s="20"/>
      <c r="C647" s="20"/>
      <c r="D647" s="14"/>
      <c r="E647" s="14"/>
      <c r="F647" s="53"/>
      <c r="G647" s="54"/>
      <c r="H647" s="54"/>
      <c r="I647" s="7"/>
      <c r="J647" s="9"/>
      <c r="K647" s="21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2.75" customHeight="1" x14ac:dyDescent="0.25">
      <c r="A648" s="20"/>
      <c r="B648" s="20"/>
      <c r="C648" s="20"/>
      <c r="D648" s="14"/>
      <c r="E648" s="14"/>
      <c r="F648" s="53"/>
      <c r="G648" s="54"/>
      <c r="H648" s="54"/>
      <c r="I648" s="7"/>
      <c r="J648" s="9"/>
      <c r="K648" s="21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2.75" customHeight="1" x14ac:dyDescent="0.25">
      <c r="A649" s="20"/>
      <c r="B649" s="20"/>
      <c r="C649" s="20"/>
      <c r="D649" s="14"/>
      <c r="E649" s="14"/>
      <c r="F649" s="53"/>
      <c r="G649" s="54"/>
      <c r="H649" s="54"/>
      <c r="I649" s="7"/>
      <c r="J649" s="9"/>
      <c r="K649" s="21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2.75" customHeight="1" x14ac:dyDescent="0.25">
      <c r="A650" s="20"/>
      <c r="B650" s="20"/>
      <c r="C650" s="20"/>
      <c r="D650" s="14"/>
      <c r="E650" s="14"/>
      <c r="F650" s="53"/>
      <c r="G650" s="54"/>
      <c r="H650" s="54"/>
      <c r="I650" s="7"/>
      <c r="J650" s="9"/>
      <c r="K650" s="21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2.75" customHeight="1" x14ac:dyDescent="0.25">
      <c r="A651" s="20"/>
      <c r="B651" s="20"/>
      <c r="C651" s="20"/>
      <c r="D651" s="14"/>
      <c r="E651" s="14"/>
      <c r="F651" s="53"/>
      <c r="G651" s="54"/>
      <c r="H651" s="54"/>
      <c r="I651" s="7"/>
      <c r="J651" s="9"/>
      <c r="K651" s="21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2.75" customHeight="1" x14ac:dyDescent="0.25">
      <c r="A652" s="20"/>
      <c r="B652" s="20"/>
      <c r="C652" s="20"/>
      <c r="D652" s="14"/>
      <c r="E652" s="14"/>
      <c r="F652" s="53"/>
      <c r="G652" s="54"/>
      <c r="H652" s="54"/>
      <c r="I652" s="7"/>
      <c r="J652" s="9"/>
      <c r="K652" s="21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2.75" customHeight="1" x14ac:dyDescent="0.25">
      <c r="A653" s="20"/>
      <c r="B653" s="20"/>
      <c r="C653" s="20"/>
      <c r="D653" s="14"/>
      <c r="E653" s="14"/>
      <c r="F653" s="53"/>
      <c r="G653" s="54"/>
      <c r="H653" s="54"/>
      <c r="I653" s="7"/>
      <c r="J653" s="9"/>
      <c r="K653" s="21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2.75" customHeight="1" x14ac:dyDescent="0.25">
      <c r="A654" s="20"/>
      <c r="B654" s="20"/>
      <c r="C654" s="20"/>
      <c r="D654" s="14"/>
      <c r="E654" s="14"/>
      <c r="F654" s="53"/>
      <c r="G654" s="54"/>
      <c r="H654" s="54"/>
      <c r="I654" s="7"/>
      <c r="J654" s="9"/>
      <c r="K654" s="21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2.75" customHeight="1" x14ac:dyDescent="0.25">
      <c r="A655" s="20"/>
      <c r="B655" s="20"/>
      <c r="C655" s="20"/>
      <c r="D655" s="14"/>
      <c r="E655" s="14"/>
      <c r="F655" s="53"/>
      <c r="G655" s="54"/>
      <c r="H655" s="54"/>
      <c r="I655" s="7"/>
      <c r="J655" s="9"/>
      <c r="K655" s="21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2.75" customHeight="1" x14ac:dyDescent="0.25">
      <c r="A656" s="20"/>
      <c r="B656" s="20"/>
      <c r="C656" s="20"/>
      <c r="D656" s="14"/>
      <c r="E656" s="14"/>
      <c r="F656" s="53"/>
      <c r="G656" s="54"/>
      <c r="H656" s="54"/>
      <c r="I656" s="7"/>
      <c r="J656" s="9"/>
      <c r="K656" s="21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2.75" customHeight="1" x14ac:dyDescent="0.25">
      <c r="A657" s="20"/>
      <c r="B657" s="20"/>
      <c r="C657" s="20"/>
      <c r="D657" s="14"/>
      <c r="E657" s="14"/>
      <c r="F657" s="53"/>
      <c r="G657" s="54"/>
      <c r="H657" s="54"/>
      <c r="I657" s="7"/>
      <c r="J657" s="9"/>
      <c r="K657" s="21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2.75" customHeight="1" x14ac:dyDescent="0.25">
      <c r="A658" s="20"/>
      <c r="B658" s="20"/>
      <c r="C658" s="20"/>
      <c r="D658" s="14"/>
      <c r="E658" s="14"/>
      <c r="F658" s="53"/>
      <c r="G658" s="54"/>
      <c r="H658" s="54"/>
      <c r="I658" s="7"/>
      <c r="J658" s="9"/>
      <c r="K658" s="21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2.75" customHeight="1" x14ac:dyDescent="0.25">
      <c r="A659" s="20"/>
      <c r="B659" s="20"/>
      <c r="C659" s="20"/>
      <c r="D659" s="14"/>
      <c r="E659" s="14"/>
      <c r="F659" s="53"/>
      <c r="G659" s="54"/>
      <c r="H659" s="54"/>
      <c r="I659" s="7"/>
      <c r="J659" s="9"/>
      <c r="K659" s="21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2.75" customHeight="1" x14ac:dyDescent="0.25">
      <c r="A660" s="20"/>
      <c r="B660" s="20"/>
      <c r="C660" s="20"/>
      <c r="D660" s="14"/>
      <c r="E660" s="14"/>
      <c r="F660" s="53"/>
      <c r="G660" s="54"/>
      <c r="H660" s="54"/>
      <c r="I660" s="7"/>
      <c r="J660" s="9"/>
      <c r="K660" s="21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2.75" customHeight="1" x14ac:dyDescent="0.25">
      <c r="A661" s="20"/>
      <c r="B661" s="20"/>
      <c r="C661" s="20"/>
      <c r="D661" s="14"/>
      <c r="E661" s="14"/>
      <c r="F661" s="53"/>
      <c r="G661" s="54"/>
      <c r="H661" s="54"/>
      <c r="I661" s="7"/>
      <c r="J661" s="9"/>
      <c r="K661" s="21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2.75" customHeight="1" x14ac:dyDescent="0.25">
      <c r="A662" s="20"/>
      <c r="B662" s="20"/>
      <c r="C662" s="20"/>
      <c r="D662" s="14"/>
      <c r="E662" s="14"/>
      <c r="F662" s="53"/>
      <c r="G662" s="54"/>
      <c r="H662" s="54"/>
      <c r="I662" s="7"/>
      <c r="J662" s="9"/>
      <c r="K662" s="21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2.75" customHeight="1" x14ac:dyDescent="0.25">
      <c r="A663" s="20"/>
      <c r="B663" s="20"/>
      <c r="C663" s="20"/>
      <c r="D663" s="14"/>
      <c r="E663" s="14"/>
      <c r="F663" s="53"/>
      <c r="G663" s="54"/>
      <c r="H663" s="54"/>
      <c r="I663" s="7"/>
      <c r="J663" s="9"/>
      <c r="K663" s="21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2.75" customHeight="1" x14ac:dyDescent="0.25">
      <c r="A664" s="20"/>
      <c r="B664" s="20"/>
      <c r="C664" s="20"/>
      <c r="D664" s="14"/>
      <c r="E664" s="14"/>
      <c r="F664" s="53"/>
      <c r="G664" s="54"/>
      <c r="H664" s="54"/>
      <c r="I664" s="7"/>
      <c r="J664" s="9"/>
      <c r="K664" s="21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2.75" customHeight="1" x14ac:dyDescent="0.25">
      <c r="A665" s="20"/>
      <c r="B665" s="20"/>
      <c r="C665" s="20"/>
      <c r="D665" s="14"/>
      <c r="E665" s="14"/>
      <c r="F665" s="53"/>
      <c r="G665" s="54"/>
      <c r="H665" s="54"/>
      <c r="I665" s="7"/>
      <c r="J665" s="9"/>
      <c r="K665" s="21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2.75" customHeight="1" x14ac:dyDescent="0.25">
      <c r="A666" s="20"/>
      <c r="B666" s="20"/>
      <c r="C666" s="20"/>
      <c r="D666" s="14"/>
      <c r="E666" s="14"/>
      <c r="F666" s="53"/>
      <c r="G666" s="54"/>
      <c r="H666" s="54"/>
      <c r="I666" s="7"/>
      <c r="J666" s="9"/>
      <c r="K666" s="21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2.75" customHeight="1" x14ac:dyDescent="0.25">
      <c r="A667" s="20"/>
      <c r="B667" s="20"/>
      <c r="C667" s="20"/>
      <c r="D667" s="14"/>
      <c r="E667" s="14"/>
      <c r="F667" s="53"/>
      <c r="G667" s="54"/>
      <c r="H667" s="54"/>
      <c r="I667" s="7"/>
      <c r="J667" s="9"/>
      <c r="K667" s="21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2.75" customHeight="1" x14ac:dyDescent="0.25">
      <c r="A668" s="20"/>
      <c r="B668" s="20"/>
      <c r="C668" s="20"/>
      <c r="D668" s="14"/>
      <c r="E668" s="14"/>
      <c r="F668" s="53"/>
      <c r="G668" s="54"/>
      <c r="H668" s="54"/>
      <c r="I668" s="7"/>
      <c r="J668" s="9"/>
      <c r="K668" s="21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2.75" customHeight="1" x14ac:dyDescent="0.25">
      <c r="A669" s="20"/>
      <c r="B669" s="20"/>
      <c r="C669" s="20"/>
      <c r="D669" s="14"/>
      <c r="E669" s="14"/>
      <c r="F669" s="53"/>
      <c r="G669" s="54"/>
      <c r="H669" s="54"/>
      <c r="I669" s="7"/>
      <c r="J669" s="9"/>
      <c r="K669" s="21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2.75" customHeight="1" x14ac:dyDescent="0.25">
      <c r="A670" s="20"/>
      <c r="B670" s="20"/>
      <c r="C670" s="20"/>
      <c r="D670" s="14"/>
      <c r="E670" s="14"/>
      <c r="F670" s="53"/>
      <c r="G670" s="54"/>
      <c r="H670" s="54"/>
      <c r="I670" s="7"/>
      <c r="J670" s="9"/>
      <c r="K670" s="21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2.75" customHeight="1" x14ac:dyDescent="0.25">
      <c r="A671" s="20"/>
      <c r="B671" s="20"/>
      <c r="C671" s="20"/>
      <c r="D671" s="14"/>
      <c r="E671" s="14"/>
      <c r="F671" s="53"/>
      <c r="G671" s="54"/>
      <c r="H671" s="54"/>
      <c r="I671" s="7"/>
      <c r="J671" s="9"/>
      <c r="K671" s="21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2.75" customHeight="1" x14ac:dyDescent="0.25">
      <c r="A672" s="20"/>
      <c r="B672" s="20"/>
      <c r="C672" s="20"/>
      <c r="D672" s="14"/>
      <c r="E672" s="14"/>
      <c r="F672" s="53"/>
      <c r="G672" s="54"/>
      <c r="H672" s="54"/>
      <c r="I672" s="7"/>
      <c r="J672" s="9"/>
      <c r="K672" s="21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2.75" customHeight="1" x14ac:dyDescent="0.25">
      <c r="A673" s="20"/>
      <c r="B673" s="20"/>
      <c r="C673" s="20"/>
      <c r="D673" s="14"/>
      <c r="E673" s="14"/>
      <c r="F673" s="53"/>
      <c r="G673" s="54"/>
      <c r="H673" s="54"/>
      <c r="I673" s="7"/>
      <c r="J673" s="9"/>
      <c r="K673" s="21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2.75" customHeight="1" x14ac:dyDescent="0.25">
      <c r="A674" s="20"/>
      <c r="B674" s="20"/>
      <c r="C674" s="20"/>
      <c r="D674" s="14"/>
      <c r="E674" s="14"/>
      <c r="F674" s="53"/>
      <c r="G674" s="54"/>
      <c r="H674" s="54"/>
      <c r="I674" s="7"/>
      <c r="J674" s="9"/>
      <c r="K674" s="21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2.75" customHeight="1" x14ac:dyDescent="0.25">
      <c r="A675" s="20"/>
      <c r="B675" s="20"/>
      <c r="C675" s="20"/>
      <c r="D675" s="14"/>
      <c r="E675" s="14"/>
      <c r="F675" s="53"/>
      <c r="G675" s="54"/>
      <c r="H675" s="54"/>
      <c r="I675" s="7"/>
      <c r="J675" s="9"/>
      <c r="K675" s="21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2.75" customHeight="1" x14ac:dyDescent="0.25">
      <c r="A676" s="20"/>
      <c r="B676" s="20"/>
      <c r="C676" s="20"/>
      <c r="D676" s="14"/>
      <c r="E676" s="14"/>
      <c r="F676" s="53"/>
      <c r="G676" s="54"/>
      <c r="H676" s="54"/>
      <c r="I676" s="7"/>
      <c r="J676" s="9"/>
      <c r="K676" s="21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2.75" customHeight="1" x14ac:dyDescent="0.25">
      <c r="A677" s="20"/>
      <c r="B677" s="20"/>
      <c r="C677" s="20"/>
      <c r="D677" s="14"/>
      <c r="E677" s="14"/>
      <c r="F677" s="53"/>
      <c r="G677" s="54"/>
      <c r="H677" s="54"/>
      <c r="I677" s="7"/>
      <c r="J677" s="9"/>
      <c r="K677" s="21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2.75" customHeight="1" x14ac:dyDescent="0.25">
      <c r="A678" s="20"/>
      <c r="B678" s="20"/>
      <c r="C678" s="20"/>
      <c r="D678" s="14"/>
      <c r="E678" s="14"/>
      <c r="F678" s="53"/>
      <c r="G678" s="54"/>
      <c r="H678" s="54"/>
      <c r="I678" s="7"/>
      <c r="J678" s="9"/>
      <c r="K678" s="21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2.75" customHeight="1" x14ac:dyDescent="0.25">
      <c r="A679" s="20"/>
      <c r="B679" s="20"/>
      <c r="C679" s="20"/>
      <c r="D679" s="14"/>
      <c r="E679" s="14"/>
      <c r="F679" s="53"/>
      <c r="G679" s="54"/>
      <c r="H679" s="54"/>
      <c r="I679" s="7"/>
      <c r="J679" s="9"/>
      <c r="K679" s="21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2.75" customHeight="1" x14ac:dyDescent="0.25">
      <c r="A680" s="20"/>
      <c r="B680" s="20"/>
      <c r="C680" s="20"/>
      <c r="D680" s="14"/>
      <c r="E680" s="14"/>
      <c r="F680" s="53"/>
      <c r="G680" s="54"/>
      <c r="H680" s="54"/>
      <c r="I680" s="7"/>
      <c r="J680" s="9"/>
      <c r="K680" s="21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2.75" customHeight="1" x14ac:dyDescent="0.25">
      <c r="A681" s="20"/>
      <c r="B681" s="20"/>
      <c r="C681" s="20"/>
      <c r="D681" s="14"/>
      <c r="E681" s="14"/>
      <c r="F681" s="53"/>
      <c r="G681" s="54"/>
      <c r="H681" s="54"/>
      <c r="I681" s="7"/>
      <c r="J681" s="9"/>
      <c r="K681" s="21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2.75" customHeight="1" x14ac:dyDescent="0.25">
      <c r="A682" s="20"/>
      <c r="B682" s="20"/>
      <c r="C682" s="20"/>
      <c r="D682" s="14"/>
      <c r="E682" s="14"/>
      <c r="F682" s="53"/>
      <c r="G682" s="54"/>
      <c r="H682" s="54"/>
      <c r="I682" s="7"/>
      <c r="J682" s="9"/>
      <c r="K682" s="21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2.75" customHeight="1" x14ac:dyDescent="0.25">
      <c r="A683" s="20"/>
      <c r="B683" s="20"/>
      <c r="C683" s="20"/>
      <c r="D683" s="14"/>
      <c r="E683" s="14"/>
      <c r="F683" s="53"/>
      <c r="G683" s="54"/>
      <c r="H683" s="54"/>
      <c r="I683" s="7"/>
      <c r="J683" s="9"/>
      <c r="K683" s="21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2.75" customHeight="1" x14ac:dyDescent="0.25">
      <c r="A684" s="20"/>
      <c r="B684" s="20"/>
      <c r="C684" s="20"/>
      <c r="D684" s="14"/>
      <c r="E684" s="14"/>
      <c r="F684" s="53"/>
      <c r="G684" s="54"/>
      <c r="H684" s="54"/>
      <c r="I684" s="7"/>
      <c r="J684" s="9"/>
      <c r="K684" s="21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2.75" customHeight="1" x14ac:dyDescent="0.25">
      <c r="A685" s="20"/>
      <c r="B685" s="20"/>
      <c r="C685" s="20"/>
      <c r="D685" s="14"/>
      <c r="E685" s="14"/>
      <c r="F685" s="53"/>
      <c r="G685" s="54"/>
      <c r="H685" s="54"/>
      <c r="I685" s="7"/>
      <c r="J685" s="9"/>
      <c r="K685" s="21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2.75" customHeight="1" x14ac:dyDescent="0.25">
      <c r="A686" s="20"/>
      <c r="B686" s="20"/>
      <c r="C686" s="20"/>
      <c r="D686" s="14"/>
      <c r="E686" s="14"/>
      <c r="F686" s="53"/>
      <c r="G686" s="54"/>
      <c r="H686" s="54"/>
      <c r="I686" s="7"/>
      <c r="J686" s="9"/>
      <c r="K686" s="21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2.75" customHeight="1" x14ac:dyDescent="0.25">
      <c r="A687" s="20"/>
      <c r="B687" s="20"/>
      <c r="C687" s="20"/>
      <c r="D687" s="14"/>
      <c r="E687" s="14"/>
      <c r="F687" s="53"/>
      <c r="G687" s="54"/>
      <c r="H687" s="54"/>
      <c r="I687" s="7"/>
      <c r="J687" s="9"/>
      <c r="K687" s="21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2.75" customHeight="1" x14ac:dyDescent="0.25">
      <c r="A688" s="20"/>
      <c r="B688" s="20"/>
      <c r="C688" s="20"/>
      <c r="D688" s="14"/>
      <c r="E688" s="14"/>
      <c r="F688" s="53"/>
      <c r="G688" s="54"/>
      <c r="H688" s="54"/>
      <c r="I688" s="7"/>
      <c r="J688" s="9"/>
      <c r="K688" s="21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2.75" customHeight="1" x14ac:dyDescent="0.25">
      <c r="A689" s="20"/>
      <c r="B689" s="20"/>
      <c r="C689" s="20"/>
      <c r="D689" s="14"/>
      <c r="E689" s="14"/>
      <c r="F689" s="53"/>
      <c r="G689" s="54"/>
      <c r="H689" s="54"/>
      <c r="I689" s="7"/>
      <c r="J689" s="9"/>
      <c r="K689" s="21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2.75" customHeight="1" x14ac:dyDescent="0.25">
      <c r="A690" s="20"/>
      <c r="B690" s="20"/>
      <c r="C690" s="20"/>
      <c r="D690" s="14"/>
      <c r="E690" s="14"/>
      <c r="F690" s="53"/>
      <c r="G690" s="54"/>
      <c r="H690" s="54"/>
      <c r="I690" s="7"/>
      <c r="J690" s="9"/>
      <c r="K690" s="21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2.75" customHeight="1" x14ac:dyDescent="0.25">
      <c r="A691" s="20"/>
      <c r="B691" s="20"/>
      <c r="C691" s="20"/>
      <c r="D691" s="14"/>
      <c r="E691" s="14"/>
      <c r="F691" s="53"/>
      <c r="G691" s="54"/>
      <c r="H691" s="54"/>
      <c r="I691" s="7"/>
      <c r="J691" s="9"/>
      <c r="K691" s="21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2.75" customHeight="1" x14ac:dyDescent="0.25">
      <c r="A692" s="20"/>
      <c r="B692" s="20"/>
      <c r="C692" s="20"/>
      <c r="D692" s="14"/>
      <c r="E692" s="14"/>
      <c r="F692" s="53"/>
      <c r="G692" s="54"/>
      <c r="H692" s="54"/>
      <c r="I692" s="7"/>
      <c r="J692" s="9"/>
      <c r="K692" s="21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2.75" customHeight="1" x14ac:dyDescent="0.25">
      <c r="A693" s="20"/>
      <c r="B693" s="20"/>
      <c r="C693" s="20"/>
      <c r="D693" s="14"/>
      <c r="E693" s="14"/>
      <c r="F693" s="53"/>
      <c r="G693" s="54"/>
      <c r="H693" s="54"/>
      <c r="I693" s="7"/>
      <c r="J693" s="9"/>
      <c r="K693" s="21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2.75" customHeight="1" x14ac:dyDescent="0.25">
      <c r="A694" s="20"/>
      <c r="B694" s="20"/>
      <c r="C694" s="20"/>
      <c r="D694" s="14"/>
      <c r="E694" s="14"/>
      <c r="F694" s="53"/>
      <c r="G694" s="54"/>
      <c r="H694" s="54"/>
      <c r="I694" s="7"/>
      <c r="J694" s="9"/>
      <c r="K694" s="21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2.75" customHeight="1" x14ac:dyDescent="0.25">
      <c r="A695" s="20"/>
      <c r="B695" s="20"/>
      <c r="C695" s="20"/>
      <c r="D695" s="14"/>
      <c r="E695" s="14"/>
      <c r="F695" s="53"/>
      <c r="G695" s="54"/>
      <c r="H695" s="54"/>
      <c r="I695" s="7"/>
      <c r="J695" s="9"/>
      <c r="K695" s="21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2.75" customHeight="1" x14ac:dyDescent="0.25">
      <c r="A696" s="20"/>
      <c r="B696" s="20"/>
      <c r="C696" s="20"/>
      <c r="D696" s="14"/>
      <c r="E696" s="14"/>
      <c r="F696" s="53"/>
      <c r="G696" s="54"/>
      <c r="H696" s="54"/>
      <c r="I696" s="7"/>
      <c r="J696" s="9"/>
      <c r="K696" s="21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2.75" customHeight="1" x14ac:dyDescent="0.25">
      <c r="A697" s="20"/>
      <c r="B697" s="20"/>
      <c r="C697" s="20"/>
      <c r="D697" s="14"/>
      <c r="E697" s="14"/>
      <c r="F697" s="53"/>
      <c r="G697" s="54"/>
      <c r="H697" s="54"/>
      <c r="I697" s="7"/>
      <c r="J697" s="9"/>
      <c r="K697" s="21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2.75" customHeight="1" x14ac:dyDescent="0.25">
      <c r="A698" s="20"/>
      <c r="B698" s="20"/>
      <c r="C698" s="20"/>
      <c r="D698" s="14"/>
      <c r="E698" s="14"/>
      <c r="F698" s="53"/>
      <c r="G698" s="54"/>
      <c r="H698" s="54"/>
      <c r="I698" s="7"/>
      <c r="J698" s="9"/>
      <c r="K698" s="21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2.75" customHeight="1" x14ac:dyDescent="0.25">
      <c r="A699" s="20"/>
      <c r="B699" s="20"/>
      <c r="C699" s="20"/>
      <c r="D699" s="14"/>
      <c r="E699" s="14"/>
      <c r="F699" s="53"/>
      <c r="G699" s="54"/>
      <c r="H699" s="54"/>
      <c r="I699" s="7"/>
      <c r="J699" s="9"/>
      <c r="K699" s="21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2.75" customHeight="1" x14ac:dyDescent="0.25">
      <c r="A700" s="20"/>
      <c r="B700" s="20"/>
      <c r="C700" s="20"/>
      <c r="D700" s="14"/>
      <c r="E700" s="14"/>
      <c r="F700" s="53"/>
      <c r="G700" s="54"/>
      <c r="H700" s="54"/>
      <c r="I700" s="7"/>
      <c r="J700" s="9"/>
      <c r="K700" s="21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2.75" customHeight="1" x14ac:dyDescent="0.25">
      <c r="A701" s="20"/>
      <c r="B701" s="20"/>
      <c r="C701" s="20"/>
      <c r="D701" s="14"/>
      <c r="E701" s="14"/>
      <c r="F701" s="53"/>
      <c r="G701" s="54"/>
      <c r="H701" s="54"/>
      <c r="I701" s="7"/>
      <c r="J701" s="9"/>
      <c r="K701" s="21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2.75" customHeight="1" x14ac:dyDescent="0.25">
      <c r="A702" s="20"/>
      <c r="B702" s="20"/>
      <c r="C702" s="20"/>
      <c r="D702" s="14"/>
      <c r="E702" s="14"/>
      <c r="F702" s="53"/>
      <c r="G702" s="54"/>
      <c r="H702" s="54"/>
      <c r="I702" s="7"/>
      <c r="J702" s="9"/>
      <c r="K702" s="21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2.75" customHeight="1" x14ac:dyDescent="0.25">
      <c r="A703" s="20"/>
      <c r="B703" s="20"/>
      <c r="C703" s="20"/>
      <c r="D703" s="14"/>
      <c r="E703" s="14"/>
      <c r="F703" s="53"/>
      <c r="G703" s="54"/>
      <c r="H703" s="54"/>
      <c r="I703" s="7"/>
      <c r="J703" s="9"/>
      <c r="K703" s="21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2.75" customHeight="1" x14ac:dyDescent="0.25">
      <c r="A704" s="20"/>
      <c r="B704" s="20"/>
      <c r="C704" s="20"/>
      <c r="D704" s="14"/>
      <c r="E704" s="14"/>
      <c r="F704" s="53"/>
      <c r="G704" s="54"/>
      <c r="H704" s="54"/>
      <c r="I704" s="7"/>
      <c r="J704" s="9"/>
      <c r="K704" s="21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2.75" customHeight="1" x14ac:dyDescent="0.25">
      <c r="A705" s="20"/>
      <c r="B705" s="20"/>
      <c r="C705" s="20"/>
      <c r="D705" s="14"/>
      <c r="E705" s="14"/>
      <c r="F705" s="53"/>
      <c r="G705" s="54"/>
      <c r="H705" s="54"/>
      <c r="I705" s="7"/>
      <c r="J705" s="9"/>
      <c r="K705" s="21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2.75" customHeight="1" x14ac:dyDescent="0.25">
      <c r="A706" s="20"/>
      <c r="B706" s="20"/>
      <c r="C706" s="20"/>
      <c r="D706" s="14"/>
      <c r="E706" s="14"/>
      <c r="F706" s="53"/>
      <c r="G706" s="54"/>
      <c r="H706" s="54"/>
      <c r="I706" s="7"/>
      <c r="J706" s="9"/>
      <c r="K706" s="21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2.75" customHeight="1" x14ac:dyDescent="0.25">
      <c r="A707" s="20"/>
      <c r="B707" s="20"/>
      <c r="C707" s="20"/>
      <c r="D707" s="14"/>
      <c r="E707" s="14"/>
      <c r="F707" s="53"/>
      <c r="G707" s="54"/>
      <c r="H707" s="54"/>
      <c r="I707" s="7"/>
      <c r="J707" s="9"/>
      <c r="K707" s="21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2.75" customHeight="1" x14ac:dyDescent="0.25">
      <c r="A708" s="20"/>
      <c r="B708" s="20"/>
      <c r="C708" s="20"/>
      <c r="D708" s="14"/>
      <c r="E708" s="14"/>
      <c r="F708" s="53"/>
      <c r="G708" s="54"/>
      <c r="H708" s="54"/>
      <c r="I708" s="7"/>
      <c r="J708" s="9"/>
      <c r="K708" s="21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2.75" customHeight="1" x14ac:dyDescent="0.25">
      <c r="A709" s="20"/>
      <c r="B709" s="20"/>
      <c r="C709" s="20"/>
      <c r="D709" s="14"/>
      <c r="E709" s="14"/>
      <c r="F709" s="53"/>
      <c r="G709" s="54"/>
      <c r="H709" s="54"/>
      <c r="I709" s="7"/>
      <c r="J709" s="9"/>
      <c r="K709" s="21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2.75" customHeight="1" x14ac:dyDescent="0.25">
      <c r="A710" s="20"/>
      <c r="B710" s="20"/>
      <c r="C710" s="20"/>
      <c r="D710" s="14"/>
      <c r="E710" s="14"/>
      <c r="F710" s="53"/>
      <c r="G710" s="54"/>
      <c r="H710" s="54"/>
      <c r="I710" s="7"/>
      <c r="J710" s="9"/>
      <c r="K710" s="21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2.75" customHeight="1" x14ac:dyDescent="0.25">
      <c r="A711" s="20"/>
      <c r="B711" s="20"/>
      <c r="C711" s="20"/>
      <c r="D711" s="14"/>
      <c r="E711" s="14"/>
      <c r="F711" s="53"/>
      <c r="G711" s="54"/>
      <c r="H711" s="54"/>
      <c r="I711" s="7"/>
      <c r="J711" s="9"/>
      <c r="K711" s="21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2.75" customHeight="1" x14ac:dyDescent="0.25">
      <c r="A712" s="20"/>
      <c r="B712" s="20"/>
      <c r="C712" s="20"/>
      <c r="D712" s="14"/>
      <c r="E712" s="14"/>
      <c r="F712" s="53"/>
      <c r="G712" s="54"/>
      <c r="H712" s="54"/>
      <c r="I712" s="7"/>
      <c r="J712" s="9"/>
      <c r="K712" s="21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2.75" customHeight="1" x14ac:dyDescent="0.25">
      <c r="A713" s="20"/>
      <c r="B713" s="20"/>
      <c r="C713" s="20"/>
      <c r="D713" s="14"/>
      <c r="E713" s="14"/>
      <c r="F713" s="53"/>
      <c r="G713" s="54"/>
      <c r="H713" s="54"/>
      <c r="I713" s="7"/>
      <c r="J713" s="9"/>
      <c r="K713" s="21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2.75" customHeight="1" x14ac:dyDescent="0.25">
      <c r="A714" s="20"/>
      <c r="B714" s="20"/>
      <c r="C714" s="20"/>
      <c r="D714" s="14"/>
      <c r="E714" s="14"/>
      <c r="F714" s="53"/>
      <c r="G714" s="54"/>
      <c r="H714" s="54"/>
      <c r="I714" s="7"/>
      <c r="J714" s="9"/>
      <c r="K714" s="21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2.75" customHeight="1" x14ac:dyDescent="0.25">
      <c r="A715" s="20"/>
      <c r="B715" s="20"/>
      <c r="C715" s="20"/>
      <c r="D715" s="14"/>
      <c r="E715" s="14"/>
      <c r="F715" s="53"/>
      <c r="G715" s="54"/>
      <c r="H715" s="54"/>
      <c r="I715" s="7"/>
      <c r="J715" s="9"/>
      <c r="K715" s="21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2.75" customHeight="1" x14ac:dyDescent="0.25">
      <c r="A716" s="20"/>
      <c r="B716" s="20"/>
      <c r="C716" s="20"/>
      <c r="D716" s="14"/>
      <c r="E716" s="14"/>
      <c r="F716" s="53"/>
      <c r="G716" s="54"/>
      <c r="H716" s="54"/>
      <c r="I716" s="7"/>
      <c r="J716" s="9"/>
      <c r="K716" s="21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2.75" customHeight="1" x14ac:dyDescent="0.25">
      <c r="A717" s="20"/>
      <c r="B717" s="20"/>
      <c r="C717" s="20"/>
      <c r="D717" s="14"/>
      <c r="E717" s="14"/>
      <c r="F717" s="53"/>
      <c r="G717" s="54"/>
      <c r="H717" s="54"/>
      <c r="I717" s="7"/>
      <c r="J717" s="9"/>
      <c r="K717" s="21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2.75" customHeight="1" x14ac:dyDescent="0.25">
      <c r="A718" s="20"/>
      <c r="B718" s="20"/>
      <c r="C718" s="20"/>
      <c r="D718" s="14"/>
      <c r="E718" s="14"/>
      <c r="F718" s="53"/>
      <c r="G718" s="54"/>
      <c r="H718" s="54"/>
      <c r="I718" s="7"/>
      <c r="J718" s="9"/>
      <c r="K718" s="21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2.75" customHeight="1" x14ac:dyDescent="0.25">
      <c r="A719" s="20"/>
      <c r="B719" s="20"/>
      <c r="C719" s="20"/>
      <c r="D719" s="14"/>
      <c r="E719" s="14"/>
      <c r="F719" s="53"/>
      <c r="G719" s="54"/>
      <c r="H719" s="54"/>
      <c r="I719" s="7"/>
      <c r="J719" s="9"/>
      <c r="K719" s="21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2.75" customHeight="1" x14ac:dyDescent="0.25">
      <c r="A720" s="20"/>
      <c r="B720" s="20"/>
      <c r="C720" s="20"/>
      <c r="D720" s="14"/>
      <c r="E720" s="14"/>
      <c r="F720" s="53"/>
      <c r="G720" s="54"/>
      <c r="H720" s="54"/>
      <c r="I720" s="7"/>
      <c r="J720" s="9"/>
      <c r="K720" s="21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2.75" customHeight="1" x14ac:dyDescent="0.25">
      <c r="A721" s="20"/>
      <c r="B721" s="20"/>
      <c r="C721" s="20"/>
      <c r="D721" s="14"/>
      <c r="E721" s="14"/>
      <c r="F721" s="53"/>
      <c r="G721" s="54"/>
      <c r="H721" s="54"/>
      <c r="I721" s="7"/>
      <c r="J721" s="9"/>
      <c r="K721" s="21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2.75" customHeight="1" x14ac:dyDescent="0.25">
      <c r="A722" s="20"/>
      <c r="B722" s="20"/>
      <c r="C722" s="20"/>
      <c r="D722" s="14"/>
      <c r="E722" s="14"/>
      <c r="F722" s="53"/>
      <c r="G722" s="54"/>
      <c r="H722" s="54"/>
      <c r="I722" s="7"/>
      <c r="J722" s="9"/>
      <c r="K722" s="21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2.75" customHeight="1" x14ac:dyDescent="0.25">
      <c r="A723" s="20"/>
      <c r="B723" s="20"/>
      <c r="C723" s="20"/>
      <c r="D723" s="14"/>
      <c r="E723" s="14"/>
      <c r="F723" s="53"/>
      <c r="G723" s="54"/>
      <c r="H723" s="54"/>
      <c r="I723" s="7"/>
      <c r="J723" s="9"/>
      <c r="K723" s="21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2.75" customHeight="1" x14ac:dyDescent="0.25">
      <c r="A724" s="20"/>
      <c r="B724" s="20"/>
      <c r="C724" s="20"/>
      <c r="D724" s="14"/>
      <c r="E724" s="14"/>
      <c r="F724" s="53"/>
      <c r="G724" s="54"/>
      <c r="H724" s="54"/>
      <c r="I724" s="7"/>
      <c r="J724" s="9"/>
      <c r="K724" s="21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2.75" customHeight="1" x14ac:dyDescent="0.25">
      <c r="A725" s="20"/>
      <c r="B725" s="20"/>
      <c r="C725" s="20"/>
      <c r="D725" s="14"/>
      <c r="E725" s="14"/>
      <c r="F725" s="53"/>
      <c r="G725" s="54"/>
      <c r="H725" s="54"/>
      <c r="I725" s="7"/>
      <c r="J725" s="9"/>
      <c r="K725" s="21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2.75" customHeight="1" x14ac:dyDescent="0.25">
      <c r="A726" s="20"/>
      <c r="B726" s="20"/>
      <c r="C726" s="20"/>
      <c r="D726" s="14"/>
      <c r="E726" s="14"/>
      <c r="F726" s="53"/>
      <c r="G726" s="54"/>
      <c r="H726" s="54"/>
      <c r="I726" s="7"/>
      <c r="J726" s="9"/>
      <c r="K726" s="21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2.75" customHeight="1" x14ac:dyDescent="0.25">
      <c r="A727" s="20"/>
      <c r="B727" s="20"/>
      <c r="C727" s="20"/>
      <c r="D727" s="14"/>
      <c r="E727" s="14"/>
      <c r="F727" s="53"/>
      <c r="G727" s="54"/>
      <c r="H727" s="54"/>
      <c r="I727" s="7"/>
      <c r="J727" s="9"/>
      <c r="K727" s="21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2.75" customHeight="1" x14ac:dyDescent="0.25">
      <c r="A728" s="20"/>
      <c r="B728" s="20"/>
      <c r="C728" s="20"/>
      <c r="D728" s="14"/>
      <c r="E728" s="14"/>
      <c r="F728" s="53"/>
      <c r="G728" s="54"/>
      <c r="H728" s="54"/>
      <c r="I728" s="7"/>
      <c r="J728" s="9"/>
      <c r="K728" s="21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2.75" customHeight="1" x14ac:dyDescent="0.25">
      <c r="A729" s="20"/>
      <c r="B729" s="20"/>
      <c r="C729" s="20"/>
      <c r="D729" s="14"/>
      <c r="E729" s="14"/>
      <c r="F729" s="53"/>
      <c r="G729" s="54"/>
      <c r="H729" s="54"/>
      <c r="I729" s="7"/>
      <c r="J729" s="9"/>
      <c r="K729" s="21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2.75" customHeight="1" x14ac:dyDescent="0.25">
      <c r="A730" s="20"/>
      <c r="B730" s="20"/>
      <c r="C730" s="20"/>
      <c r="D730" s="14"/>
      <c r="E730" s="14"/>
      <c r="F730" s="53"/>
      <c r="G730" s="54"/>
      <c r="H730" s="54"/>
      <c r="I730" s="7"/>
      <c r="J730" s="9"/>
      <c r="K730" s="21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2.75" customHeight="1" x14ac:dyDescent="0.25">
      <c r="A731" s="20"/>
      <c r="B731" s="20"/>
      <c r="C731" s="20"/>
      <c r="D731" s="14"/>
      <c r="E731" s="14"/>
      <c r="F731" s="53"/>
      <c r="G731" s="54"/>
      <c r="H731" s="54"/>
      <c r="I731" s="7"/>
      <c r="J731" s="9"/>
      <c r="K731" s="21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2.75" customHeight="1" x14ac:dyDescent="0.25">
      <c r="A732" s="20"/>
      <c r="B732" s="20"/>
      <c r="C732" s="20"/>
      <c r="D732" s="14"/>
      <c r="E732" s="14"/>
      <c r="F732" s="53"/>
      <c r="G732" s="54"/>
      <c r="H732" s="54"/>
      <c r="I732" s="7"/>
      <c r="J732" s="9"/>
      <c r="K732" s="21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2.75" customHeight="1" x14ac:dyDescent="0.25">
      <c r="A733" s="20"/>
      <c r="B733" s="20"/>
      <c r="C733" s="20"/>
      <c r="D733" s="14"/>
      <c r="E733" s="14"/>
      <c r="F733" s="53"/>
      <c r="G733" s="54"/>
      <c r="H733" s="54"/>
      <c r="I733" s="7"/>
      <c r="J733" s="9"/>
      <c r="K733" s="21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2.75" customHeight="1" x14ac:dyDescent="0.25">
      <c r="A734" s="20"/>
      <c r="B734" s="20"/>
      <c r="C734" s="20"/>
      <c r="D734" s="14"/>
      <c r="E734" s="14"/>
      <c r="F734" s="53"/>
      <c r="G734" s="54"/>
      <c r="H734" s="54"/>
      <c r="I734" s="7"/>
      <c r="J734" s="9"/>
      <c r="K734" s="21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2.75" customHeight="1" x14ac:dyDescent="0.25">
      <c r="A735" s="20"/>
      <c r="B735" s="20"/>
      <c r="C735" s="20"/>
      <c r="D735" s="14"/>
      <c r="E735" s="14"/>
      <c r="F735" s="53"/>
      <c r="G735" s="54"/>
      <c r="H735" s="54"/>
      <c r="I735" s="7"/>
      <c r="J735" s="9"/>
      <c r="K735" s="21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2.75" customHeight="1" x14ac:dyDescent="0.25">
      <c r="A736" s="20"/>
      <c r="B736" s="20"/>
      <c r="C736" s="20"/>
      <c r="D736" s="14"/>
      <c r="E736" s="14"/>
      <c r="F736" s="53"/>
      <c r="G736" s="54"/>
      <c r="H736" s="54"/>
      <c r="I736" s="7"/>
      <c r="J736" s="9"/>
      <c r="K736" s="21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2.75" customHeight="1" x14ac:dyDescent="0.25">
      <c r="A737" s="20"/>
      <c r="B737" s="20"/>
      <c r="C737" s="20"/>
      <c r="D737" s="14"/>
      <c r="E737" s="14"/>
      <c r="F737" s="53"/>
      <c r="G737" s="54"/>
      <c r="H737" s="54"/>
      <c r="I737" s="7"/>
      <c r="J737" s="9"/>
      <c r="K737" s="21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2.75" customHeight="1" x14ac:dyDescent="0.25">
      <c r="A738" s="20"/>
      <c r="B738" s="20"/>
      <c r="C738" s="20"/>
      <c r="D738" s="14"/>
      <c r="E738" s="14"/>
      <c r="F738" s="53"/>
      <c r="G738" s="54"/>
      <c r="H738" s="54"/>
      <c r="I738" s="7"/>
      <c r="J738" s="9"/>
      <c r="K738" s="21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2.75" customHeight="1" x14ac:dyDescent="0.25">
      <c r="A739" s="20"/>
      <c r="B739" s="20"/>
      <c r="C739" s="20"/>
      <c r="D739" s="14"/>
      <c r="E739" s="14"/>
      <c r="F739" s="53"/>
      <c r="G739" s="54"/>
      <c r="H739" s="54"/>
      <c r="I739" s="7"/>
      <c r="J739" s="9"/>
      <c r="K739" s="21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2.75" customHeight="1" x14ac:dyDescent="0.25">
      <c r="A740" s="20"/>
      <c r="B740" s="20"/>
      <c r="C740" s="20"/>
      <c r="D740" s="14"/>
      <c r="E740" s="14"/>
      <c r="F740" s="53"/>
      <c r="G740" s="54"/>
      <c r="H740" s="54"/>
      <c r="I740" s="7"/>
      <c r="J740" s="9"/>
      <c r="K740" s="21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2.75" customHeight="1" x14ac:dyDescent="0.25">
      <c r="A741" s="20"/>
      <c r="B741" s="20"/>
      <c r="C741" s="20"/>
      <c r="D741" s="14"/>
      <c r="E741" s="14"/>
      <c r="F741" s="53"/>
      <c r="G741" s="54"/>
      <c r="H741" s="54"/>
      <c r="I741" s="7"/>
      <c r="J741" s="9"/>
      <c r="K741" s="21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2.75" customHeight="1" x14ac:dyDescent="0.25">
      <c r="A742" s="20"/>
      <c r="B742" s="20"/>
      <c r="C742" s="20"/>
      <c r="D742" s="14"/>
      <c r="E742" s="14"/>
      <c r="F742" s="53"/>
      <c r="G742" s="54"/>
      <c r="H742" s="54"/>
      <c r="I742" s="7"/>
      <c r="J742" s="9"/>
      <c r="K742" s="21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2.75" customHeight="1" x14ac:dyDescent="0.25">
      <c r="A743" s="20"/>
      <c r="B743" s="20"/>
      <c r="C743" s="20"/>
      <c r="D743" s="14"/>
      <c r="E743" s="14"/>
      <c r="F743" s="53"/>
      <c r="G743" s="54"/>
      <c r="H743" s="54"/>
      <c r="I743" s="7"/>
      <c r="J743" s="9"/>
      <c r="K743" s="21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2.75" customHeight="1" x14ac:dyDescent="0.25">
      <c r="A744" s="20"/>
      <c r="B744" s="20"/>
      <c r="C744" s="20"/>
      <c r="D744" s="14"/>
      <c r="E744" s="14"/>
      <c r="F744" s="53"/>
      <c r="G744" s="54"/>
      <c r="H744" s="54"/>
      <c r="I744" s="7"/>
      <c r="J744" s="9"/>
      <c r="K744" s="21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2.75" customHeight="1" x14ac:dyDescent="0.25">
      <c r="A745" s="20"/>
      <c r="B745" s="20"/>
      <c r="C745" s="20"/>
      <c r="D745" s="14"/>
      <c r="E745" s="14"/>
      <c r="F745" s="53"/>
      <c r="G745" s="54"/>
      <c r="H745" s="54"/>
      <c r="I745" s="7"/>
      <c r="J745" s="9"/>
      <c r="K745" s="21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2.75" customHeight="1" x14ac:dyDescent="0.25">
      <c r="A746" s="20"/>
      <c r="B746" s="20"/>
      <c r="C746" s="20"/>
      <c r="D746" s="14"/>
      <c r="E746" s="14"/>
      <c r="F746" s="53"/>
      <c r="G746" s="54"/>
      <c r="H746" s="54"/>
      <c r="I746" s="7"/>
      <c r="J746" s="9"/>
      <c r="K746" s="21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2.75" customHeight="1" x14ac:dyDescent="0.25">
      <c r="A747" s="20"/>
      <c r="B747" s="20"/>
      <c r="C747" s="20"/>
      <c r="D747" s="14"/>
      <c r="E747" s="14"/>
      <c r="F747" s="53"/>
      <c r="G747" s="54"/>
      <c r="H747" s="54"/>
      <c r="I747" s="7"/>
      <c r="J747" s="9"/>
      <c r="K747" s="21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2.75" customHeight="1" x14ac:dyDescent="0.25">
      <c r="A748" s="20"/>
      <c r="B748" s="20"/>
      <c r="C748" s="20"/>
      <c r="D748" s="14"/>
      <c r="E748" s="14"/>
      <c r="F748" s="53"/>
      <c r="G748" s="54"/>
      <c r="H748" s="54"/>
      <c r="I748" s="7"/>
      <c r="J748" s="9"/>
      <c r="K748" s="21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2.75" customHeight="1" x14ac:dyDescent="0.25">
      <c r="A749" s="20"/>
      <c r="B749" s="20"/>
      <c r="C749" s="20"/>
      <c r="D749" s="14"/>
      <c r="E749" s="14"/>
      <c r="F749" s="53"/>
      <c r="G749" s="54"/>
      <c r="H749" s="54"/>
      <c r="I749" s="7"/>
      <c r="J749" s="9"/>
      <c r="K749" s="21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2.75" customHeight="1" x14ac:dyDescent="0.25">
      <c r="A750" s="20"/>
      <c r="B750" s="20"/>
      <c r="C750" s="20"/>
      <c r="D750" s="14"/>
      <c r="E750" s="14"/>
      <c r="F750" s="53"/>
      <c r="G750" s="54"/>
      <c r="H750" s="54"/>
      <c r="I750" s="7"/>
      <c r="J750" s="9"/>
      <c r="K750" s="21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2.75" customHeight="1" x14ac:dyDescent="0.25">
      <c r="A751" s="20"/>
      <c r="B751" s="20"/>
      <c r="C751" s="20"/>
      <c r="D751" s="14"/>
      <c r="E751" s="14"/>
      <c r="F751" s="53"/>
      <c r="G751" s="54"/>
      <c r="H751" s="54"/>
      <c r="I751" s="7"/>
      <c r="J751" s="9"/>
      <c r="K751" s="21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2.75" customHeight="1" x14ac:dyDescent="0.25">
      <c r="A752" s="20"/>
      <c r="B752" s="20"/>
      <c r="C752" s="20"/>
      <c r="D752" s="14"/>
      <c r="E752" s="14"/>
      <c r="F752" s="53"/>
      <c r="G752" s="54"/>
      <c r="H752" s="54"/>
      <c r="I752" s="7"/>
      <c r="J752" s="9"/>
      <c r="K752" s="21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2.75" customHeight="1" x14ac:dyDescent="0.25">
      <c r="A753" s="20"/>
      <c r="B753" s="20"/>
      <c r="C753" s="20"/>
      <c r="D753" s="14"/>
      <c r="E753" s="14"/>
      <c r="F753" s="53"/>
      <c r="G753" s="54"/>
      <c r="H753" s="54"/>
      <c r="I753" s="7"/>
      <c r="J753" s="9"/>
      <c r="K753" s="21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2.75" customHeight="1" x14ac:dyDescent="0.25">
      <c r="A754" s="20"/>
      <c r="B754" s="20"/>
      <c r="C754" s="20"/>
      <c r="D754" s="14"/>
      <c r="E754" s="14"/>
      <c r="F754" s="53"/>
      <c r="G754" s="54"/>
      <c r="H754" s="54"/>
      <c r="I754" s="7"/>
      <c r="J754" s="9"/>
      <c r="K754" s="21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2.75" customHeight="1" x14ac:dyDescent="0.25">
      <c r="A755" s="20"/>
      <c r="B755" s="20"/>
      <c r="C755" s="20"/>
      <c r="D755" s="14"/>
      <c r="E755" s="14"/>
      <c r="F755" s="53"/>
      <c r="G755" s="54"/>
      <c r="H755" s="54"/>
      <c r="I755" s="7"/>
      <c r="J755" s="9"/>
      <c r="K755" s="21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2.75" customHeight="1" x14ac:dyDescent="0.25">
      <c r="A756" s="20"/>
      <c r="B756" s="20"/>
      <c r="C756" s="20"/>
      <c r="D756" s="14"/>
      <c r="E756" s="14"/>
      <c r="F756" s="53"/>
      <c r="G756" s="54"/>
      <c r="H756" s="54"/>
      <c r="I756" s="7"/>
      <c r="J756" s="9"/>
      <c r="K756" s="21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2.75" customHeight="1" x14ac:dyDescent="0.25">
      <c r="A757" s="20"/>
      <c r="B757" s="20"/>
      <c r="C757" s="20"/>
      <c r="D757" s="14"/>
      <c r="E757" s="14"/>
      <c r="F757" s="53"/>
      <c r="G757" s="54"/>
      <c r="H757" s="54"/>
      <c r="I757" s="7"/>
      <c r="J757" s="9"/>
      <c r="K757" s="21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2.75" customHeight="1" x14ac:dyDescent="0.25">
      <c r="A758" s="20"/>
      <c r="B758" s="20"/>
      <c r="C758" s="20"/>
      <c r="D758" s="14"/>
      <c r="E758" s="14"/>
      <c r="F758" s="53"/>
      <c r="G758" s="54"/>
      <c r="H758" s="54"/>
      <c r="I758" s="7"/>
      <c r="J758" s="9"/>
      <c r="K758" s="21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2.75" customHeight="1" x14ac:dyDescent="0.25">
      <c r="A759" s="20"/>
      <c r="B759" s="20"/>
      <c r="C759" s="20"/>
      <c r="D759" s="14"/>
      <c r="E759" s="14"/>
      <c r="F759" s="53"/>
      <c r="G759" s="54"/>
      <c r="H759" s="54"/>
      <c r="I759" s="7"/>
      <c r="J759" s="9"/>
      <c r="K759" s="21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2.75" customHeight="1" x14ac:dyDescent="0.25">
      <c r="A760" s="20"/>
      <c r="B760" s="20"/>
      <c r="C760" s="20"/>
      <c r="D760" s="14"/>
      <c r="E760" s="14"/>
      <c r="F760" s="53"/>
      <c r="G760" s="54"/>
      <c r="H760" s="54"/>
      <c r="I760" s="7"/>
      <c r="J760" s="9"/>
      <c r="K760" s="21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2.75" customHeight="1" x14ac:dyDescent="0.25">
      <c r="A761" s="20"/>
      <c r="B761" s="20"/>
      <c r="C761" s="20"/>
      <c r="D761" s="14"/>
      <c r="E761" s="14"/>
      <c r="F761" s="53"/>
      <c r="G761" s="54"/>
      <c r="H761" s="54"/>
      <c r="I761" s="7"/>
      <c r="J761" s="9"/>
      <c r="K761" s="21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2.75" customHeight="1" x14ac:dyDescent="0.25">
      <c r="A762" s="20"/>
      <c r="B762" s="20"/>
      <c r="C762" s="20"/>
      <c r="D762" s="14"/>
      <c r="E762" s="14"/>
      <c r="F762" s="53"/>
      <c r="G762" s="54"/>
      <c r="H762" s="54"/>
      <c r="I762" s="7"/>
      <c r="J762" s="9"/>
      <c r="K762" s="21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2.75" customHeight="1" x14ac:dyDescent="0.25">
      <c r="A763" s="20"/>
      <c r="B763" s="20"/>
      <c r="C763" s="20"/>
      <c r="D763" s="14"/>
      <c r="E763" s="14"/>
      <c r="F763" s="53"/>
      <c r="G763" s="54"/>
      <c r="H763" s="54"/>
      <c r="I763" s="7"/>
      <c r="J763" s="9"/>
      <c r="K763" s="21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2.75" customHeight="1" x14ac:dyDescent="0.25">
      <c r="A764" s="20"/>
      <c r="B764" s="20"/>
      <c r="C764" s="20"/>
      <c r="D764" s="14"/>
      <c r="E764" s="14"/>
      <c r="F764" s="53"/>
      <c r="G764" s="54"/>
      <c r="H764" s="54"/>
      <c r="I764" s="7"/>
      <c r="J764" s="9"/>
      <c r="K764" s="21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2.75" customHeight="1" x14ac:dyDescent="0.25">
      <c r="A765" s="20"/>
      <c r="B765" s="20"/>
      <c r="C765" s="20"/>
      <c r="D765" s="14"/>
      <c r="E765" s="14"/>
      <c r="F765" s="53"/>
      <c r="G765" s="54"/>
      <c r="H765" s="54"/>
      <c r="I765" s="7"/>
      <c r="J765" s="9"/>
      <c r="K765" s="21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2.75" customHeight="1" x14ac:dyDescent="0.25">
      <c r="A766" s="20"/>
      <c r="B766" s="20"/>
      <c r="C766" s="20"/>
      <c r="D766" s="14"/>
      <c r="E766" s="14"/>
      <c r="F766" s="53"/>
      <c r="G766" s="54"/>
      <c r="H766" s="54"/>
      <c r="I766" s="7"/>
      <c r="J766" s="9"/>
      <c r="K766" s="21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2.75" customHeight="1" x14ac:dyDescent="0.25">
      <c r="A767" s="20"/>
      <c r="B767" s="20"/>
      <c r="C767" s="20"/>
      <c r="D767" s="14"/>
      <c r="E767" s="14"/>
      <c r="F767" s="53"/>
      <c r="G767" s="54"/>
      <c r="H767" s="54"/>
      <c r="I767" s="7"/>
      <c r="J767" s="9"/>
      <c r="K767" s="21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2.75" customHeight="1" x14ac:dyDescent="0.25">
      <c r="A768" s="20"/>
      <c r="B768" s="20"/>
      <c r="C768" s="20"/>
      <c r="D768" s="14"/>
      <c r="E768" s="14"/>
      <c r="F768" s="53"/>
      <c r="G768" s="54"/>
      <c r="H768" s="54"/>
      <c r="I768" s="7"/>
      <c r="J768" s="9"/>
      <c r="K768" s="21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2.75" customHeight="1" x14ac:dyDescent="0.25">
      <c r="A769" s="20"/>
      <c r="B769" s="20"/>
      <c r="C769" s="20"/>
      <c r="D769" s="14"/>
      <c r="E769" s="14"/>
      <c r="F769" s="53"/>
      <c r="G769" s="54"/>
      <c r="H769" s="54"/>
      <c r="I769" s="7"/>
      <c r="J769" s="9"/>
      <c r="K769" s="21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2.75" customHeight="1" x14ac:dyDescent="0.25">
      <c r="A770" s="20"/>
      <c r="B770" s="20"/>
      <c r="C770" s="20"/>
      <c r="D770" s="14"/>
      <c r="E770" s="14"/>
      <c r="F770" s="53"/>
      <c r="G770" s="54"/>
      <c r="H770" s="54"/>
      <c r="I770" s="7"/>
      <c r="J770" s="9"/>
      <c r="K770" s="21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2.75" customHeight="1" x14ac:dyDescent="0.25">
      <c r="A771" s="20"/>
      <c r="B771" s="20"/>
      <c r="C771" s="20"/>
      <c r="D771" s="14"/>
      <c r="E771" s="14"/>
      <c r="F771" s="53"/>
      <c r="G771" s="54"/>
      <c r="H771" s="54"/>
      <c r="I771" s="7"/>
      <c r="J771" s="9"/>
      <c r="K771" s="21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2.75" customHeight="1" x14ac:dyDescent="0.25">
      <c r="A772" s="20"/>
      <c r="B772" s="20"/>
      <c r="C772" s="20"/>
      <c r="D772" s="14"/>
      <c r="E772" s="14"/>
      <c r="F772" s="53"/>
      <c r="G772" s="54"/>
      <c r="H772" s="54"/>
      <c r="I772" s="7"/>
      <c r="J772" s="9"/>
      <c r="K772" s="21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2.75" customHeight="1" x14ac:dyDescent="0.25">
      <c r="A773" s="20"/>
      <c r="B773" s="20"/>
      <c r="C773" s="20"/>
      <c r="D773" s="14"/>
      <c r="E773" s="14"/>
      <c r="F773" s="53"/>
      <c r="G773" s="54"/>
      <c r="H773" s="54"/>
      <c r="I773" s="7"/>
      <c r="J773" s="9"/>
      <c r="K773" s="21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2.75" customHeight="1" x14ac:dyDescent="0.25">
      <c r="A774" s="20"/>
      <c r="B774" s="20"/>
      <c r="C774" s="20"/>
      <c r="D774" s="14"/>
      <c r="E774" s="14"/>
      <c r="F774" s="53"/>
      <c r="G774" s="54"/>
      <c r="H774" s="54"/>
      <c r="I774" s="7"/>
      <c r="J774" s="9"/>
      <c r="K774" s="21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2.75" customHeight="1" x14ac:dyDescent="0.25">
      <c r="A775" s="20"/>
      <c r="B775" s="20"/>
      <c r="C775" s="20"/>
      <c r="D775" s="14"/>
      <c r="E775" s="14"/>
      <c r="F775" s="53"/>
      <c r="G775" s="54"/>
      <c r="H775" s="54"/>
      <c r="I775" s="7"/>
      <c r="J775" s="9"/>
      <c r="K775" s="21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2.75" customHeight="1" x14ac:dyDescent="0.25">
      <c r="A776" s="20"/>
      <c r="B776" s="20"/>
      <c r="C776" s="20"/>
      <c r="D776" s="14"/>
      <c r="E776" s="14"/>
      <c r="F776" s="53"/>
      <c r="G776" s="54"/>
      <c r="H776" s="54"/>
      <c r="I776" s="7"/>
      <c r="J776" s="9"/>
      <c r="K776" s="21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2.75" customHeight="1" x14ac:dyDescent="0.25">
      <c r="A777" s="20"/>
      <c r="B777" s="20"/>
      <c r="C777" s="20"/>
      <c r="D777" s="14"/>
      <c r="E777" s="14"/>
      <c r="F777" s="53"/>
      <c r="G777" s="54"/>
      <c r="H777" s="54"/>
      <c r="I777" s="7"/>
      <c r="J777" s="9"/>
      <c r="K777" s="21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2.75" customHeight="1" x14ac:dyDescent="0.25">
      <c r="A778" s="20"/>
      <c r="B778" s="20"/>
      <c r="C778" s="20"/>
      <c r="D778" s="14"/>
      <c r="E778" s="14"/>
      <c r="F778" s="53"/>
      <c r="G778" s="54"/>
      <c r="H778" s="54"/>
      <c r="I778" s="7"/>
      <c r="J778" s="9"/>
      <c r="K778" s="21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2.75" customHeight="1" x14ac:dyDescent="0.25">
      <c r="A779" s="20"/>
      <c r="B779" s="20"/>
      <c r="C779" s="20"/>
      <c r="D779" s="14"/>
      <c r="E779" s="14"/>
      <c r="F779" s="53"/>
      <c r="G779" s="54"/>
      <c r="H779" s="54"/>
      <c r="I779" s="7"/>
      <c r="J779" s="9"/>
      <c r="K779" s="21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2.75" customHeight="1" x14ac:dyDescent="0.25">
      <c r="A780" s="20"/>
      <c r="B780" s="20"/>
      <c r="C780" s="20"/>
      <c r="D780" s="14"/>
      <c r="E780" s="14"/>
      <c r="F780" s="53"/>
      <c r="G780" s="54"/>
      <c r="H780" s="54"/>
      <c r="I780" s="7"/>
      <c r="J780" s="9"/>
      <c r="K780" s="21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2.75" customHeight="1" x14ac:dyDescent="0.25">
      <c r="A781" s="20"/>
      <c r="B781" s="20"/>
      <c r="C781" s="20"/>
      <c r="D781" s="14"/>
      <c r="E781" s="14"/>
      <c r="F781" s="53"/>
      <c r="G781" s="54"/>
      <c r="H781" s="54"/>
      <c r="I781" s="7"/>
      <c r="J781" s="9"/>
      <c r="K781" s="21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2.75" customHeight="1" x14ac:dyDescent="0.25">
      <c r="A782" s="20"/>
      <c r="B782" s="20"/>
      <c r="C782" s="20"/>
      <c r="D782" s="14"/>
      <c r="E782" s="14"/>
      <c r="F782" s="53"/>
      <c r="G782" s="54"/>
      <c r="H782" s="54"/>
      <c r="I782" s="7"/>
      <c r="J782" s="9"/>
      <c r="K782" s="21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2.75" customHeight="1" x14ac:dyDescent="0.25">
      <c r="A783" s="20"/>
      <c r="B783" s="20"/>
      <c r="C783" s="20"/>
      <c r="D783" s="14"/>
      <c r="E783" s="14"/>
      <c r="F783" s="53"/>
      <c r="G783" s="54"/>
      <c r="H783" s="54"/>
      <c r="I783" s="7"/>
      <c r="J783" s="9"/>
      <c r="K783" s="21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2.75" customHeight="1" x14ac:dyDescent="0.25">
      <c r="A784" s="20"/>
      <c r="B784" s="20"/>
      <c r="C784" s="20"/>
      <c r="D784" s="14"/>
      <c r="E784" s="14"/>
      <c r="F784" s="53"/>
      <c r="G784" s="54"/>
      <c r="H784" s="54"/>
      <c r="I784" s="7"/>
      <c r="J784" s="9"/>
      <c r="K784" s="21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2.75" customHeight="1" x14ac:dyDescent="0.25">
      <c r="A785" s="20"/>
      <c r="B785" s="20"/>
      <c r="C785" s="20"/>
      <c r="D785" s="14"/>
      <c r="E785" s="14"/>
      <c r="F785" s="53"/>
      <c r="G785" s="54"/>
      <c r="H785" s="54"/>
      <c r="I785" s="7"/>
      <c r="J785" s="9"/>
      <c r="K785" s="21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2.75" customHeight="1" x14ac:dyDescent="0.25">
      <c r="A786" s="20"/>
      <c r="B786" s="20"/>
      <c r="C786" s="20"/>
      <c r="D786" s="14"/>
      <c r="E786" s="14"/>
      <c r="F786" s="53"/>
      <c r="G786" s="54"/>
      <c r="H786" s="54"/>
      <c r="I786" s="7"/>
      <c r="J786" s="9"/>
      <c r="K786" s="21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2.75" customHeight="1" x14ac:dyDescent="0.25">
      <c r="A787" s="20"/>
      <c r="B787" s="20"/>
      <c r="C787" s="20"/>
      <c r="D787" s="14"/>
      <c r="E787" s="14"/>
      <c r="F787" s="53"/>
      <c r="G787" s="54"/>
      <c r="H787" s="54"/>
      <c r="I787" s="7"/>
      <c r="J787" s="9"/>
      <c r="K787" s="21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2.75" customHeight="1" x14ac:dyDescent="0.25">
      <c r="A788" s="20"/>
      <c r="B788" s="20"/>
      <c r="C788" s="20"/>
      <c r="D788" s="14"/>
      <c r="E788" s="14"/>
      <c r="F788" s="53"/>
      <c r="G788" s="54"/>
      <c r="H788" s="54"/>
      <c r="I788" s="7"/>
      <c r="J788" s="9"/>
      <c r="K788" s="21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2.75" customHeight="1" x14ac:dyDescent="0.25">
      <c r="A789" s="20"/>
      <c r="B789" s="20"/>
      <c r="C789" s="20"/>
      <c r="D789" s="14"/>
      <c r="E789" s="14"/>
      <c r="F789" s="53"/>
      <c r="G789" s="54"/>
      <c r="H789" s="54"/>
      <c r="I789" s="7"/>
      <c r="J789" s="9"/>
      <c r="K789" s="21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2.75" customHeight="1" x14ac:dyDescent="0.25">
      <c r="A790" s="20"/>
      <c r="B790" s="20"/>
      <c r="C790" s="20"/>
      <c r="D790" s="14"/>
      <c r="E790" s="14"/>
      <c r="F790" s="53"/>
      <c r="G790" s="54"/>
      <c r="H790" s="54"/>
      <c r="I790" s="7"/>
      <c r="J790" s="9"/>
      <c r="K790" s="21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2.75" customHeight="1" x14ac:dyDescent="0.25">
      <c r="A791" s="20"/>
      <c r="B791" s="20"/>
      <c r="C791" s="20"/>
      <c r="D791" s="14"/>
      <c r="E791" s="14"/>
      <c r="F791" s="53"/>
      <c r="G791" s="54"/>
      <c r="H791" s="54"/>
      <c r="I791" s="7"/>
      <c r="J791" s="9"/>
      <c r="K791" s="21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2.75" customHeight="1" x14ac:dyDescent="0.25">
      <c r="A792" s="20"/>
      <c r="B792" s="20"/>
      <c r="C792" s="20"/>
      <c r="D792" s="14"/>
      <c r="E792" s="14"/>
      <c r="F792" s="53"/>
      <c r="G792" s="54"/>
      <c r="H792" s="54"/>
      <c r="I792" s="7"/>
      <c r="J792" s="9"/>
      <c r="K792" s="21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2.75" customHeight="1" x14ac:dyDescent="0.25">
      <c r="A793" s="20"/>
      <c r="B793" s="20"/>
      <c r="C793" s="20"/>
      <c r="D793" s="14"/>
      <c r="E793" s="14"/>
      <c r="F793" s="53"/>
      <c r="G793" s="54"/>
      <c r="H793" s="54"/>
      <c r="I793" s="7"/>
      <c r="J793" s="9"/>
      <c r="K793" s="21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2.75" customHeight="1" x14ac:dyDescent="0.25">
      <c r="A794" s="20"/>
      <c r="B794" s="20"/>
      <c r="C794" s="20"/>
      <c r="D794" s="14"/>
      <c r="E794" s="14"/>
      <c r="F794" s="53"/>
      <c r="G794" s="54"/>
      <c r="H794" s="54"/>
      <c r="I794" s="7"/>
      <c r="J794" s="9"/>
      <c r="K794" s="21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2.75" customHeight="1" x14ac:dyDescent="0.25">
      <c r="A795" s="20"/>
      <c r="B795" s="20"/>
      <c r="C795" s="20"/>
      <c r="D795" s="14"/>
      <c r="E795" s="14"/>
      <c r="F795" s="53"/>
      <c r="G795" s="54"/>
      <c r="H795" s="54"/>
      <c r="I795" s="7"/>
      <c r="J795" s="9"/>
      <c r="K795" s="21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2.75" customHeight="1" x14ac:dyDescent="0.25">
      <c r="A796" s="20"/>
      <c r="B796" s="20"/>
      <c r="C796" s="20"/>
      <c r="D796" s="14"/>
      <c r="E796" s="14"/>
      <c r="F796" s="53"/>
      <c r="G796" s="54"/>
      <c r="H796" s="54"/>
      <c r="I796" s="7"/>
      <c r="J796" s="9"/>
      <c r="K796" s="21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2.75" customHeight="1" x14ac:dyDescent="0.25">
      <c r="A797" s="20"/>
      <c r="B797" s="20"/>
      <c r="C797" s="20"/>
      <c r="D797" s="14"/>
      <c r="E797" s="14"/>
      <c r="F797" s="53"/>
      <c r="G797" s="54"/>
      <c r="H797" s="54"/>
      <c r="I797" s="7"/>
      <c r="J797" s="9"/>
      <c r="K797" s="21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2.75" customHeight="1" x14ac:dyDescent="0.25">
      <c r="A798" s="20"/>
      <c r="B798" s="20"/>
      <c r="C798" s="20"/>
      <c r="D798" s="14"/>
      <c r="E798" s="14"/>
      <c r="F798" s="53"/>
      <c r="G798" s="54"/>
      <c r="H798" s="54"/>
      <c r="I798" s="7"/>
      <c r="J798" s="9"/>
      <c r="K798" s="21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2.75" customHeight="1" x14ac:dyDescent="0.25">
      <c r="A799" s="20"/>
      <c r="B799" s="20"/>
      <c r="C799" s="20"/>
      <c r="D799" s="14"/>
      <c r="E799" s="14"/>
      <c r="F799" s="53"/>
      <c r="G799" s="54"/>
      <c r="H799" s="54"/>
      <c r="I799" s="7"/>
      <c r="J799" s="9"/>
      <c r="K799" s="21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2.75" customHeight="1" x14ac:dyDescent="0.25">
      <c r="A800" s="20"/>
      <c r="B800" s="20"/>
      <c r="C800" s="20"/>
      <c r="D800" s="14"/>
      <c r="E800" s="14"/>
      <c r="F800" s="53"/>
      <c r="G800" s="54"/>
      <c r="H800" s="54"/>
      <c r="I800" s="7"/>
      <c r="J800" s="9"/>
      <c r="K800" s="21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2.75" customHeight="1" x14ac:dyDescent="0.25">
      <c r="A801" s="20"/>
      <c r="B801" s="20"/>
      <c r="C801" s="20"/>
      <c r="D801" s="14"/>
      <c r="E801" s="14"/>
      <c r="F801" s="53"/>
      <c r="G801" s="54"/>
      <c r="H801" s="54"/>
      <c r="I801" s="7"/>
      <c r="J801" s="9"/>
      <c r="K801" s="21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2.75" customHeight="1" x14ac:dyDescent="0.25">
      <c r="A802" s="20"/>
      <c r="B802" s="20"/>
      <c r="C802" s="20"/>
      <c r="D802" s="14"/>
      <c r="E802" s="14"/>
      <c r="F802" s="53"/>
      <c r="G802" s="54"/>
      <c r="H802" s="54"/>
      <c r="I802" s="7"/>
      <c r="J802" s="9"/>
      <c r="K802" s="21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2.75" customHeight="1" x14ac:dyDescent="0.25">
      <c r="A803" s="20"/>
      <c r="B803" s="20"/>
      <c r="C803" s="20"/>
      <c r="D803" s="14"/>
      <c r="E803" s="14"/>
      <c r="F803" s="53"/>
      <c r="G803" s="54"/>
      <c r="H803" s="54"/>
      <c r="I803" s="7"/>
      <c r="J803" s="9"/>
      <c r="K803" s="21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2.75" customHeight="1" x14ac:dyDescent="0.25">
      <c r="A804" s="20"/>
      <c r="B804" s="20"/>
      <c r="C804" s="20"/>
      <c r="D804" s="14"/>
      <c r="E804" s="14"/>
      <c r="F804" s="53"/>
      <c r="G804" s="54"/>
      <c r="H804" s="54"/>
      <c r="I804" s="7"/>
      <c r="J804" s="9"/>
      <c r="K804" s="21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2.75" customHeight="1" x14ac:dyDescent="0.25">
      <c r="A805" s="20"/>
      <c r="B805" s="20"/>
      <c r="C805" s="20"/>
      <c r="D805" s="14"/>
      <c r="E805" s="14"/>
      <c r="F805" s="53"/>
      <c r="G805" s="54"/>
      <c r="H805" s="54"/>
      <c r="I805" s="7"/>
      <c r="J805" s="9"/>
      <c r="K805" s="21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2.75" customHeight="1" x14ac:dyDescent="0.25">
      <c r="A806" s="20"/>
      <c r="B806" s="20"/>
      <c r="C806" s="20"/>
      <c r="D806" s="14"/>
      <c r="E806" s="14"/>
      <c r="F806" s="53"/>
      <c r="G806" s="54"/>
      <c r="H806" s="54"/>
      <c r="I806" s="7"/>
      <c r="J806" s="9"/>
      <c r="K806" s="21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2.75" customHeight="1" x14ac:dyDescent="0.25">
      <c r="A807" s="20"/>
      <c r="B807" s="20"/>
      <c r="C807" s="20"/>
      <c r="D807" s="14"/>
      <c r="E807" s="14"/>
      <c r="F807" s="53"/>
      <c r="G807" s="54"/>
      <c r="H807" s="54"/>
      <c r="I807" s="7"/>
      <c r="J807" s="9"/>
      <c r="K807" s="21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2.75" customHeight="1" x14ac:dyDescent="0.25">
      <c r="A808" s="20"/>
      <c r="B808" s="20"/>
      <c r="C808" s="20"/>
      <c r="D808" s="14"/>
      <c r="E808" s="14"/>
      <c r="F808" s="53"/>
      <c r="G808" s="54"/>
      <c r="H808" s="54"/>
      <c r="I808" s="7"/>
      <c r="J808" s="9"/>
      <c r="K808" s="21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2.75" customHeight="1" x14ac:dyDescent="0.25">
      <c r="A809" s="20"/>
      <c r="B809" s="20"/>
      <c r="C809" s="20"/>
      <c r="D809" s="14"/>
      <c r="E809" s="14"/>
      <c r="F809" s="53"/>
      <c r="G809" s="54"/>
      <c r="H809" s="54"/>
      <c r="I809" s="7"/>
      <c r="J809" s="9"/>
      <c r="K809" s="21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2.75" customHeight="1" x14ac:dyDescent="0.25">
      <c r="A810" s="20"/>
      <c r="B810" s="20"/>
      <c r="C810" s="20"/>
      <c r="D810" s="14"/>
      <c r="E810" s="14"/>
      <c r="F810" s="53"/>
      <c r="G810" s="54"/>
      <c r="H810" s="54"/>
      <c r="I810" s="7"/>
      <c r="J810" s="9"/>
      <c r="K810" s="21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2.75" customHeight="1" x14ac:dyDescent="0.25">
      <c r="A811" s="20"/>
      <c r="B811" s="20"/>
      <c r="C811" s="20"/>
      <c r="D811" s="14"/>
      <c r="E811" s="14"/>
      <c r="F811" s="53"/>
      <c r="G811" s="54"/>
      <c r="H811" s="54"/>
      <c r="I811" s="7"/>
      <c r="J811" s="9"/>
      <c r="K811" s="21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2.75" customHeight="1" x14ac:dyDescent="0.25">
      <c r="A812" s="20"/>
      <c r="B812" s="20"/>
      <c r="C812" s="20"/>
      <c r="D812" s="14"/>
      <c r="E812" s="14"/>
      <c r="F812" s="53"/>
      <c r="G812" s="54"/>
      <c r="H812" s="54"/>
      <c r="I812" s="7"/>
      <c r="J812" s="9"/>
      <c r="K812" s="21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2.75" customHeight="1" x14ac:dyDescent="0.25">
      <c r="A813" s="20"/>
      <c r="B813" s="20"/>
      <c r="C813" s="20"/>
      <c r="D813" s="14"/>
      <c r="E813" s="14"/>
      <c r="F813" s="53"/>
      <c r="G813" s="54"/>
      <c r="H813" s="54"/>
      <c r="I813" s="7"/>
      <c r="J813" s="9"/>
      <c r="K813" s="21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2.75" customHeight="1" x14ac:dyDescent="0.25">
      <c r="A814" s="20"/>
      <c r="B814" s="20"/>
      <c r="C814" s="20"/>
      <c r="D814" s="14"/>
      <c r="E814" s="14"/>
      <c r="F814" s="53"/>
      <c r="G814" s="54"/>
      <c r="H814" s="54"/>
      <c r="I814" s="7"/>
      <c r="J814" s="9"/>
      <c r="K814" s="21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2.75" customHeight="1" x14ac:dyDescent="0.25">
      <c r="A815" s="20"/>
      <c r="B815" s="20"/>
      <c r="C815" s="20"/>
      <c r="D815" s="14"/>
      <c r="E815" s="14"/>
      <c r="F815" s="53"/>
      <c r="G815" s="54"/>
      <c r="H815" s="54"/>
      <c r="I815" s="7"/>
      <c r="J815" s="9"/>
      <c r="K815" s="21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2.75" customHeight="1" x14ac:dyDescent="0.25">
      <c r="A816" s="20"/>
      <c r="B816" s="20"/>
      <c r="C816" s="20"/>
      <c r="D816" s="14"/>
      <c r="E816" s="14"/>
      <c r="F816" s="53"/>
      <c r="G816" s="54"/>
      <c r="H816" s="54"/>
      <c r="I816" s="7"/>
      <c r="J816" s="9"/>
      <c r="K816" s="21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2.75" customHeight="1" x14ac:dyDescent="0.25">
      <c r="A817" s="20"/>
      <c r="B817" s="20"/>
      <c r="C817" s="20"/>
      <c r="D817" s="14"/>
      <c r="E817" s="14"/>
      <c r="F817" s="53"/>
      <c r="G817" s="54"/>
      <c r="H817" s="54"/>
      <c r="I817" s="7"/>
      <c r="J817" s="9"/>
      <c r="K817" s="21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2.75" customHeight="1" x14ac:dyDescent="0.25">
      <c r="A818" s="20"/>
      <c r="B818" s="20"/>
      <c r="C818" s="20"/>
      <c r="D818" s="14"/>
      <c r="E818" s="14"/>
      <c r="F818" s="53"/>
      <c r="G818" s="54"/>
      <c r="H818" s="54"/>
      <c r="I818" s="7"/>
      <c r="J818" s="9"/>
      <c r="K818" s="21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2.75" customHeight="1" x14ac:dyDescent="0.25">
      <c r="A819" s="20"/>
      <c r="B819" s="20"/>
      <c r="C819" s="20"/>
      <c r="D819" s="14"/>
      <c r="E819" s="14"/>
      <c r="F819" s="53"/>
      <c r="G819" s="54"/>
      <c r="H819" s="54"/>
      <c r="I819" s="7"/>
      <c r="J819" s="9"/>
      <c r="K819" s="21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2.75" customHeight="1" x14ac:dyDescent="0.25">
      <c r="A820" s="20"/>
      <c r="B820" s="20"/>
      <c r="C820" s="20"/>
      <c r="D820" s="14"/>
      <c r="E820" s="14"/>
      <c r="F820" s="53"/>
      <c r="G820" s="54"/>
      <c r="H820" s="54"/>
      <c r="I820" s="7"/>
      <c r="J820" s="9"/>
      <c r="K820" s="21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2.75" customHeight="1" x14ac:dyDescent="0.25">
      <c r="A821" s="20"/>
      <c r="B821" s="20"/>
      <c r="C821" s="20"/>
      <c r="D821" s="14"/>
      <c r="E821" s="14"/>
      <c r="F821" s="53"/>
      <c r="G821" s="54"/>
      <c r="H821" s="54"/>
      <c r="I821" s="7"/>
      <c r="J821" s="9"/>
      <c r="K821" s="21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2.75" customHeight="1" x14ac:dyDescent="0.25">
      <c r="A822" s="20"/>
      <c r="B822" s="20"/>
      <c r="C822" s="20"/>
      <c r="D822" s="14"/>
      <c r="E822" s="14"/>
      <c r="F822" s="53"/>
      <c r="G822" s="54"/>
      <c r="H822" s="54"/>
      <c r="I822" s="7"/>
      <c r="J822" s="9"/>
      <c r="K822" s="21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2.75" customHeight="1" x14ac:dyDescent="0.25">
      <c r="A823" s="20"/>
      <c r="B823" s="20"/>
      <c r="C823" s="20"/>
      <c r="D823" s="14"/>
      <c r="E823" s="14"/>
      <c r="F823" s="53"/>
      <c r="G823" s="54"/>
      <c r="H823" s="54"/>
      <c r="I823" s="7"/>
      <c r="J823" s="9"/>
      <c r="K823" s="21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2.75" customHeight="1" x14ac:dyDescent="0.25">
      <c r="A824" s="20"/>
      <c r="B824" s="20"/>
      <c r="C824" s="20"/>
      <c r="D824" s="14"/>
      <c r="E824" s="14"/>
      <c r="F824" s="53"/>
      <c r="G824" s="54"/>
      <c r="H824" s="54"/>
      <c r="I824" s="7"/>
      <c r="J824" s="9"/>
      <c r="K824" s="21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2.75" customHeight="1" x14ac:dyDescent="0.25">
      <c r="A825" s="20"/>
      <c r="B825" s="20"/>
      <c r="C825" s="20"/>
      <c r="D825" s="14"/>
      <c r="E825" s="14"/>
      <c r="F825" s="53"/>
      <c r="G825" s="54"/>
      <c r="H825" s="54"/>
      <c r="I825" s="7"/>
      <c r="J825" s="9"/>
      <c r="K825" s="21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2.75" customHeight="1" x14ac:dyDescent="0.25">
      <c r="A826" s="20"/>
      <c r="B826" s="20"/>
      <c r="C826" s="20"/>
      <c r="D826" s="14"/>
      <c r="E826" s="14"/>
      <c r="F826" s="53"/>
      <c r="G826" s="54"/>
      <c r="H826" s="54"/>
      <c r="I826" s="7"/>
      <c r="J826" s="9"/>
      <c r="K826" s="21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2.75" customHeight="1" x14ac:dyDescent="0.25">
      <c r="A827" s="20"/>
      <c r="B827" s="20"/>
      <c r="C827" s="20"/>
      <c r="D827" s="14"/>
      <c r="E827" s="14"/>
      <c r="F827" s="53"/>
      <c r="G827" s="54"/>
      <c r="H827" s="54"/>
      <c r="I827" s="7"/>
      <c r="J827" s="9"/>
      <c r="K827" s="21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2.75" customHeight="1" x14ac:dyDescent="0.25">
      <c r="A828" s="20"/>
      <c r="B828" s="20"/>
      <c r="C828" s="20"/>
      <c r="D828" s="14"/>
      <c r="E828" s="14"/>
      <c r="F828" s="53"/>
      <c r="G828" s="54"/>
      <c r="H828" s="54"/>
      <c r="I828" s="7"/>
      <c r="J828" s="9"/>
      <c r="K828" s="21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2.75" customHeight="1" x14ac:dyDescent="0.25">
      <c r="A829" s="20"/>
      <c r="B829" s="20"/>
      <c r="C829" s="20"/>
      <c r="D829" s="14"/>
      <c r="E829" s="14"/>
      <c r="F829" s="53"/>
      <c r="G829" s="54"/>
      <c r="H829" s="54"/>
      <c r="I829" s="7"/>
      <c r="J829" s="9"/>
      <c r="K829" s="21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2.75" customHeight="1" x14ac:dyDescent="0.25">
      <c r="A830" s="20"/>
      <c r="B830" s="20"/>
      <c r="C830" s="20"/>
      <c r="D830" s="14"/>
      <c r="E830" s="14"/>
      <c r="F830" s="53"/>
      <c r="G830" s="54"/>
      <c r="H830" s="54"/>
      <c r="I830" s="7"/>
      <c r="J830" s="9"/>
      <c r="K830" s="21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2.75" customHeight="1" x14ac:dyDescent="0.25">
      <c r="A831" s="20"/>
      <c r="B831" s="20"/>
      <c r="C831" s="20"/>
      <c r="D831" s="14"/>
      <c r="E831" s="14"/>
      <c r="F831" s="53"/>
      <c r="G831" s="54"/>
      <c r="H831" s="54"/>
      <c r="I831" s="7"/>
      <c r="J831" s="9"/>
      <c r="K831" s="21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2.75" customHeight="1" x14ac:dyDescent="0.25">
      <c r="A832" s="20"/>
      <c r="B832" s="20"/>
      <c r="C832" s="20"/>
      <c r="D832" s="14"/>
      <c r="E832" s="14"/>
      <c r="F832" s="53"/>
      <c r="G832" s="54"/>
      <c r="H832" s="54"/>
      <c r="I832" s="7"/>
      <c r="J832" s="9"/>
      <c r="K832" s="21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2.75" customHeight="1" x14ac:dyDescent="0.25">
      <c r="A833" s="20"/>
      <c r="B833" s="20"/>
      <c r="C833" s="20"/>
      <c r="D833" s="14"/>
      <c r="E833" s="14"/>
      <c r="F833" s="53"/>
      <c r="G833" s="54"/>
      <c r="H833" s="54"/>
      <c r="I833" s="7"/>
      <c r="J833" s="9"/>
      <c r="K833" s="21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2.75" customHeight="1" x14ac:dyDescent="0.25">
      <c r="A834" s="20"/>
      <c r="B834" s="20"/>
      <c r="C834" s="20"/>
      <c r="D834" s="14"/>
      <c r="E834" s="14"/>
      <c r="F834" s="53"/>
      <c r="G834" s="54"/>
      <c r="H834" s="54"/>
      <c r="I834" s="7"/>
      <c r="J834" s="9"/>
      <c r="K834" s="21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2.75" customHeight="1" x14ac:dyDescent="0.25">
      <c r="A835" s="20"/>
      <c r="B835" s="20"/>
      <c r="C835" s="20"/>
      <c r="D835" s="14"/>
      <c r="E835" s="14"/>
      <c r="F835" s="53"/>
      <c r="G835" s="54"/>
      <c r="H835" s="54"/>
      <c r="I835" s="7"/>
      <c r="J835" s="9"/>
      <c r="K835" s="21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2.75" customHeight="1" x14ac:dyDescent="0.25">
      <c r="A836" s="20"/>
      <c r="B836" s="20"/>
      <c r="C836" s="20"/>
      <c r="D836" s="14"/>
      <c r="E836" s="14"/>
      <c r="F836" s="53"/>
      <c r="G836" s="54"/>
      <c r="H836" s="54"/>
      <c r="I836" s="7"/>
      <c r="J836" s="9"/>
      <c r="K836" s="21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2.75" customHeight="1" x14ac:dyDescent="0.25">
      <c r="A837" s="20"/>
      <c r="B837" s="20"/>
      <c r="C837" s="20"/>
      <c r="D837" s="14"/>
      <c r="E837" s="14"/>
      <c r="F837" s="53"/>
      <c r="G837" s="54"/>
      <c r="H837" s="54"/>
      <c r="I837" s="7"/>
      <c r="J837" s="9"/>
      <c r="K837" s="21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2.75" customHeight="1" x14ac:dyDescent="0.25">
      <c r="A838" s="20"/>
      <c r="B838" s="20"/>
      <c r="C838" s="20"/>
      <c r="D838" s="14"/>
      <c r="E838" s="14"/>
      <c r="F838" s="53"/>
      <c r="G838" s="54"/>
      <c r="H838" s="54"/>
      <c r="I838" s="7"/>
      <c r="J838" s="9"/>
      <c r="K838" s="21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2.75" customHeight="1" x14ac:dyDescent="0.25">
      <c r="A839" s="20"/>
      <c r="B839" s="20"/>
      <c r="C839" s="20"/>
      <c r="D839" s="14"/>
      <c r="E839" s="14"/>
      <c r="F839" s="53"/>
      <c r="G839" s="54"/>
      <c r="H839" s="54"/>
      <c r="I839" s="7"/>
      <c r="J839" s="9"/>
      <c r="K839" s="21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2.75" customHeight="1" x14ac:dyDescent="0.25">
      <c r="A840" s="20"/>
      <c r="B840" s="20"/>
      <c r="C840" s="20"/>
      <c r="D840" s="14"/>
      <c r="E840" s="14"/>
      <c r="F840" s="53"/>
      <c r="G840" s="54"/>
      <c r="H840" s="54"/>
      <c r="I840" s="7"/>
      <c r="J840" s="9"/>
      <c r="K840" s="21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2.75" customHeight="1" x14ac:dyDescent="0.25">
      <c r="A841" s="20"/>
      <c r="B841" s="20"/>
      <c r="C841" s="20"/>
      <c r="D841" s="14"/>
      <c r="E841" s="14"/>
      <c r="F841" s="53"/>
      <c r="G841" s="54"/>
      <c r="H841" s="54"/>
      <c r="I841" s="7"/>
      <c r="J841" s="9"/>
      <c r="K841" s="21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2.75" customHeight="1" x14ac:dyDescent="0.25">
      <c r="A842" s="20"/>
      <c r="B842" s="20"/>
      <c r="C842" s="20"/>
      <c r="D842" s="14"/>
      <c r="E842" s="14"/>
      <c r="F842" s="53"/>
      <c r="G842" s="54"/>
      <c r="H842" s="54"/>
      <c r="I842" s="7"/>
      <c r="J842" s="9"/>
      <c r="K842" s="21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2.75" customHeight="1" x14ac:dyDescent="0.25">
      <c r="A843" s="20"/>
      <c r="B843" s="20"/>
      <c r="C843" s="20"/>
      <c r="D843" s="14"/>
      <c r="E843" s="14"/>
      <c r="F843" s="53"/>
      <c r="G843" s="54"/>
      <c r="H843" s="54"/>
      <c r="I843" s="7"/>
      <c r="J843" s="9"/>
      <c r="K843" s="21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2.75" customHeight="1" x14ac:dyDescent="0.25">
      <c r="A844" s="20"/>
      <c r="B844" s="20"/>
      <c r="C844" s="20"/>
      <c r="D844" s="14"/>
      <c r="E844" s="14"/>
      <c r="F844" s="53"/>
      <c r="G844" s="54"/>
      <c r="H844" s="54"/>
      <c r="I844" s="7"/>
      <c r="J844" s="9"/>
      <c r="K844" s="21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2.75" customHeight="1" x14ac:dyDescent="0.25">
      <c r="A845" s="20"/>
      <c r="B845" s="20"/>
      <c r="C845" s="20"/>
      <c r="D845" s="14"/>
      <c r="E845" s="14"/>
      <c r="F845" s="53"/>
      <c r="G845" s="54"/>
      <c r="H845" s="54"/>
      <c r="I845" s="7"/>
      <c r="J845" s="9"/>
      <c r="K845" s="21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2.75" customHeight="1" x14ac:dyDescent="0.25">
      <c r="A846" s="20"/>
      <c r="B846" s="20"/>
      <c r="C846" s="20"/>
      <c r="D846" s="14"/>
      <c r="E846" s="14"/>
      <c r="F846" s="53"/>
      <c r="G846" s="54"/>
      <c r="H846" s="54"/>
      <c r="I846" s="7"/>
      <c r="J846" s="9"/>
      <c r="K846" s="21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2.75" customHeight="1" x14ac:dyDescent="0.25">
      <c r="A847" s="20"/>
      <c r="B847" s="20"/>
      <c r="C847" s="20"/>
      <c r="D847" s="14"/>
      <c r="E847" s="14"/>
      <c r="F847" s="53"/>
      <c r="G847" s="54"/>
      <c r="H847" s="54"/>
      <c r="I847" s="7"/>
      <c r="J847" s="9"/>
      <c r="K847" s="21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2.75" customHeight="1" x14ac:dyDescent="0.25">
      <c r="A848" s="20"/>
      <c r="B848" s="20"/>
      <c r="C848" s="20"/>
      <c r="D848" s="14"/>
      <c r="E848" s="14"/>
      <c r="F848" s="53"/>
      <c r="G848" s="54"/>
      <c r="H848" s="54"/>
      <c r="I848" s="7"/>
      <c r="J848" s="9"/>
      <c r="K848" s="21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2.75" customHeight="1" x14ac:dyDescent="0.25">
      <c r="A849" s="20"/>
      <c r="B849" s="20"/>
      <c r="C849" s="20"/>
      <c r="D849" s="14"/>
      <c r="E849" s="14"/>
      <c r="F849" s="53"/>
      <c r="G849" s="54"/>
      <c r="H849" s="54"/>
      <c r="I849" s="7"/>
      <c r="J849" s="9"/>
      <c r="K849" s="21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2.75" customHeight="1" x14ac:dyDescent="0.25">
      <c r="A850" s="20"/>
      <c r="B850" s="20"/>
      <c r="C850" s="20"/>
      <c r="D850" s="14"/>
      <c r="E850" s="14"/>
      <c r="F850" s="53"/>
      <c r="G850" s="54"/>
      <c r="H850" s="54"/>
      <c r="I850" s="7"/>
      <c r="J850" s="9"/>
      <c r="K850" s="21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2.75" customHeight="1" x14ac:dyDescent="0.25">
      <c r="A851" s="20"/>
      <c r="B851" s="20"/>
      <c r="C851" s="20"/>
      <c r="D851" s="14"/>
      <c r="E851" s="14"/>
      <c r="F851" s="53"/>
      <c r="G851" s="54"/>
      <c r="H851" s="54"/>
      <c r="I851" s="7"/>
      <c r="J851" s="9"/>
      <c r="K851" s="21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2.75" customHeight="1" x14ac:dyDescent="0.25">
      <c r="A852" s="20"/>
      <c r="B852" s="20"/>
      <c r="C852" s="20"/>
      <c r="D852" s="14"/>
      <c r="E852" s="14"/>
      <c r="F852" s="53"/>
      <c r="G852" s="54"/>
      <c r="H852" s="54"/>
      <c r="I852" s="7"/>
      <c r="J852" s="9"/>
      <c r="K852" s="21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2.75" customHeight="1" x14ac:dyDescent="0.25">
      <c r="A853" s="20"/>
      <c r="B853" s="20"/>
      <c r="C853" s="20"/>
      <c r="D853" s="14"/>
      <c r="E853" s="14"/>
      <c r="F853" s="53"/>
      <c r="G853" s="54"/>
      <c r="H853" s="54"/>
      <c r="I853" s="7"/>
      <c r="J853" s="9"/>
      <c r="K853" s="21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2.75" customHeight="1" x14ac:dyDescent="0.25">
      <c r="A854" s="20"/>
      <c r="B854" s="20"/>
      <c r="C854" s="20"/>
      <c r="D854" s="14"/>
      <c r="E854" s="14"/>
      <c r="F854" s="53"/>
      <c r="G854" s="54"/>
      <c r="H854" s="54"/>
      <c r="I854" s="7"/>
      <c r="J854" s="9"/>
      <c r="K854" s="21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2.75" customHeight="1" x14ac:dyDescent="0.25">
      <c r="A855" s="20"/>
      <c r="B855" s="20"/>
      <c r="C855" s="20"/>
      <c r="D855" s="14"/>
      <c r="E855" s="14"/>
      <c r="F855" s="53"/>
      <c r="G855" s="54"/>
      <c r="H855" s="54"/>
      <c r="I855" s="7"/>
      <c r="J855" s="9"/>
      <c r="K855" s="21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2.75" customHeight="1" x14ac:dyDescent="0.25">
      <c r="A856" s="20"/>
      <c r="B856" s="20"/>
      <c r="C856" s="20"/>
      <c r="D856" s="14"/>
      <c r="E856" s="14"/>
      <c r="F856" s="53"/>
      <c r="G856" s="54"/>
      <c r="H856" s="54"/>
      <c r="I856" s="7"/>
      <c r="J856" s="9"/>
      <c r="K856" s="21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2.75" customHeight="1" x14ac:dyDescent="0.25">
      <c r="A857" s="20"/>
      <c r="B857" s="20"/>
      <c r="C857" s="20"/>
      <c r="D857" s="14"/>
      <c r="E857" s="14"/>
      <c r="F857" s="53"/>
      <c r="G857" s="54"/>
      <c r="H857" s="54"/>
      <c r="I857" s="7"/>
      <c r="J857" s="9"/>
      <c r="K857" s="21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2.75" customHeight="1" x14ac:dyDescent="0.25">
      <c r="A858" s="20"/>
      <c r="B858" s="20"/>
      <c r="C858" s="20"/>
      <c r="D858" s="14"/>
      <c r="E858" s="14"/>
      <c r="F858" s="53"/>
      <c r="G858" s="54"/>
      <c r="H858" s="54"/>
      <c r="I858" s="7"/>
      <c r="J858" s="9"/>
      <c r="K858" s="21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2.75" customHeight="1" x14ac:dyDescent="0.25">
      <c r="A859" s="20"/>
      <c r="B859" s="20"/>
      <c r="C859" s="20"/>
      <c r="D859" s="14"/>
      <c r="E859" s="14"/>
      <c r="F859" s="53"/>
      <c r="G859" s="54"/>
      <c r="H859" s="54"/>
      <c r="I859" s="7"/>
      <c r="J859" s="9"/>
      <c r="K859" s="21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2.75" customHeight="1" x14ac:dyDescent="0.25">
      <c r="A860" s="20"/>
      <c r="B860" s="20"/>
      <c r="C860" s="20"/>
      <c r="D860" s="14"/>
      <c r="E860" s="14"/>
      <c r="F860" s="53"/>
      <c r="G860" s="54"/>
      <c r="H860" s="54"/>
      <c r="I860" s="7"/>
      <c r="J860" s="9"/>
      <c r="K860" s="21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2.75" customHeight="1" x14ac:dyDescent="0.25">
      <c r="A861" s="20"/>
      <c r="B861" s="20"/>
      <c r="C861" s="20"/>
      <c r="D861" s="14"/>
      <c r="E861" s="14"/>
      <c r="F861" s="53"/>
      <c r="G861" s="54"/>
      <c r="H861" s="54"/>
      <c r="I861" s="7"/>
      <c r="J861" s="9"/>
      <c r="K861" s="21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2.75" customHeight="1" x14ac:dyDescent="0.25">
      <c r="A862" s="20"/>
      <c r="B862" s="20"/>
      <c r="C862" s="20"/>
      <c r="D862" s="14"/>
      <c r="E862" s="14"/>
      <c r="F862" s="53"/>
      <c r="G862" s="54"/>
      <c r="H862" s="54"/>
      <c r="I862" s="7"/>
      <c r="J862" s="9"/>
      <c r="K862" s="21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2.75" customHeight="1" x14ac:dyDescent="0.25">
      <c r="A863" s="20"/>
      <c r="B863" s="20"/>
      <c r="C863" s="20"/>
      <c r="D863" s="14"/>
      <c r="E863" s="14"/>
      <c r="F863" s="53"/>
      <c r="G863" s="54"/>
      <c r="H863" s="54"/>
      <c r="I863" s="7"/>
      <c r="J863" s="9"/>
      <c r="K863" s="21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2.75" customHeight="1" x14ac:dyDescent="0.25">
      <c r="A864" s="20"/>
      <c r="B864" s="20"/>
      <c r="C864" s="20"/>
      <c r="D864" s="14"/>
      <c r="E864" s="14"/>
      <c r="F864" s="53"/>
      <c r="G864" s="54"/>
      <c r="H864" s="54"/>
      <c r="I864" s="7"/>
      <c r="J864" s="9"/>
      <c r="K864" s="21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2.75" customHeight="1" x14ac:dyDescent="0.25">
      <c r="A865" s="20"/>
      <c r="B865" s="20"/>
      <c r="C865" s="20"/>
      <c r="D865" s="14"/>
      <c r="E865" s="14"/>
      <c r="F865" s="53"/>
      <c r="G865" s="54"/>
      <c r="H865" s="54"/>
      <c r="I865" s="7"/>
      <c r="J865" s="9"/>
      <c r="K865" s="21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2.75" customHeight="1" x14ac:dyDescent="0.25">
      <c r="A866" s="20"/>
      <c r="B866" s="20"/>
      <c r="C866" s="20"/>
      <c r="D866" s="14"/>
      <c r="E866" s="14"/>
      <c r="F866" s="53"/>
      <c r="G866" s="54"/>
      <c r="H866" s="54"/>
      <c r="I866" s="7"/>
      <c r="J866" s="9"/>
      <c r="K866" s="21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2.75" customHeight="1" x14ac:dyDescent="0.25">
      <c r="A867" s="20"/>
      <c r="B867" s="20"/>
      <c r="C867" s="20"/>
      <c r="D867" s="14"/>
      <c r="E867" s="14"/>
      <c r="F867" s="53"/>
      <c r="G867" s="54"/>
      <c r="H867" s="54"/>
      <c r="I867" s="7"/>
      <c r="J867" s="9"/>
      <c r="K867" s="21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2.75" customHeight="1" x14ac:dyDescent="0.25">
      <c r="A868" s="20"/>
      <c r="B868" s="20"/>
      <c r="C868" s="20"/>
      <c r="D868" s="14"/>
      <c r="E868" s="14"/>
      <c r="F868" s="53"/>
      <c r="G868" s="54"/>
      <c r="H868" s="54"/>
      <c r="I868" s="7"/>
      <c r="J868" s="9"/>
      <c r="K868" s="21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2.75" customHeight="1" x14ac:dyDescent="0.25">
      <c r="A869" s="20"/>
      <c r="B869" s="20"/>
      <c r="C869" s="20"/>
      <c r="D869" s="14"/>
      <c r="E869" s="14"/>
      <c r="F869" s="53"/>
      <c r="G869" s="54"/>
      <c r="H869" s="54"/>
      <c r="I869" s="7"/>
      <c r="J869" s="9"/>
      <c r="K869" s="21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2.75" customHeight="1" x14ac:dyDescent="0.25">
      <c r="A870" s="20"/>
      <c r="B870" s="20"/>
      <c r="C870" s="20"/>
      <c r="D870" s="14"/>
      <c r="E870" s="14"/>
      <c r="F870" s="53"/>
      <c r="G870" s="54"/>
      <c r="H870" s="54"/>
      <c r="I870" s="7"/>
      <c r="J870" s="9"/>
      <c r="K870" s="21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2.75" customHeight="1" x14ac:dyDescent="0.25">
      <c r="A871" s="20"/>
      <c r="B871" s="20"/>
      <c r="C871" s="20"/>
      <c r="D871" s="14"/>
      <c r="E871" s="14"/>
      <c r="F871" s="53"/>
      <c r="G871" s="54"/>
      <c r="H871" s="54"/>
      <c r="I871" s="7"/>
      <c r="J871" s="9"/>
      <c r="K871" s="21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2.75" customHeight="1" x14ac:dyDescent="0.25">
      <c r="A872" s="20"/>
      <c r="B872" s="20"/>
      <c r="C872" s="20"/>
      <c r="D872" s="14"/>
      <c r="E872" s="14"/>
      <c r="F872" s="53"/>
      <c r="G872" s="54"/>
      <c r="H872" s="54"/>
      <c r="I872" s="7"/>
      <c r="J872" s="9"/>
      <c r="K872" s="21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2.75" customHeight="1" x14ac:dyDescent="0.25">
      <c r="A873" s="20"/>
      <c r="B873" s="20"/>
      <c r="C873" s="20"/>
      <c r="D873" s="14"/>
      <c r="E873" s="14"/>
      <c r="F873" s="53"/>
      <c r="G873" s="54"/>
      <c r="H873" s="54"/>
      <c r="I873" s="7"/>
      <c r="J873" s="9"/>
      <c r="K873" s="21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2.75" customHeight="1" x14ac:dyDescent="0.25">
      <c r="A874" s="20"/>
      <c r="B874" s="20"/>
      <c r="C874" s="20"/>
      <c r="D874" s="14"/>
      <c r="E874" s="14"/>
      <c r="F874" s="53"/>
      <c r="G874" s="54"/>
      <c r="H874" s="54"/>
      <c r="I874" s="7"/>
      <c r="J874" s="9"/>
      <c r="K874" s="21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2.75" customHeight="1" x14ac:dyDescent="0.25">
      <c r="A875" s="20"/>
      <c r="B875" s="20"/>
      <c r="C875" s="20"/>
      <c r="D875" s="14"/>
      <c r="E875" s="14"/>
      <c r="F875" s="53"/>
      <c r="G875" s="54"/>
      <c r="H875" s="54"/>
      <c r="I875" s="7"/>
      <c r="J875" s="9"/>
      <c r="K875" s="21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2.75" customHeight="1" x14ac:dyDescent="0.25">
      <c r="A876" s="20"/>
      <c r="B876" s="20"/>
      <c r="C876" s="20"/>
      <c r="D876" s="14"/>
      <c r="E876" s="14"/>
      <c r="F876" s="53"/>
      <c r="G876" s="54"/>
      <c r="H876" s="54"/>
      <c r="I876" s="7"/>
      <c r="J876" s="9"/>
      <c r="K876" s="21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2.75" customHeight="1" x14ac:dyDescent="0.25">
      <c r="A877" s="20"/>
      <c r="B877" s="20"/>
      <c r="C877" s="20"/>
      <c r="D877" s="14"/>
      <c r="E877" s="14"/>
      <c r="F877" s="53"/>
      <c r="G877" s="54"/>
      <c r="H877" s="54"/>
      <c r="I877" s="7"/>
      <c r="J877" s="9"/>
      <c r="K877" s="21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2.75" customHeight="1" x14ac:dyDescent="0.25">
      <c r="A878" s="20"/>
      <c r="B878" s="20"/>
      <c r="C878" s="20"/>
      <c r="D878" s="14"/>
      <c r="E878" s="14"/>
      <c r="F878" s="53"/>
      <c r="G878" s="54"/>
      <c r="H878" s="54"/>
      <c r="I878" s="7"/>
      <c r="J878" s="9"/>
      <c r="K878" s="21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2.75" customHeight="1" x14ac:dyDescent="0.25">
      <c r="A879" s="20"/>
      <c r="B879" s="20"/>
      <c r="C879" s="20"/>
      <c r="D879" s="14"/>
      <c r="E879" s="14"/>
      <c r="F879" s="53"/>
      <c r="G879" s="54"/>
      <c r="H879" s="54"/>
      <c r="I879" s="7"/>
      <c r="J879" s="9"/>
      <c r="K879" s="21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2.75" customHeight="1" x14ac:dyDescent="0.25">
      <c r="A880" s="20"/>
      <c r="B880" s="20"/>
      <c r="C880" s="20"/>
      <c r="D880" s="14"/>
      <c r="E880" s="14"/>
      <c r="F880" s="53"/>
      <c r="G880" s="54"/>
      <c r="H880" s="54"/>
      <c r="I880" s="7"/>
      <c r="J880" s="9"/>
      <c r="K880" s="21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2.75" customHeight="1" x14ac:dyDescent="0.25">
      <c r="A881" s="20"/>
      <c r="B881" s="20"/>
      <c r="C881" s="20"/>
      <c r="D881" s="14"/>
      <c r="E881" s="14"/>
      <c r="F881" s="53"/>
      <c r="G881" s="54"/>
      <c r="H881" s="54"/>
      <c r="I881" s="7"/>
      <c r="J881" s="9"/>
      <c r="K881" s="21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2.75" customHeight="1" x14ac:dyDescent="0.25">
      <c r="A882" s="20"/>
      <c r="B882" s="20"/>
      <c r="C882" s="20"/>
      <c r="D882" s="14"/>
      <c r="E882" s="14"/>
      <c r="F882" s="53"/>
      <c r="G882" s="54"/>
      <c r="H882" s="54"/>
      <c r="I882" s="7"/>
      <c r="J882" s="9"/>
      <c r="K882" s="21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2.75" customHeight="1" x14ac:dyDescent="0.25">
      <c r="A883" s="20"/>
      <c r="B883" s="20"/>
      <c r="C883" s="20"/>
      <c r="D883" s="14"/>
      <c r="E883" s="14"/>
      <c r="F883" s="53"/>
      <c r="G883" s="54"/>
      <c r="H883" s="54"/>
      <c r="I883" s="7"/>
      <c r="J883" s="9"/>
      <c r="K883" s="21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2.75" customHeight="1" x14ac:dyDescent="0.25">
      <c r="A884" s="20"/>
      <c r="B884" s="20"/>
      <c r="C884" s="20"/>
      <c r="D884" s="14"/>
      <c r="E884" s="14"/>
      <c r="F884" s="53"/>
      <c r="G884" s="54"/>
      <c r="H884" s="54"/>
      <c r="I884" s="7"/>
      <c r="J884" s="9"/>
      <c r="K884" s="21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2.75" customHeight="1" x14ac:dyDescent="0.25">
      <c r="A885" s="20"/>
      <c r="B885" s="20"/>
      <c r="C885" s="20"/>
      <c r="D885" s="14"/>
      <c r="E885" s="14"/>
      <c r="F885" s="53"/>
      <c r="G885" s="54"/>
      <c r="H885" s="54"/>
      <c r="I885" s="7"/>
      <c r="J885" s="9"/>
      <c r="K885" s="21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2.75" customHeight="1" x14ac:dyDescent="0.25">
      <c r="A886" s="20"/>
      <c r="B886" s="20"/>
      <c r="C886" s="20"/>
      <c r="D886" s="14"/>
      <c r="E886" s="14"/>
      <c r="F886" s="53"/>
      <c r="G886" s="54"/>
      <c r="H886" s="54"/>
      <c r="I886" s="7"/>
      <c r="J886" s="9"/>
      <c r="K886" s="21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2.75" customHeight="1" x14ac:dyDescent="0.25">
      <c r="A887" s="20"/>
      <c r="B887" s="20"/>
      <c r="C887" s="20"/>
      <c r="D887" s="14"/>
      <c r="E887" s="14"/>
      <c r="F887" s="53"/>
      <c r="G887" s="54"/>
      <c r="H887" s="54"/>
      <c r="I887" s="7"/>
      <c r="J887" s="9"/>
      <c r="K887" s="21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2.75" customHeight="1" x14ac:dyDescent="0.25">
      <c r="A888" s="20"/>
      <c r="B888" s="20"/>
      <c r="C888" s="20"/>
      <c r="D888" s="14"/>
      <c r="E888" s="14"/>
      <c r="F888" s="53"/>
      <c r="G888" s="54"/>
      <c r="H888" s="54"/>
      <c r="I888" s="7"/>
      <c r="J888" s="9"/>
      <c r="K888" s="21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2.75" customHeight="1" x14ac:dyDescent="0.25">
      <c r="A889" s="20"/>
      <c r="B889" s="20"/>
      <c r="C889" s="20"/>
      <c r="D889" s="14"/>
      <c r="E889" s="14"/>
      <c r="F889" s="53"/>
      <c r="G889" s="54"/>
      <c r="H889" s="54"/>
      <c r="I889" s="7"/>
      <c r="J889" s="9"/>
      <c r="K889" s="21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2.75" customHeight="1" x14ac:dyDescent="0.25">
      <c r="A890" s="20"/>
      <c r="B890" s="20"/>
      <c r="C890" s="20"/>
      <c r="D890" s="14"/>
      <c r="E890" s="14"/>
      <c r="F890" s="53"/>
      <c r="G890" s="54"/>
      <c r="H890" s="54"/>
      <c r="I890" s="7"/>
      <c r="J890" s="9"/>
      <c r="K890" s="21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2.75" customHeight="1" x14ac:dyDescent="0.25">
      <c r="A891" s="20"/>
      <c r="B891" s="20"/>
      <c r="C891" s="20"/>
      <c r="D891" s="14"/>
      <c r="E891" s="14"/>
      <c r="F891" s="53"/>
      <c r="G891" s="54"/>
      <c r="H891" s="54"/>
      <c r="I891" s="7"/>
      <c r="J891" s="9"/>
      <c r="K891" s="21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2.75" customHeight="1" x14ac:dyDescent="0.25">
      <c r="A892" s="20"/>
      <c r="B892" s="20"/>
      <c r="C892" s="20"/>
      <c r="D892" s="14"/>
      <c r="E892" s="14"/>
      <c r="F892" s="53"/>
      <c r="G892" s="54"/>
      <c r="H892" s="54"/>
      <c r="I892" s="7"/>
      <c r="J892" s="9"/>
      <c r="K892" s="21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2.75" customHeight="1" x14ac:dyDescent="0.25">
      <c r="A893" s="20"/>
      <c r="B893" s="20"/>
      <c r="C893" s="20"/>
      <c r="D893" s="14"/>
      <c r="E893" s="14"/>
      <c r="F893" s="53"/>
      <c r="G893" s="54"/>
      <c r="H893" s="54"/>
      <c r="I893" s="7"/>
      <c r="J893" s="9"/>
      <c r="K893" s="21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2.75" customHeight="1" x14ac:dyDescent="0.25">
      <c r="A894" s="20"/>
      <c r="B894" s="20"/>
      <c r="C894" s="20"/>
      <c r="D894" s="14"/>
      <c r="E894" s="14"/>
      <c r="F894" s="53"/>
      <c r="G894" s="54"/>
      <c r="H894" s="54"/>
      <c r="I894" s="7"/>
      <c r="J894" s="9"/>
      <c r="K894" s="21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2.75" customHeight="1" x14ac:dyDescent="0.25">
      <c r="A895" s="20"/>
      <c r="B895" s="20"/>
      <c r="C895" s="20"/>
      <c r="D895" s="14"/>
      <c r="E895" s="14"/>
      <c r="F895" s="53"/>
      <c r="G895" s="54"/>
      <c r="H895" s="54"/>
      <c r="I895" s="7"/>
      <c r="J895" s="9"/>
      <c r="K895" s="21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2.75" customHeight="1" x14ac:dyDescent="0.25">
      <c r="A896" s="20"/>
      <c r="B896" s="20"/>
      <c r="C896" s="20"/>
      <c r="D896" s="14"/>
      <c r="E896" s="14"/>
      <c r="F896" s="53"/>
      <c r="G896" s="54"/>
      <c r="H896" s="54"/>
      <c r="I896" s="7"/>
      <c r="J896" s="9"/>
      <c r="K896" s="21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2.75" customHeight="1" x14ac:dyDescent="0.25">
      <c r="A897" s="20"/>
      <c r="B897" s="20"/>
      <c r="C897" s="20"/>
      <c r="D897" s="14"/>
      <c r="E897" s="14"/>
      <c r="F897" s="53"/>
      <c r="G897" s="54"/>
      <c r="H897" s="54"/>
      <c r="I897" s="7"/>
      <c r="J897" s="9"/>
      <c r="K897" s="21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2.75" customHeight="1" x14ac:dyDescent="0.25">
      <c r="A898" s="20"/>
      <c r="B898" s="20"/>
      <c r="C898" s="20"/>
      <c r="D898" s="14"/>
      <c r="E898" s="14"/>
      <c r="F898" s="53"/>
      <c r="G898" s="54"/>
      <c r="H898" s="54"/>
      <c r="I898" s="7"/>
      <c r="J898" s="9"/>
      <c r="K898" s="21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2.75" customHeight="1" x14ac:dyDescent="0.25">
      <c r="A899" s="20"/>
      <c r="B899" s="20"/>
      <c r="C899" s="20"/>
      <c r="D899" s="14"/>
      <c r="E899" s="14"/>
      <c r="F899" s="53"/>
      <c r="G899" s="54"/>
      <c r="H899" s="54"/>
      <c r="I899" s="7"/>
      <c r="J899" s="9"/>
      <c r="K899" s="21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2.75" customHeight="1" x14ac:dyDescent="0.25">
      <c r="A900" s="20"/>
      <c r="B900" s="20"/>
      <c r="C900" s="20"/>
      <c r="D900" s="14"/>
      <c r="E900" s="14"/>
      <c r="F900" s="53"/>
      <c r="G900" s="54"/>
      <c r="H900" s="54"/>
      <c r="I900" s="7"/>
      <c r="J900" s="9"/>
      <c r="K900" s="21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2.75" customHeight="1" x14ac:dyDescent="0.25">
      <c r="A901" s="20"/>
      <c r="B901" s="20"/>
      <c r="C901" s="20"/>
      <c r="D901" s="14"/>
      <c r="E901" s="14"/>
      <c r="F901" s="53"/>
      <c r="G901" s="54"/>
      <c r="H901" s="54"/>
      <c r="I901" s="7"/>
      <c r="J901" s="9"/>
      <c r="K901" s="21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2.75" customHeight="1" x14ac:dyDescent="0.25">
      <c r="A902" s="20"/>
      <c r="B902" s="20"/>
      <c r="C902" s="20"/>
      <c r="D902" s="14"/>
      <c r="E902" s="14"/>
      <c r="F902" s="53"/>
      <c r="G902" s="54"/>
      <c r="H902" s="54"/>
      <c r="I902" s="7"/>
      <c r="J902" s="9"/>
      <c r="K902" s="21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2.75" customHeight="1" x14ac:dyDescent="0.25">
      <c r="A903" s="20"/>
      <c r="B903" s="20"/>
      <c r="C903" s="20"/>
      <c r="D903" s="14"/>
      <c r="E903" s="14"/>
      <c r="F903" s="53"/>
      <c r="G903" s="54"/>
      <c r="H903" s="54"/>
      <c r="I903" s="7"/>
      <c r="J903" s="9"/>
      <c r="K903" s="21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2.75" customHeight="1" x14ac:dyDescent="0.25">
      <c r="A904" s="20"/>
      <c r="B904" s="20"/>
      <c r="C904" s="20"/>
      <c r="D904" s="14"/>
      <c r="E904" s="14"/>
      <c r="F904" s="53"/>
      <c r="G904" s="54"/>
      <c r="H904" s="54"/>
      <c r="I904" s="7"/>
      <c r="J904" s="9"/>
      <c r="K904" s="21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2.75" customHeight="1" x14ac:dyDescent="0.25">
      <c r="A905" s="20"/>
      <c r="B905" s="20"/>
      <c r="C905" s="20"/>
      <c r="D905" s="14"/>
      <c r="E905" s="14"/>
      <c r="F905" s="53"/>
      <c r="G905" s="54"/>
      <c r="H905" s="54"/>
      <c r="I905" s="7"/>
      <c r="J905" s="9"/>
      <c r="K905" s="21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2.75" customHeight="1" x14ac:dyDescent="0.25">
      <c r="A906" s="20"/>
      <c r="B906" s="20"/>
      <c r="C906" s="20"/>
      <c r="D906" s="14"/>
      <c r="E906" s="14"/>
      <c r="F906" s="53"/>
      <c r="G906" s="54"/>
      <c r="H906" s="54"/>
      <c r="I906" s="7"/>
      <c r="J906" s="9"/>
      <c r="K906" s="21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2.75" customHeight="1" x14ac:dyDescent="0.25">
      <c r="A907" s="20"/>
      <c r="B907" s="20"/>
      <c r="C907" s="20"/>
      <c r="D907" s="14"/>
      <c r="E907" s="14"/>
      <c r="F907" s="53"/>
      <c r="G907" s="54"/>
      <c r="H907" s="54"/>
      <c r="I907" s="7"/>
      <c r="J907" s="9"/>
      <c r="K907" s="21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2.75" customHeight="1" x14ac:dyDescent="0.25">
      <c r="A908" s="20"/>
      <c r="B908" s="20"/>
      <c r="C908" s="20"/>
      <c r="D908" s="14"/>
      <c r="E908" s="14"/>
      <c r="F908" s="53"/>
      <c r="G908" s="54"/>
      <c r="H908" s="54"/>
      <c r="I908" s="7"/>
      <c r="J908" s="9"/>
      <c r="K908" s="21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2.75" customHeight="1" x14ac:dyDescent="0.25">
      <c r="A909" s="20"/>
      <c r="B909" s="20"/>
      <c r="C909" s="20"/>
      <c r="D909" s="14"/>
      <c r="E909" s="14"/>
      <c r="F909" s="53"/>
      <c r="G909" s="54"/>
      <c r="H909" s="54"/>
      <c r="I909" s="7"/>
      <c r="J909" s="9"/>
      <c r="K909" s="21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2.75" customHeight="1" x14ac:dyDescent="0.25">
      <c r="A910" s="20"/>
      <c r="B910" s="20"/>
      <c r="C910" s="20"/>
      <c r="D910" s="14"/>
      <c r="E910" s="14"/>
      <c r="F910" s="53"/>
      <c r="G910" s="54"/>
      <c r="H910" s="54"/>
      <c r="I910" s="7"/>
      <c r="J910" s="9"/>
      <c r="K910" s="21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2.75" customHeight="1" x14ac:dyDescent="0.25">
      <c r="A911" s="20"/>
      <c r="B911" s="20"/>
      <c r="C911" s="20"/>
      <c r="D911" s="14"/>
      <c r="E911" s="14"/>
      <c r="F911" s="53"/>
      <c r="G911" s="54"/>
      <c r="H911" s="54"/>
      <c r="I911" s="7"/>
      <c r="J911" s="9"/>
      <c r="K911" s="21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2.75" customHeight="1" x14ac:dyDescent="0.25">
      <c r="A912" s="20"/>
      <c r="B912" s="20"/>
      <c r="C912" s="20"/>
      <c r="D912" s="14"/>
      <c r="E912" s="14"/>
      <c r="F912" s="53"/>
      <c r="G912" s="54"/>
      <c r="H912" s="54"/>
      <c r="I912" s="7"/>
      <c r="J912" s="9"/>
      <c r="K912" s="21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2.75" customHeight="1" x14ac:dyDescent="0.25">
      <c r="A913" s="20"/>
      <c r="B913" s="20"/>
      <c r="C913" s="20"/>
      <c r="D913" s="14"/>
      <c r="E913" s="14"/>
      <c r="F913" s="53"/>
      <c r="G913" s="54"/>
      <c r="H913" s="54"/>
      <c r="I913" s="7"/>
      <c r="J913" s="9"/>
      <c r="K913" s="21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2.75" customHeight="1" x14ac:dyDescent="0.25">
      <c r="A914" s="20"/>
      <c r="B914" s="20"/>
      <c r="C914" s="20"/>
      <c r="D914" s="14"/>
      <c r="E914" s="14"/>
      <c r="F914" s="53"/>
      <c r="G914" s="54"/>
      <c r="H914" s="54"/>
      <c r="I914" s="7"/>
      <c r="J914" s="9"/>
      <c r="K914" s="21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2.75" customHeight="1" x14ac:dyDescent="0.25">
      <c r="A915" s="20"/>
      <c r="B915" s="20"/>
      <c r="C915" s="20"/>
      <c r="D915" s="14"/>
      <c r="E915" s="14"/>
      <c r="F915" s="53"/>
      <c r="G915" s="54"/>
      <c r="H915" s="54"/>
      <c r="I915" s="7"/>
      <c r="J915" s="9"/>
      <c r="K915" s="21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2.75" customHeight="1" x14ac:dyDescent="0.25">
      <c r="A916" s="20"/>
      <c r="B916" s="20"/>
      <c r="C916" s="20"/>
      <c r="D916" s="14"/>
      <c r="E916" s="14"/>
      <c r="F916" s="53"/>
      <c r="G916" s="54"/>
      <c r="H916" s="54"/>
      <c r="I916" s="7"/>
      <c r="J916" s="9"/>
      <c r="K916" s="21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2.75" customHeight="1" x14ac:dyDescent="0.25">
      <c r="A917" s="20"/>
      <c r="B917" s="20"/>
      <c r="C917" s="20"/>
      <c r="D917" s="14"/>
      <c r="E917" s="14"/>
      <c r="F917" s="53"/>
      <c r="G917" s="54"/>
      <c r="H917" s="54"/>
      <c r="I917" s="7"/>
      <c r="J917" s="9"/>
      <c r="K917" s="21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2.75" customHeight="1" x14ac:dyDescent="0.25">
      <c r="A918" s="20"/>
      <c r="B918" s="20"/>
      <c r="C918" s="20"/>
      <c r="D918" s="14"/>
      <c r="E918" s="14"/>
      <c r="F918" s="53"/>
      <c r="G918" s="54"/>
      <c r="H918" s="54"/>
      <c r="I918" s="7"/>
      <c r="J918" s="9"/>
      <c r="K918" s="21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2.75" customHeight="1" x14ac:dyDescent="0.25">
      <c r="A919" s="20"/>
      <c r="B919" s="20"/>
      <c r="C919" s="20"/>
      <c r="D919" s="14"/>
      <c r="E919" s="14"/>
      <c r="F919" s="53"/>
      <c r="G919" s="54"/>
      <c r="H919" s="54"/>
      <c r="I919" s="7"/>
      <c r="J919" s="9"/>
      <c r="K919" s="21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2.75" customHeight="1" x14ac:dyDescent="0.25">
      <c r="A920" s="20"/>
      <c r="B920" s="20"/>
      <c r="C920" s="20"/>
      <c r="D920" s="14"/>
      <c r="E920" s="14"/>
      <c r="F920" s="53"/>
      <c r="G920" s="54"/>
      <c r="H920" s="54"/>
      <c r="I920" s="7"/>
      <c r="J920" s="9"/>
      <c r="K920" s="21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2.75" customHeight="1" x14ac:dyDescent="0.25">
      <c r="A921" s="20"/>
      <c r="B921" s="20"/>
      <c r="C921" s="20"/>
      <c r="D921" s="14"/>
      <c r="E921" s="14"/>
      <c r="F921" s="53"/>
      <c r="G921" s="54"/>
      <c r="H921" s="54"/>
      <c r="I921" s="7"/>
      <c r="J921" s="9"/>
      <c r="K921" s="21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2.75" customHeight="1" x14ac:dyDescent="0.25">
      <c r="A922" s="20"/>
      <c r="B922" s="20"/>
      <c r="C922" s="20"/>
      <c r="D922" s="14"/>
      <c r="E922" s="14"/>
      <c r="F922" s="53"/>
      <c r="G922" s="54"/>
      <c r="H922" s="54"/>
      <c r="I922" s="7"/>
      <c r="J922" s="9"/>
      <c r="K922" s="21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2.75" customHeight="1" x14ac:dyDescent="0.25">
      <c r="A923" s="20"/>
      <c r="B923" s="20"/>
      <c r="C923" s="20"/>
      <c r="D923" s="14"/>
      <c r="E923" s="14"/>
      <c r="F923" s="53"/>
      <c r="G923" s="54"/>
      <c r="H923" s="54"/>
      <c r="I923" s="7"/>
      <c r="J923" s="9"/>
      <c r="K923" s="21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2.75" customHeight="1" x14ac:dyDescent="0.25">
      <c r="A924" s="20"/>
      <c r="B924" s="20"/>
      <c r="C924" s="20"/>
      <c r="D924" s="14"/>
      <c r="E924" s="14"/>
      <c r="F924" s="53"/>
      <c r="G924" s="54"/>
      <c r="H924" s="54"/>
      <c r="I924" s="7"/>
      <c r="J924" s="9"/>
      <c r="K924" s="21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2.75" customHeight="1" x14ac:dyDescent="0.25">
      <c r="A925" s="20"/>
      <c r="B925" s="20"/>
      <c r="C925" s="20"/>
      <c r="D925" s="14"/>
      <c r="E925" s="14"/>
      <c r="F925" s="53"/>
      <c r="G925" s="54"/>
      <c r="H925" s="54"/>
      <c r="I925" s="7"/>
      <c r="J925" s="9"/>
      <c r="K925" s="21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2.75" customHeight="1" x14ac:dyDescent="0.25">
      <c r="A926" s="20"/>
      <c r="B926" s="20"/>
      <c r="C926" s="20"/>
      <c r="D926" s="14"/>
      <c r="E926" s="14"/>
      <c r="F926" s="53"/>
      <c r="G926" s="54"/>
      <c r="H926" s="54"/>
      <c r="I926" s="7"/>
      <c r="J926" s="9"/>
      <c r="K926" s="21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2.75" customHeight="1" x14ac:dyDescent="0.25">
      <c r="A927" s="20"/>
      <c r="B927" s="20"/>
      <c r="C927" s="20"/>
      <c r="D927" s="14"/>
      <c r="E927" s="14"/>
      <c r="F927" s="53"/>
      <c r="G927" s="54"/>
      <c r="H927" s="54"/>
      <c r="I927" s="7"/>
      <c r="J927" s="9"/>
      <c r="K927" s="21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2.75" customHeight="1" x14ac:dyDescent="0.25">
      <c r="A928" s="20"/>
      <c r="B928" s="20"/>
      <c r="C928" s="20"/>
      <c r="D928" s="14"/>
      <c r="E928" s="14"/>
      <c r="F928" s="53"/>
      <c r="G928" s="54"/>
      <c r="H928" s="54"/>
      <c r="I928" s="7"/>
      <c r="J928" s="9"/>
      <c r="K928" s="21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2.75" customHeight="1" x14ac:dyDescent="0.25">
      <c r="A929" s="20"/>
      <c r="B929" s="20"/>
      <c r="C929" s="20"/>
      <c r="D929" s="14"/>
      <c r="E929" s="14"/>
      <c r="F929" s="53"/>
      <c r="G929" s="54"/>
      <c r="H929" s="54"/>
      <c r="I929" s="7"/>
      <c r="J929" s="9"/>
      <c r="K929" s="21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2.75" customHeight="1" x14ac:dyDescent="0.25">
      <c r="A930" s="20"/>
      <c r="B930" s="20"/>
      <c r="C930" s="20"/>
      <c r="D930" s="14"/>
      <c r="E930" s="14"/>
      <c r="F930" s="53"/>
      <c r="G930" s="54"/>
      <c r="H930" s="54"/>
      <c r="I930" s="7"/>
      <c r="J930" s="9"/>
      <c r="K930" s="21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2.75" customHeight="1" x14ac:dyDescent="0.25">
      <c r="A931" s="20"/>
      <c r="B931" s="20"/>
      <c r="C931" s="20"/>
      <c r="D931" s="14"/>
      <c r="E931" s="14"/>
      <c r="F931" s="53"/>
      <c r="G931" s="54"/>
      <c r="H931" s="54"/>
      <c r="I931" s="7"/>
      <c r="J931" s="9"/>
      <c r="K931" s="21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2.75" customHeight="1" x14ac:dyDescent="0.25">
      <c r="A932" s="20"/>
      <c r="B932" s="20"/>
      <c r="C932" s="20"/>
      <c r="D932" s="14"/>
      <c r="E932" s="14"/>
      <c r="F932" s="53"/>
      <c r="G932" s="54"/>
      <c r="H932" s="54"/>
      <c r="I932" s="7"/>
      <c r="J932" s="9"/>
      <c r="K932" s="21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2.75" customHeight="1" x14ac:dyDescent="0.25">
      <c r="A933" s="20"/>
      <c r="B933" s="20"/>
      <c r="C933" s="20"/>
      <c r="D933" s="14"/>
      <c r="E933" s="14"/>
      <c r="F933" s="53"/>
      <c r="G933" s="54"/>
      <c r="H933" s="54"/>
      <c r="I933" s="7"/>
      <c r="J933" s="9"/>
      <c r="K933" s="21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2.75" customHeight="1" x14ac:dyDescent="0.25">
      <c r="A934" s="20"/>
      <c r="B934" s="20"/>
      <c r="C934" s="20"/>
      <c r="D934" s="14"/>
      <c r="E934" s="14"/>
      <c r="F934" s="53"/>
      <c r="G934" s="54"/>
      <c r="H934" s="54"/>
      <c r="I934" s="7"/>
      <c r="J934" s="9"/>
      <c r="K934" s="21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2.75" customHeight="1" x14ac:dyDescent="0.25">
      <c r="A935" s="20"/>
      <c r="B935" s="20"/>
      <c r="C935" s="20"/>
      <c r="D935" s="14"/>
      <c r="E935" s="14"/>
      <c r="F935" s="53"/>
      <c r="G935" s="54"/>
      <c r="H935" s="54"/>
      <c r="I935" s="7"/>
      <c r="J935" s="9"/>
      <c r="K935" s="21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2.75" customHeight="1" x14ac:dyDescent="0.25">
      <c r="A936" s="20"/>
      <c r="B936" s="20"/>
      <c r="C936" s="20"/>
      <c r="D936" s="14"/>
      <c r="E936" s="14"/>
      <c r="F936" s="53"/>
      <c r="G936" s="54"/>
      <c r="H936" s="54"/>
      <c r="I936" s="7"/>
      <c r="J936" s="9"/>
      <c r="K936" s="21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2.75" customHeight="1" x14ac:dyDescent="0.25">
      <c r="A937" s="20"/>
      <c r="B937" s="20"/>
      <c r="C937" s="20"/>
      <c r="D937" s="14"/>
      <c r="E937" s="14"/>
      <c r="F937" s="53"/>
      <c r="G937" s="54"/>
      <c r="H937" s="54"/>
      <c r="I937" s="7"/>
      <c r="J937" s="9"/>
      <c r="K937" s="21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2.75" customHeight="1" x14ac:dyDescent="0.25">
      <c r="A938" s="20"/>
      <c r="B938" s="20"/>
      <c r="C938" s="20"/>
      <c r="D938" s="14"/>
      <c r="E938" s="14"/>
      <c r="F938" s="53"/>
      <c r="G938" s="54"/>
      <c r="H938" s="54"/>
      <c r="I938" s="7"/>
      <c r="J938" s="9"/>
      <c r="K938" s="21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2.75" customHeight="1" x14ac:dyDescent="0.25">
      <c r="A939" s="20"/>
      <c r="B939" s="20"/>
      <c r="C939" s="20"/>
      <c r="D939" s="14"/>
      <c r="E939" s="14"/>
      <c r="F939" s="53"/>
      <c r="G939" s="54"/>
      <c r="H939" s="54"/>
      <c r="I939" s="7"/>
      <c r="J939" s="9"/>
      <c r="K939" s="21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2.75" customHeight="1" x14ac:dyDescent="0.25">
      <c r="A940" s="20"/>
      <c r="B940" s="20"/>
      <c r="C940" s="20"/>
      <c r="D940" s="14"/>
      <c r="E940" s="14"/>
      <c r="F940" s="53"/>
      <c r="G940" s="54"/>
      <c r="H940" s="54"/>
      <c r="I940" s="7"/>
      <c r="J940" s="9"/>
      <c r="K940" s="21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2.75" customHeight="1" x14ac:dyDescent="0.25">
      <c r="A941" s="20"/>
      <c r="B941" s="20"/>
      <c r="C941" s="20"/>
      <c r="D941" s="14"/>
      <c r="E941" s="14"/>
      <c r="F941" s="53"/>
      <c r="G941" s="54"/>
      <c r="H941" s="54"/>
      <c r="I941" s="7"/>
      <c r="J941" s="9"/>
      <c r="K941" s="21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2.75" customHeight="1" x14ac:dyDescent="0.25">
      <c r="A942" s="20"/>
      <c r="B942" s="20"/>
      <c r="C942" s="20"/>
      <c r="D942" s="14"/>
      <c r="E942" s="14"/>
      <c r="F942" s="53"/>
      <c r="G942" s="54"/>
      <c r="H942" s="54"/>
      <c r="I942" s="7"/>
      <c r="J942" s="9"/>
      <c r="K942" s="21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2.75" customHeight="1" x14ac:dyDescent="0.25">
      <c r="A943" s="20"/>
      <c r="B943" s="20"/>
      <c r="C943" s="20"/>
      <c r="D943" s="14"/>
      <c r="E943" s="14"/>
      <c r="F943" s="53"/>
      <c r="G943" s="54"/>
      <c r="H943" s="54"/>
      <c r="I943" s="7"/>
      <c r="J943" s="9"/>
      <c r="K943" s="21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2.75" customHeight="1" x14ac:dyDescent="0.25">
      <c r="A944" s="20"/>
      <c r="B944" s="20"/>
      <c r="C944" s="20"/>
      <c r="D944" s="14"/>
      <c r="E944" s="14"/>
      <c r="F944" s="53"/>
      <c r="G944" s="54"/>
      <c r="H944" s="54"/>
      <c r="I944" s="7"/>
      <c r="J944" s="9"/>
      <c r="K944" s="21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2.75" customHeight="1" x14ac:dyDescent="0.25">
      <c r="A945" s="20"/>
      <c r="B945" s="20"/>
      <c r="C945" s="20"/>
      <c r="D945" s="14"/>
      <c r="E945" s="14"/>
      <c r="F945" s="53"/>
      <c r="G945" s="54"/>
      <c r="H945" s="54"/>
      <c r="I945" s="7"/>
      <c r="J945" s="9"/>
      <c r="K945" s="21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2.75" customHeight="1" x14ac:dyDescent="0.25">
      <c r="A946" s="20"/>
      <c r="B946" s="20"/>
      <c r="C946" s="20"/>
      <c r="D946" s="14"/>
      <c r="E946" s="14"/>
      <c r="F946" s="53"/>
      <c r="G946" s="54"/>
      <c r="H946" s="54"/>
      <c r="I946" s="7"/>
      <c r="J946" s="9"/>
      <c r="K946" s="21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2.75" customHeight="1" x14ac:dyDescent="0.25">
      <c r="A947" s="20"/>
      <c r="B947" s="20"/>
      <c r="C947" s="20"/>
      <c r="D947" s="14"/>
      <c r="E947" s="14"/>
      <c r="F947" s="53"/>
      <c r="G947" s="54"/>
      <c r="H947" s="54"/>
      <c r="I947" s="7"/>
      <c r="J947" s="9"/>
      <c r="K947" s="21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2.75" customHeight="1" x14ac:dyDescent="0.25">
      <c r="A948" s="20"/>
      <c r="B948" s="20"/>
      <c r="C948" s="20"/>
      <c r="D948" s="14"/>
      <c r="E948" s="14"/>
      <c r="F948" s="53"/>
      <c r="G948" s="54"/>
      <c r="H948" s="54"/>
      <c r="I948" s="7"/>
      <c r="J948" s="9"/>
      <c r="K948" s="21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2.75" customHeight="1" x14ac:dyDescent="0.25">
      <c r="A949" s="20"/>
      <c r="B949" s="20"/>
      <c r="C949" s="20"/>
      <c r="D949" s="14"/>
      <c r="E949" s="14"/>
      <c r="F949" s="53"/>
      <c r="G949" s="54"/>
      <c r="H949" s="54"/>
      <c r="I949" s="7"/>
      <c r="J949" s="9"/>
      <c r="K949" s="21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2.75" customHeight="1" x14ac:dyDescent="0.25">
      <c r="A950" s="20"/>
      <c r="B950" s="20"/>
      <c r="C950" s="20"/>
      <c r="D950" s="14"/>
      <c r="E950" s="14"/>
      <c r="F950" s="53"/>
      <c r="G950" s="54"/>
      <c r="H950" s="54"/>
      <c r="I950" s="7"/>
      <c r="J950" s="9"/>
      <c r="K950" s="21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2.75" customHeight="1" x14ac:dyDescent="0.25">
      <c r="A951" s="20"/>
      <c r="B951" s="20"/>
      <c r="C951" s="20"/>
      <c r="D951" s="14"/>
      <c r="E951" s="14"/>
      <c r="F951" s="53"/>
      <c r="G951" s="54"/>
      <c r="H951" s="54"/>
      <c r="I951" s="7"/>
      <c r="J951" s="9"/>
      <c r="K951" s="21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2.75" customHeight="1" x14ac:dyDescent="0.25">
      <c r="A952" s="20"/>
      <c r="B952" s="20"/>
      <c r="C952" s="20"/>
      <c r="D952" s="14"/>
      <c r="E952" s="14"/>
      <c r="F952" s="53"/>
      <c r="G952" s="54"/>
      <c r="H952" s="54"/>
      <c r="I952" s="7"/>
      <c r="J952" s="9"/>
      <c r="K952" s="21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2.75" customHeight="1" x14ac:dyDescent="0.25">
      <c r="A953" s="20"/>
      <c r="B953" s="20"/>
      <c r="C953" s="20"/>
      <c r="D953" s="14"/>
      <c r="E953" s="14"/>
      <c r="F953" s="53"/>
      <c r="G953" s="54"/>
      <c r="H953" s="54"/>
      <c r="I953" s="7"/>
      <c r="J953" s="9"/>
      <c r="K953" s="21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2.75" customHeight="1" x14ac:dyDescent="0.25">
      <c r="A954" s="20"/>
      <c r="B954" s="20"/>
      <c r="C954" s="20"/>
      <c r="D954" s="14"/>
      <c r="E954" s="14"/>
      <c r="F954" s="53"/>
      <c r="G954" s="54"/>
      <c r="H954" s="54"/>
      <c r="I954" s="7"/>
      <c r="J954" s="9"/>
      <c r="K954" s="21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2.75" customHeight="1" x14ac:dyDescent="0.25">
      <c r="A955" s="20"/>
      <c r="B955" s="20"/>
      <c r="C955" s="20"/>
      <c r="D955" s="14"/>
      <c r="E955" s="14"/>
      <c r="F955" s="53"/>
      <c r="G955" s="54"/>
      <c r="H955" s="54"/>
      <c r="I955" s="7"/>
      <c r="J955" s="9"/>
      <c r="K955" s="21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2.75" customHeight="1" x14ac:dyDescent="0.25">
      <c r="A956" s="20"/>
      <c r="B956" s="20"/>
      <c r="C956" s="20"/>
      <c r="D956" s="14"/>
      <c r="E956" s="14"/>
      <c r="F956" s="53"/>
      <c r="G956" s="54"/>
      <c r="H956" s="54"/>
      <c r="I956" s="7"/>
      <c r="J956" s="9"/>
      <c r="K956" s="21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2.75" customHeight="1" x14ac:dyDescent="0.25">
      <c r="A957" s="20"/>
      <c r="B957" s="20"/>
      <c r="C957" s="20"/>
      <c r="D957" s="14"/>
      <c r="E957" s="14"/>
      <c r="F957" s="53"/>
      <c r="G957" s="54"/>
      <c r="H957" s="54"/>
      <c r="I957" s="7"/>
      <c r="J957" s="9"/>
      <c r="K957" s="21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2.75" customHeight="1" x14ac:dyDescent="0.25">
      <c r="A958" s="20"/>
      <c r="B958" s="20"/>
      <c r="C958" s="20"/>
      <c r="D958" s="14"/>
      <c r="E958" s="14"/>
      <c r="F958" s="53"/>
      <c r="G958" s="54"/>
      <c r="H958" s="54"/>
      <c r="I958" s="7"/>
      <c r="J958" s="9"/>
      <c r="K958" s="21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2.75" customHeight="1" x14ac:dyDescent="0.25">
      <c r="A959" s="20"/>
      <c r="B959" s="20"/>
      <c r="C959" s="20"/>
      <c r="D959" s="14"/>
      <c r="E959" s="14"/>
      <c r="F959" s="53"/>
      <c r="G959" s="54"/>
      <c r="H959" s="54"/>
      <c r="I959" s="7"/>
      <c r="J959" s="9"/>
      <c r="K959" s="21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2.75" customHeight="1" x14ac:dyDescent="0.25">
      <c r="A960" s="20"/>
      <c r="B960" s="20"/>
      <c r="C960" s="20"/>
      <c r="D960" s="14"/>
      <c r="E960" s="14"/>
      <c r="F960" s="53"/>
      <c r="G960" s="54"/>
      <c r="H960" s="54"/>
      <c r="I960" s="7"/>
      <c r="J960" s="9"/>
      <c r="K960" s="21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2.75" customHeight="1" x14ac:dyDescent="0.25">
      <c r="A961" s="20"/>
      <c r="B961" s="20"/>
      <c r="C961" s="20"/>
      <c r="D961" s="14"/>
      <c r="E961" s="14"/>
      <c r="F961" s="53"/>
      <c r="G961" s="54"/>
      <c r="H961" s="54"/>
      <c r="I961" s="7"/>
      <c r="J961" s="9"/>
      <c r="K961" s="21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2.75" customHeight="1" x14ac:dyDescent="0.25">
      <c r="A962" s="20"/>
      <c r="B962" s="20"/>
      <c r="C962" s="20"/>
      <c r="D962" s="14"/>
      <c r="E962" s="14"/>
      <c r="F962" s="53"/>
      <c r="G962" s="54"/>
      <c r="H962" s="54"/>
      <c r="I962" s="7"/>
      <c r="J962" s="9"/>
      <c r="K962" s="21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2.75" customHeight="1" x14ac:dyDescent="0.25">
      <c r="A963" s="20"/>
      <c r="B963" s="20"/>
      <c r="C963" s="20"/>
      <c r="D963" s="14"/>
      <c r="E963" s="14"/>
      <c r="F963" s="53"/>
      <c r="G963" s="54"/>
      <c r="H963" s="54"/>
      <c r="I963" s="7"/>
      <c r="J963" s="9"/>
      <c r="K963" s="21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2.75" customHeight="1" x14ac:dyDescent="0.25">
      <c r="A964" s="20"/>
      <c r="B964" s="20"/>
      <c r="C964" s="20"/>
      <c r="D964" s="14"/>
      <c r="E964" s="14"/>
      <c r="F964" s="53"/>
      <c r="G964" s="54"/>
      <c r="H964" s="54"/>
      <c r="I964" s="7"/>
      <c r="J964" s="9"/>
      <c r="K964" s="21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2.75" customHeight="1" x14ac:dyDescent="0.25">
      <c r="A965" s="20"/>
      <c r="B965" s="20"/>
      <c r="C965" s="20"/>
      <c r="D965" s="14"/>
      <c r="E965" s="14"/>
      <c r="F965" s="53"/>
      <c r="G965" s="54"/>
      <c r="H965" s="54"/>
      <c r="I965" s="7"/>
      <c r="J965" s="9"/>
      <c r="K965" s="21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2.75" customHeight="1" x14ac:dyDescent="0.25">
      <c r="A966" s="20"/>
      <c r="B966" s="20"/>
      <c r="C966" s="20"/>
      <c r="D966" s="14"/>
      <c r="E966" s="14"/>
      <c r="F966" s="53"/>
      <c r="G966" s="54"/>
      <c r="H966" s="54"/>
      <c r="I966" s="7"/>
      <c r="J966" s="9"/>
      <c r="K966" s="21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2.75" customHeight="1" x14ac:dyDescent="0.25">
      <c r="A967" s="20"/>
      <c r="B967" s="20"/>
      <c r="C967" s="20"/>
      <c r="D967" s="14"/>
      <c r="E967" s="14"/>
      <c r="F967" s="53"/>
      <c r="G967" s="54"/>
      <c r="H967" s="54"/>
      <c r="I967" s="7"/>
      <c r="J967" s="9"/>
      <c r="K967" s="21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2.75" customHeight="1" x14ac:dyDescent="0.25">
      <c r="A968" s="20"/>
      <c r="B968" s="20"/>
      <c r="C968" s="20"/>
      <c r="D968" s="14"/>
      <c r="E968" s="14"/>
      <c r="F968" s="53"/>
      <c r="G968" s="54"/>
      <c r="H968" s="54"/>
      <c r="I968" s="7"/>
      <c r="J968" s="9"/>
      <c r="K968" s="21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2.75" customHeight="1" x14ac:dyDescent="0.25">
      <c r="A969" s="20"/>
      <c r="B969" s="20"/>
      <c r="C969" s="20"/>
      <c r="D969" s="14"/>
      <c r="E969" s="14"/>
      <c r="F969" s="53"/>
      <c r="G969" s="54"/>
      <c r="H969" s="54"/>
      <c r="I969" s="7"/>
      <c r="J969" s="9"/>
      <c r="K969" s="21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2.75" customHeight="1" x14ac:dyDescent="0.25">
      <c r="A970" s="20"/>
      <c r="B970" s="20"/>
      <c r="C970" s="20"/>
      <c r="D970" s="14"/>
      <c r="E970" s="14"/>
      <c r="F970" s="53"/>
      <c r="G970" s="54"/>
      <c r="H970" s="54"/>
      <c r="I970" s="7"/>
      <c r="J970" s="9"/>
      <c r="K970" s="21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2.75" customHeight="1" x14ac:dyDescent="0.25">
      <c r="A971" s="20"/>
      <c r="B971" s="20"/>
      <c r="C971" s="20"/>
      <c r="D971" s="14"/>
      <c r="E971" s="14"/>
      <c r="F971" s="53"/>
      <c r="G971" s="54"/>
      <c r="H971" s="54"/>
      <c r="I971" s="7"/>
      <c r="J971" s="9"/>
      <c r="K971" s="21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2.75" customHeight="1" x14ac:dyDescent="0.25">
      <c r="A972" s="20"/>
      <c r="B972" s="20"/>
      <c r="C972" s="20"/>
      <c r="D972" s="14"/>
      <c r="E972" s="14"/>
      <c r="F972" s="53"/>
      <c r="G972" s="54"/>
      <c r="H972" s="54"/>
      <c r="I972" s="7"/>
      <c r="J972" s="9"/>
      <c r="K972" s="21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2.75" customHeight="1" x14ac:dyDescent="0.25">
      <c r="A973" s="20"/>
      <c r="B973" s="20"/>
      <c r="C973" s="20"/>
      <c r="D973" s="14"/>
      <c r="E973" s="14"/>
      <c r="F973" s="53"/>
      <c r="G973" s="54"/>
      <c r="H973" s="54"/>
      <c r="I973" s="7"/>
      <c r="J973" s="9"/>
      <c r="K973" s="21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2.75" customHeight="1" x14ac:dyDescent="0.25">
      <c r="A974" s="20"/>
      <c r="B974" s="20"/>
      <c r="C974" s="20"/>
      <c r="D974" s="14"/>
      <c r="E974" s="14"/>
      <c r="F974" s="53"/>
      <c r="G974" s="54"/>
      <c r="H974" s="54"/>
      <c r="I974" s="7"/>
      <c r="J974" s="9"/>
      <c r="K974" s="21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2.75" customHeight="1" x14ac:dyDescent="0.25">
      <c r="A975" s="20"/>
      <c r="B975" s="20"/>
      <c r="C975" s="20"/>
      <c r="D975" s="14"/>
      <c r="E975" s="14"/>
      <c r="F975" s="53"/>
      <c r="G975" s="54"/>
      <c r="H975" s="54"/>
      <c r="I975" s="7"/>
      <c r="J975" s="9"/>
      <c r="K975" s="21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2.75" customHeight="1" x14ac:dyDescent="0.25">
      <c r="A976" s="20"/>
      <c r="B976" s="20"/>
      <c r="C976" s="20"/>
      <c r="D976" s="14"/>
      <c r="E976" s="14"/>
      <c r="F976" s="53"/>
      <c r="G976" s="54"/>
      <c r="H976" s="54"/>
      <c r="I976" s="7"/>
      <c r="J976" s="9"/>
      <c r="K976" s="21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2.75" customHeight="1" x14ac:dyDescent="0.25">
      <c r="A977" s="20"/>
      <c r="B977" s="20"/>
      <c r="C977" s="20"/>
      <c r="D977" s="14"/>
      <c r="E977" s="14"/>
      <c r="F977" s="53"/>
      <c r="G977" s="54"/>
      <c r="H977" s="54"/>
      <c r="I977" s="7"/>
      <c r="J977" s="9"/>
      <c r="K977" s="21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2.75" customHeight="1" x14ac:dyDescent="0.25">
      <c r="A978" s="20"/>
      <c r="B978" s="20"/>
      <c r="C978" s="20"/>
      <c r="D978" s="14"/>
      <c r="E978" s="14"/>
      <c r="F978" s="53"/>
      <c r="G978" s="54"/>
      <c r="H978" s="54"/>
      <c r="I978" s="7"/>
      <c r="J978" s="9"/>
      <c r="K978" s="21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2.75" customHeight="1" x14ac:dyDescent="0.25">
      <c r="A979" s="20"/>
      <c r="B979" s="20"/>
      <c r="C979" s="20"/>
      <c r="D979" s="14"/>
      <c r="E979" s="14"/>
      <c r="F979" s="53"/>
      <c r="G979" s="54"/>
      <c r="H979" s="54"/>
      <c r="I979" s="7"/>
      <c r="J979" s="9"/>
      <c r="K979" s="21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2.75" customHeight="1" x14ac:dyDescent="0.25">
      <c r="A980" s="20"/>
      <c r="B980" s="20"/>
      <c r="C980" s="20"/>
      <c r="D980" s="14"/>
      <c r="E980" s="14"/>
      <c r="F980" s="53"/>
      <c r="G980" s="54"/>
      <c r="H980" s="54"/>
      <c r="I980" s="7"/>
      <c r="J980" s="9"/>
      <c r="K980" s="21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2.75" customHeight="1" x14ac:dyDescent="0.25">
      <c r="A981" s="20"/>
      <c r="B981" s="20"/>
      <c r="C981" s="20"/>
      <c r="D981" s="14"/>
      <c r="E981" s="14"/>
      <c r="F981" s="53"/>
      <c r="G981" s="54"/>
      <c r="H981" s="54"/>
      <c r="I981" s="7"/>
      <c r="J981" s="9"/>
      <c r="K981" s="21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2.75" customHeight="1" x14ac:dyDescent="0.25">
      <c r="A982" s="20"/>
      <c r="B982" s="20"/>
      <c r="C982" s="20"/>
      <c r="D982" s="14"/>
      <c r="E982" s="14"/>
      <c r="F982" s="53"/>
      <c r="G982" s="54"/>
      <c r="H982" s="54"/>
      <c r="I982" s="7"/>
      <c r="J982" s="9"/>
      <c r="K982" s="21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2.75" customHeight="1" x14ac:dyDescent="0.25">
      <c r="A983" s="20"/>
      <c r="B983" s="20"/>
      <c r="C983" s="20"/>
      <c r="D983" s="14"/>
      <c r="E983" s="14"/>
      <c r="F983" s="53"/>
      <c r="G983" s="54"/>
      <c r="H983" s="54"/>
      <c r="I983" s="7"/>
      <c r="J983" s="9"/>
      <c r="K983" s="21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2.75" customHeight="1" x14ac:dyDescent="0.25">
      <c r="A984" s="20"/>
      <c r="B984" s="20"/>
      <c r="C984" s="20"/>
      <c r="D984" s="14"/>
      <c r="E984" s="14"/>
      <c r="F984" s="53"/>
      <c r="G984" s="54"/>
      <c r="H984" s="54"/>
      <c r="I984" s="7"/>
      <c r="J984" s="9"/>
      <c r="K984" s="21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2.75" customHeight="1" x14ac:dyDescent="0.25">
      <c r="A985" s="20"/>
      <c r="B985" s="20"/>
      <c r="C985" s="20"/>
      <c r="D985" s="14"/>
      <c r="E985" s="14"/>
      <c r="F985" s="53"/>
      <c r="G985" s="54"/>
      <c r="H985" s="54"/>
      <c r="I985" s="7"/>
      <c r="J985" s="9"/>
      <c r="K985" s="21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2.75" customHeight="1" x14ac:dyDescent="0.25">
      <c r="A986" s="20"/>
      <c r="B986" s="20"/>
      <c r="C986" s="20"/>
      <c r="D986" s="14"/>
      <c r="E986" s="14"/>
      <c r="F986" s="53"/>
      <c r="G986" s="54"/>
      <c r="H986" s="54"/>
      <c r="I986" s="7"/>
      <c r="J986" s="9"/>
      <c r="K986" s="21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2.75" customHeight="1" x14ac:dyDescent="0.25">
      <c r="A987" s="20"/>
      <c r="B987" s="20"/>
      <c r="C987" s="20"/>
      <c r="D987" s="14"/>
      <c r="E987" s="14"/>
      <c r="F987" s="53"/>
      <c r="G987" s="54"/>
      <c r="H987" s="54"/>
      <c r="I987" s="7"/>
      <c r="J987" s="9"/>
      <c r="K987" s="21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2.75" customHeight="1" x14ac:dyDescent="0.25">
      <c r="A988" s="20"/>
      <c r="B988" s="20"/>
      <c r="C988" s="20"/>
      <c r="D988" s="14"/>
      <c r="E988" s="14"/>
      <c r="F988" s="53"/>
      <c r="G988" s="54"/>
      <c r="H988" s="54"/>
      <c r="I988" s="7"/>
      <c r="J988" s="9"/>
      <c r="K988" s="21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2.75" customHeight="1" x14ac:dyDescent="0.25">
      <c r="A989" s="20"/>
      <c r="B989" s="20"/>
      <c r="C989" s="20"/>
      <c r="D989" s="14"/>
      <c r="E989" s="14"/>
      <c r="F989" s="53"/>
      <c r="G989" s="54"/>
      <c r="H989" s="54"/>
      <c r="I989" s="7"/>
      <c r="J989" s="9"/>
      <c r="K989" s="21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2.75" customHeight="1" x14ac:dyDescent="0.25">
      <c r="A990" s="20"/>
      <c r="B990" s="20"/>
      <c r="C990" s="20"/>
      <c r="D990" s="14"/>
      <c r="E990" s="14"/>
      <c r="F990" s="53"/>
      <c r="G990" s="54"/>
      <c r="H990" s="54"/>
      <c r="I990" s="7"/>
      <c r="J990" s="9"/>
      <c r="K990" s="21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2.75" customHeight="1" x14ac:dyDescent="0.25">
      <c r="A991" s="20"/>
      <c r="B991" s="20"/>
      <c r="C991" s="20"/>
      <c r="D991" s="14"/>
      <c r="E991" s="14"/>
      <c r="F991" s="53"/>
      <c r="G991" s="54"/>
      <c r="H991" s="54"/>
      <c r="I991" s="7"/>
      <c r="J991" s="9"/>
      <c r="K991" s="21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2.75" customHeight="1" x14ac:dyDescent="0.25">
      <c r="A992" s="20"/>
      <c r="B992" s="20"/>
      <c r="C992" s="20"/>
      <c r="D992" s="14"/>
      <c r="E992" s="14"/>
      <c r="F992" s="66"/>
      <c r="G992" s="21"/>
      <c r="H992" s="21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</sheetData>
  <conditionalFormatting sqref="J1:J2 I5:I38 J5:J39 I42:J50 I52:J64 I69:J73">
    <cfRule type="cellIs" dxfId="17" priority="1" operator="equal">
      <formula>0</formula>
    </cfRule>
  </conditionalFormatting>
  <conditionalFormatting sqref="J5:K39 J42:K50 J52:K64 J69:K73 K1:K2">
    <cfRule type="cellIs" dxfId="16" priority="2" operator="equal">
      <formula>0</formula>
    </cfRule>
  </conditionalFormatting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" customHeight="1" x14ac:dyDescent="0.25"/>
  <cols>
    <col min="1" max="1" width="8.77734375" customWidth="1"/>
    <col min="2" max="2" width="31.88671875" customWidth="1"/>
    <col min="3" max="6" width="11.44140625" customWidth="1"/>
    <col min="7" max="7" width="18.88671875" customWidth="1"/>
    <col min="8" max="8" width="11.44140625" customWidth="1"/>
    <col min="9" max="9" width="14.88671875" customWidth="1"/>
    <col min="10" max="27" width="11.44140625" customWidth="1"/>
  </cols>
  <sheetData>
    <row r="1" spans="1:27" ht="12.75" customHeight="1" x14ac:dyDescent="0.25">
      <c r="A1" s="61" t="s">
        <v>13</v>
      </c>
      <c r="B1" s="57" t="s">
        <v>14</v>
      </c>
      <c r="C1" s="57" t="s">
        <v>15</v>
      </c>
      <c r="D1" s="57" t="s">
        <v>16</v>
      </c>
      <c r="E1" s="57" t="s">
        <v>17</v>
      </c>
      <c r="F1" s="7" t="s">
        <v>19</v>
      </c>
      <c r="G1" s="7" t="s">
        <v>20</v>
      </c>
      <c r="H1" s="7" t="s">
        <v>21</v>
      </c>
      <c r="I1" s="8" t="s">
        <v>22</v>
      </c>
      <c r="J1" s="9" t="s">
        <v>23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spans="1:27" ht="12.75" customHeight="1" x14ac:dyDescent="0.25">
      <c r="A2" s="61"/>
      <c r="B2" s="57"/>
      <c r="C2" s="57"/>
      <c r="D2" s="57"/>
      <c r="E2" s="17"/>
      <c r="F2" s="12"/>
      <c r="G2" s="12"/>
      <c r="H2" s="12"/>
      <c r="I2" s="13"/>
      <c r="J2" s="47">
        <f>SUM(J3:J105)</f>
        <v>115.00999999999999</v>
      </c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spans="1:27" ht="12.75" customHeight="1" x14ac:dyDescent="0.25">
      <c r="A3" s="20"/>
      <c r="B3" s="20"/>
      <c r="C3" s="14"/>
      <c r="D3" s="14"/>
      <c r="E3" s="5"/>
      <c r="F3" s="50"/>
      <c r="G3" s="50"/>
      <c r="H3" s="7"/>
      <c r="I3" s="9"/>
      <c r="J3" s="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2.75" customHeight="1" x14ac:dyDescent="0.3">
      <c r="A4" s="51"/>
      <c r="B4" s="62" t="s">
        <v>477</v>
      </c>
      <c r="C4" s="14"/>
      <c r="D4" s="14"/>
      <c r="E4" s="5"/>
      <c r="F4" s="64"/>
      <c r="G4" s="64"/>
      <c r="H4" s="64"/>
      <c r="I4" s="2"/>
      <c r="J4" s="2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 customHeight="1" x14ac:dyDescent="0.3">
      <c r="A5" s="51"/>
      <c r="B5" s="62"/>
      <c r="C5" s="14"/>
      <c r="D5" s="14"/>
      <c r="E5" s="5"/>
      <c r="F5" s="7"/>
      <c r="G5" s="7"/>
      <c r="H5" s="7"/>
      <c r="J5" s="8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2.75" customHeight="1" x14ac:dyDescent="0.25">
      <c r="A6" s="65">
        <v>40</v>
      </c>
      <c r="B6" s="4" t="s">
        <v>478</v>
      </c>
      <c r="C6" s="9">
        <v>1.27</v>
      </c>
      <c r="D6" s="9">
        <v>2.5</v>
      </c>
      <c r="E6" s="9">
        <v>2.5</v>
      </c>
      <c r="F6" s="7"/>
      <c r="G6" s="7">
        <v>19</v>
      </c>
      <c r="H6" s="7"/>
      <c r="I6" s="8">
        <f t="shared" ref="I6:I33" si="0">SUM(F6:H6)</f>
        <v>19</v>
      </c>
      <c r="J6" s="9">
        <f t="shared" ref="J6:J33" si="1">SUM(C6*I6)</f>
        <v>24.13</v>
      </c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27" ht="12.75" customHeight="1" x14ac:dyDescent="0.25">
      <c r="A7" s="51">
        <v>50</v>
      </c>
      <c r="B7" s="14" t="s">
        <v>263</v>
      </c>
      <c r="C7" s="9">
        <v>1.44</v>
      </c>
      <c r="D7" s="9">
        <v>2.5</v>
      </c>
      <c r="E7" s="9">
        <v>2.5</v>
      </c>
      <c r="F7" s="7"/>
      <c r="G7" s="7"/>
      <c r="H7" s="7"/>
      <c r="I7" s="8">
        <f t="shared" si="0"/>
        <v>0</v>
      </c>
      <c r="J7" s="9">
        <f t="shared" si="1"/>
        <v>0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2.75" customHeight="1" x14ac:dyDescent="0.25">
      <c r="A8" s="51">
        <v>50</v>
      </c>
      <c r="B8" s="14" t="s">
        <v>479</v>
      </c>
      <c r="C8" s="9">
        <v>1.52</v>
      </c>
      <c r="D8" s="9">
        <v>2.5</v>
      </c>
      <c r="E8" s="9">
        <v>2.5</v>
      </c>
      <c r="F8" s="7"/>
      <c r="G8" s="7"/>
      <c r="H8" s="7"/>
      <c r="I8" s="8">
        <f t="shared" si="0"/>
        <v>0</v>
      </c>
      <c r="J8" s="9">
        <f t="shared" si="1"/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2.75" customHeight="1" x14ac:dyDescent="0.25">
      <c r="A9" s="51">
        <v>50</v>
      </c>
      <c r="B9" s="14" t="s">
        <v>267</v>
      </c>
      <c r="C9" s="9">
        <v>1.44</v>
      </c>
      <c r="D9" s="9">
        <v>2.5</v>
      </c>
      <c r="E9" s="9">
        <v>2.5</v>
      </c>
      <c r="F9" s="7"/>
      <c r="G9" s="7"/>
      <c r="H9" s="7"/>
      <c r="I9" s="8">
        <f t="shared" si="0"/>
        <v>0</v>
      </c>
      <c r="J9" s="9">
        <f t="shared" si="1"/>
        <v>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51">
        <v>50</v>
      </c>
      <c r="B10" s="20" t="s">
        <v>480</v>
      </c>
      <c r="C10" s="9">
        <v>1.44</v>
      </c>
      <c r="D10" s="9">
        <v>2.5</v>
      </c>
      <c r="E10" s="9">
        <v>2.5</v>
      </c>
      <c r="F10" s="7"/>
      <c r="G10" s="7"/>
      <c r="H10" s="7"/>
      <c r="I10" s="8">
        <f t="shared" si="0"/>
        <v>0</v>
      </c>
      <c r="J10" s="9">
        <f t="shared" si="1"/>
        <v>0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2.75" customHeight="1" x14ac:dyDescent="0.25">
      <c r="A11" s="51">
        <v>50</v>
      </c>
      <c r="B11" s="38" t="s">
        <v>266</v>
      </c>
      <c r="C11" s="9">
        <v>1.52</v>
      </c>
      <c r="D11" s="9">
        <v>2.5</v>
      </c>
      <c r="E11" s="9">
        <v>2.5</v>
      </c>
      <c r="F11" s="7"/>
      <c r="G11" s="7">
        <v>12</v>
      </c>
      <c r="H11" s="7"/>
      <c r="I11" s="8">
        <f t="shared" si="0"/>
        <v>12</v>
      </c>
      <c r="J11" s="9">
        <f t="shared" si="1"/>
        <v>18.240000000000002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51">
        <v>50</v>
      </c>
      <c r="B12" s="14" t="s">
        <v>270</v>
      </c>
      <c r="C12" s="9">
        <v>1.44</v>
      </c>
      <c r="D12" s="9">
        <v>2.5</v>
      </c>
      <c r="E12" s="9">
        <v>2.5</v>
      </c>
      <c r="F12" s="7"/>
      <c r="G12" s="7">
        <v>7</v>
      </c>
      <c r="H12" s="7"/>
      <c r="I12" s="8">
        <f t="shared" si="0"/>
        <v>7</v>
      </c>
      <c r="J12" s="9">
        <f t="shared" si="1"/>
        <v>10.08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51">
        <v>40</v>
      </c>
      <c r="B13" s="14" t="s">
        <v>46</v>
      </c>
      <c r="C13" s="9"/>
      <c r="D13" s="9">
        <v>2.5</v>
      </c>
      <c r="E13" s="9">
        <v>2.5</v>
      </c>
      <c r="F13" s="7"/>
      <c r="G13" s="7"/>
      <c r="H13" s="7"/>
      <c r="I13" s="8">
        <f t="shared" si="0"/>
        <v>0</v>
      </c>
      <c r="J13" s="9">
        <f t="shared" si="1"/>
        <v>0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51">
        <v>50</v>
      </c>
      <c r="B14" s="14" t="s">
        <v>448</v>
      </c>
      <c r="C14" s="9"/>
      <c r="D14" s="9">
        <v>2</v>
      </c>
      <c r="E14" s="9">
        <v>2</v>
      </c>
      <c r="F14" s="7"/>
      <c r="G14" s="7">
        <v>15</v>
      </c>
      <c r="H14" s="7"/>
      <c r="I14" s="8">
        <f t="shared" si="0"/>
        <v>15</v>
      </c>
      <c r="J14" s="9">
        <f t="shared" si="1"/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51">
        <v>50</v>
      </c>
      <c r="B15" s="14" t="s">
        <v>100</v>
      </c>
      <c r="C15" s="9"/>
      <c r="D15" s="9">
        <v>2.5</v>
      </c>
      <c r="E15" s="9">
        <v>2.5</v>
      </c>
      <c r="F15" s="7"/>
      <c r="G15" s="7">
        <v>6</v>
      </c>
      <c r="H15" s="7"/>
      <c r="I15" s="8">
        <f t="shared" si="0"/>
        <v>6</v>
      </c>
      <c r="J15" s="9">
        <f t="shared" si="1"/>
        <v>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51">
        <v>50</v>
      </c>
      <c r="B16" s="14" t="s">
        <v>481</v>
      </c>
      <c r="C16" s="9"/>
      <c r="D16" s="9">
        <v>2.5</v>
      </c>
      <c r="E16" s="9">
        <v>2.5</v>
      </c>
      <c r="F16" s="7"/>
      <c r="G16" s="7">
        <v>1</v>
      </c>
      <c r="H16" s="7"/>
      <c r="I16" s="8">
        <f t="shared" si="0"/>
        <v>1</v>
      </c>
      <c r="J16" s="9">
        <f t="shared" si="1"/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51">
        <v>50</v>
      </c>
      <c r="B17" s="14" t="s">
        <v>482</v>
      </c>
      <c r="C17" s="9">
        <v>2.5499999999999998</v>
      </c>
      <c r="D17" s="9">
        <v>4</v>
      </c>
      <c r="E17" s="9">
        <v>4</v>
      </c>
      <c r="F17" s="7"/>
      <c r="G17" s="7"/>
      <c r="H17" s="7"/>
      <c r="I17" s="8">
        <f t="shared" si="0"/>
        <v>0</v>
      </c>
      <c r="J17" s="9">
        <f t="shared" si="1"/>
        <v>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51">
        <v>50</v>
      </c>
      <c r="B18" s="14" t="s">
        <v>332</v>
      </c>
      <c r="C18" s="9"/>
      <c r="D18" s="9">
        <v>2</v>
      </c>
      <c r="E18" s="9">
        <v>2</v>
      </c>
      <c r="F18" s="7"/>
      <c r="G18" s="7">
        <v>6</v>
      </c>
      <c r="H18" s="7"/>
      <c r="I18" s="8">
        <f t="shared" si="0"/>
        <v>6</v>
      </c>
      <c r="J18" s="9">
        <f t="shared" si="1"/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51">
        <v>50</v>
      </c>
      <c r="B19" s="14" t="s">
        <v>105</v>
      </c>
      <c r="C19" s="9">
        <v>1.22</v>
      </c>
      <c r="D19" s="9">
        <v>2.5</v>
      </c>
      <c r="E19" s="9">
        <v>2.5</v>
      </c>
      <c r="F19" s="7"/>
      <c r="G19" s="7">
        <v>4</v>
      </c>
      <c r="H19" s="7"/>
      <c r="I19" s="8">
        <f t="shared" si="0"/>
        <v>4</v>
      </c>
      <c r="J19" s="9">
        <f t="shared" si="1"/>
        <v>4.88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51">
        <v>50</v>
      </c>
      <c r="B20" s="14" t="s">
        <v>311</v>
      </c>
      <c r="C20" s="9"/>
      <c r="D20" s="9">
        <v>2.5</v>
      </c>
      <c r="E20" s="9">
        <v>2.5</v>
      </c>
      <c r="F20" s="7"/>
      <c r="G20" s="7"/>
      <c r="H20" s="7"/>
      <c r="I20" s="8">
        <f t="shared" si="0"/>
        <v>0</v>
      </c>
      <c r="J20" s="9">
        <f t="shared" si="1"/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51">
        <v>40</v>
      </c>
      <c r="B21" s="14" t="s">
        <v>154</v>
      </c>
      <c r="C21" s="9">
        <v>1.34</v>
      </c>
      <c r="D21" s="9">
        <v>2.5</v>
      </c>
      <c r="E21" s="9">
        <v>2.5</v>
      </c>
      <c r="F21" s="7"/>
      <c r="G21" s="7">
        <v>2</v>
      </c>
      <c r="H21" s="7"/>
      <c r="I21" s="8">
        <f t="shared" si="0"/>
        <v>2</v>
      </c>
      <c r="J21" s="9">
        <f t="shared" si="1"/>
        <v>2.68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51">
        <v>50</v>
      </c>
      <c r="B22" s="14" t="s">
        <v>322</v>
      </c>
      <c r="C22" s="9">
        <v>1.41</v>
      </c>
      <c r="D22" s="9">
        <v>2.5</v>
      </c>
      <c r="E22" s="9">
        <v>2.5</v>
      </c>
      <c r="F22" s="7"/>
      <c r="G22" s="7">
        <v>1</v>
      </c>
      <c r="H22" s="7"/>
      <c r="I22" s="8">
        <f t="shared" si="0"/>
        <v>1</v>
      </c>
      <c r="J22" s="9">
        <f t="shared" si="1"/>
        <v>1.41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51">
        <v>50</v>
      </c>
      <c r="B23" s="14" t="s">
        <v>483</v>
      </c>
      <c r="C23" s="9">
        <v>2.0099999999999998</v>
      </c>
      <c r="D23" s="9">
        <v>3</v>
      </c>
      <c r="E23" s="9">
        <v>3</v>
      </c>
      <c r="F23" s="7"/>
      <c r="G23" s="7"/>
      <c r="H23" s="7"/>
      <c r="I23" s="8">
        <f t="shared" si="0"/>
        <v>0</v>
      </c>
      <c r="J23" s="9">
        <f t="shared" si="1"/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51">
        <v>50</v>
      </c>
      <c r="B24" s="14" t="s">
        <v>484</v>
      </c>
      <c r="C24" s="9">
        <v>1.45</v>
      </c>
      <c r="D24" s="9">
        <v>2.5</v>
      </c>
      <c r="E24" s="9">
        <v>2.5</v>
      </c>
      <c r="F24" s="7"/>
      <c r="G24" s="7">
        <v>5</v>
      </c>
      <c r="H24" s="7"/>
      <c r="I24" s="8">
        <f t="shared" si="0"/>
        <v>5</v>
      </c>
      <c r="J24" s="9">
        <f t="shared" si="1"/>
        <v>7.25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51">
        <v>40</v>
      </c>
      <c r="B25" s="14" t="s">
        <v>228</v>
      </c>
      <c r="C25" s="9"/>
      <c r="D25" s="9"/>
      <c r="E25" s="9"/>
      <c r="F25" s="7"/>
      <c r="G25" s="7">
        <v>30</v>
      </c>
      <c r="H25" s="7"/>
      <c r="I25" s="8">
        <f t="shared" si="0"/>
        <v>30</v>
      </c>
      <c r="J25" s="9">
        <f t="shared" si="1"/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51">
        <v>50</v>
      </c>
      <c r="B26" s="14" t="s">
        <v>111</v>
      </c>
      <c r="C26" s="9"/>
      <c r="D26" s="9"/>
      <c r="E26" s="9"/>
      <c r="F26" s="7"/>
      <c r="G26" s="7">
        <v>7</v>
      </c>
      <c r="H26" s="7"/>
      <c r="I26" s="8">
        <f t="shared" si="0"/>
        <v>7</v>
      </c>
      <c r="J26" s="9">
        <f t="shared" si="1"/>
        <v>0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51">
        <v>50</v>
      </c>
      <c r="B27" s="14" t="s">
        <v>485</v>
      </c>
      <c r="C27" s="9">
        <v>1.45</v>
      </c>
      <c r="D27" s="9">
        <v>2.5</v>
      </c>
      <c r="E27" s="9">
        <v>2.5</v>
      </c>
      <c r="F27" s="7"/>
      <c r="G27" s="7"/>
      <c r="H27" s="7"/>
      <c r="I27" s="8">
        <f t="shared" si="0"/>
        <v>0</v>
      </c>
      <c r="J27" s="9">
        <f t="shared" si="1"/>
        <v>0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51">
        <v>40</v>
      </c>
      <c r="B28" s="14" t="s">
        <v>157</v>
      </c>
      <c r="C28" s="9"/>
      <c r="D28" s="9"/>
      <c r="E28" s="9"/>
      <c r="F28" s="7"/>
      <c r="G28" s="7">
        <v>5</v>
      </c>
      <c r="H28" s="7"/>
      <c r="I28" s="8">
        <f t="shared" si="0"/>
        <v>5</v>
      </c>
      <c r="J28" s="9">
        <f t="shared" si="1"/>
        <v>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51">
        <v>50</v>
      </c>
      <c r="B29" s="14" t="s">
        <v>295</v>
      </c>
      <c r="C29" s="9">
        <v>1.24</v>
      </c>
      <c r="D29" s="9">
        <v>2.5</v>
      </c>
      <c r="E29" s="9">
        <v>2.5</v>
      </c>
      <c r="F29" s="7"/>
      <c r="G29" s="7"/>
      <c r="H29" s="7"/>
      <c r="I29" s="8">
        <f t="shared" si="0"/>
        <v>0</v>
      </c>
      <c r="J29" s="9">
        <f t="shared" si="1"/>
        <v>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51">
        <v>50</v>
      </c>
      <c r="B30" s="14" t="s">
        <v>443</v>
      </c>
      <c r="C30" s="9"/>
      <c r="D30" s="9">
        <v>2</v>
      </c>
      <c r="E30" s="9">
        <v>2</v>
      </c>
      <c r="F30" s="7"/>
      <c r="G30" s="7">
        <v>10</v>
      </c>
      <c r="H30" s="7"/>
      <c r="I30" s="8">
        <f t="shared" si="0"/>
        <v>10</v>
      </c>
      <c r="J30" s="9">
        <f t="shared" si="1"/>
        <v>0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51">
        <v>50</v>
      </c>
      <c r="B31" s="14" t="s">
        <v>318</v>
      </c>
      <c r="C31" s="9"/>
      <c r="D31" s="9">
        <v>2.5</v>
      </c>
      <c r="E31" s="9">
        <v>2.5</v>
      </c>
      <c r="F31" s="7"/>
      <c r="G31" s="7">
        <v>4</v>
      </c>
      <c r="H31" s="7"/>
      <c r="I31" s="8">
        <f t="shared" si="0"/>
        <v>4</v>
      </c>
      <c r="J31" s="9">
        <f t="shared" si="1"/>
        <v>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customHeight="1" x14ac:dyDescent="0.25">
      <c r="A32" s="51">
        <v>20</v>
      </c>
      <c r="B32" s="14" t="s">
        <v>486</v>
      </c>
      <c r="C32" s="9"/>
      <c r="D32" s="9">
        <v>1.5</v>
      </c>
      <c r="E32" s="9">
        <v>1.5</v>
      </c>
      <c r="F32" s="7"/>
      <c r="G32" s="7">
        <v>12</v>
      </c>
      <c r="H32" s="7"/>
      <c r="I32" s="8">
        <f t="shared" si="0"/>
        <v>12</v>
      </c>
      <c r="J32" s="9">
        <f t="shared" si="1"/>
        <v>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75" customHeight="1" x14ac:dyDescent="0.25">
      <c r="A33" s="51">
        <v>20</v>
      </c>
      <c r="B33" s="14" t="s">
        <v>487</v>
      </c>
      <c r="C33" s="9"/>
      <c r="D33" s="9">
        <v>4</v>
      </c>
      <c r="E33" s="9">
        <v>4</v>
      </c>
      <c r="F33" s="7"/>
      <c r="G33" s="7">
        <v>10</v>
      </c>
      <c r="H33" s="7"/>
      <c r="I33" s="8">
        <f t="shared" si="0"/>
        <v>10</v>
      </c>
      <c r="J33" s="9">
        <f t="shared" si="1"/>
        <v>0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 customHeight="1" x14ac:dyDescent="0.25">
      <c r="A34" s="51"/>
      <c r="B34" s="14"/>
      <c r="C34" s="14"/>
      <c r="D34" s="14"/>
      <c r="E34" s="5"/>
      <c r="F34" s="7"/>
      <c r="G34" s="7"/>
      <c r="H34" s="7"/>
      <c r="I34" s="8"/>
      <c r="J34" s="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51"/>
      <c r="B35" s="14"/>
      <c r="C35" s="14"/>
      <c r="D35" s="14"/>
      <c r="E35" s="5"/>
      <c r="F35" s="7"/>
      <c r="G35" s="7"/>
      <c r="H35" s="7"/>
      <c r="I35" s="8"/>
      <c r="J35" s="9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3">
      <c r="A36" s="51"/>
      <c r="B36" s="62" t="s">
        <v>488</v>
      </c>
      <c r="C36" s="14"/>
      <c r="D36" s="14"/>
      <c r="E36" s="5"/>
      <c r="F36" s="7"/>
      <c r="G36" s="7"/>
      <c r="H36" s="7"/>
      <c r="I36" s="8"/>
      <c r="J36" s="9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51"/>
      <c r="B37" s="14"/>
      <c r="C37" s="14"/>
      <c r="D37" s="14"/>
      <c r="E37" s="5"/>
      <c r="F37" s="7"/>
      <c r="G37" s="7"/>
      <c r="H37" s="7"/>
      <c r="I37" s="8"/>
      <c r="J37" s="9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51">
        <v>40</v>
      </c>
      <c r="B38" s="14" t="s">
        <v>489</v>
      </c>
      <c r="C38" s="14">
        <v>8.89</v>
      </c>
      <c r="D38" s="5">
        <v>12</v>
      </c>
      <c r="E38" s="5">
        <v>12</v>
      </c>
      <c r="F38" s="7"/>
      <c r="G38" s="7"/>
      <c r="H38" s="7"/>
      <c r="I38" s="8">
        <f t="shared" ref="I38:I47" si="2">SUM(F38:H38)</f>
        <v>0</v>
      </c>
      <c r="J38" s="9">
        <f t="shared" ref="J38:J47" si="3">SUM(C38*I38)</f>
        <v>0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65">
        <v>40</v>
      </c>
      <c r="B39" s="20" t="s">
        <v>490</v>
      </c>
      <c r="C39" s="38">
        <v>7.31</v>
      </c>
      <c r="D39" s="5">
        <v>10</v>
      </c>
      <c r="E39" s="5">
        <v>10</v>
      </c>
      <c r="F39" s="7"/>
      <c r="G39" s="7"/>
      <c r="H39" s="7"/>
      <c r="I39" s="8">
        <f t="shared" si="2"/>
        <v>0</v>
      </c>
      <c r="J39" s="9">
        <f t="shared" si="3"/>
        <v>0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2.75" customHeight="1" x14ac:dyDescent="0.25">
      <c r="A40" s="38">
        <v>40</v>
      </c>
      <c r="B40" s="38" t="s">
        <v>491</v>
      </c>
      <c r="C40" s="14">
        <v>5.49</v>
      </c>
      <c r="D40" s="38">
        <v>7.5</v>
      </c>
      <c r="E40" s="38">
        <v>7.5</v>
      </c>
      <c r="F40" s="7"/>
      <c r="G40" s="7">
        <v>1</v>
      </c>
      <c r="H40" s="7"/>
      <c r="I40" s="8">
        <f t="shared" si="2"/>
        <v>1</v>
      </c>
      <c r="J40" s="9">
        <f t="shared" si="3"/>
        <v>5.49</v>
      </c>
    </row>
    <row r="41" spans="1:27" ht="12.75" customHeight="1" x14ac:dyDescent="0.25">
      <c r="A41" s="51"/>
      <c r="B41" s="14"/>
      <c r="C41" s="14"/>
      <c r="D41" s="14"/>
      <c r="E41" s="5"/>
      <c r="F41" s="7"/>
      <c r="G41" s="7"/>
      <c r="H41" s="7"/>
      <c r="I41" s="8">
        <f t="shared" si="2"/>
        <v>0</v>
      </c>
      <c r="J41" s="9">
        <f t="shared" si="3"/>
        <v>0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51"/>
      <c r="B42" s="14" t="s">
        <v>492</v>
      </c>
      <c r="C42" s="14">
        <v>4.3899999999999997</v>
      </c>
      <c r="D42" s="14"/>
      <c r="E42" s="5">
        <v>5.95</v>
      </c>
      <c r="F42" s="7"/>
      <c r="G42" s="7">
        <v>3</v>
      </c>
      <c r="H42" s="7"/>
      <c r="I42" s="8">
        <f t="shared" si="2"/>
        <v>3</v>
      </c>
      <c r="J42" s="9">
        <f t="shared" si="3"/>
        <v>13.169999999999998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51"/>
      <c r="B43" s="14" t="s">
        <v>493</v>
      </c>
      <c r="C43" s="14">
        <v>5.85</v>
      </c>
      <c r="D43" s="14"/>
      <c r="E43" s="5">
        <v>7.95</v>
      </c>
      <c r="F43" s="7"/>
      <c r="G43" s="7"/>
      <c r="H43" s="7"/>
      <c r="I43" s="8">
        <f t="shared" si="2"/>
        <v>0</v>
      </c>
      <c r="J43" s="9">
        <f t="shared" si="3"/>
        <v>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51"/>
      <c r="B44" s="14" t="s">
        <v>494</v>
      </c>
      <c r="C44" s="14">
        <v>4.6500000000000004</v>
      </c>
      <c r="D44" s="14"/>
      <c r="E44" s="5">
        <v>5.95</v>
      </c>
      <c r="F44" s="7"/>
      <c r="G44" s="7">
        <v>5</v>
      </c>
      <c r="H44" s="7"/>
      <c r="I44" s="8">
        <f t="shared" si="2"/>
        <v>5</v>
      </c>
      <c r="J44" s="9">
        <f t="shared" si="3"/>
        <v>23.25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20"/>
      <c r="B45" s="20" t="s">
        <v>495</v>
      </c>
      <c r="C45" s="14">
        <v>4.43</v>
      </c>
      <c r="D45" s="14"/>
      <c r="E45" s="5">
        <v>6.5</v>
      </c>
      <c r="F45" s="7"/>
      <c r="G45" s="7">
        <v>1</v>
      </c>
      <c r="H45" s="7"/>
      <c r="I45" s="8">
        <f t="shared" si="2"/>
        <v>1</v>
      </c>
      <c r="J45" s="9">
        <f t="shared" si="3"/>
        <v>4.43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 customHeight="1" x14ac:dyDescent="0.25">
      <c r="A46" s="51"/>
      <c r="B46" s="71" t="s">
        <v>496</v>
      </c>
      <c r="C46" s="14"/>
      <c r="D46" s="14"/>
      <c r="E46" s="5"/>
      <c r="F46" s="7"/>
      <c r="G46" s="7">
        <v>6</v>
      </c>
      <c r="H46" s="7"/>
      <c r="I46" s="8">
        <f t="shared" si="2"/>
        <v>6</v>
      </c>
      <c r="J46" s="9">
        <f t="shared" si="3"/>
        <v>0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51"/>
      <c r="B47" s="14" t="s">
        <v>497</v>
      </c>
      <c r="C47" s="14"/>
      <c r="D47" s="14"/>
      <c r="E47" s="5"/>
      <c r="F47" s="7"/>
      <c r="G47" s="7">
        <v>1</v>
      </c>
      <c r="H47" s="7"/>
      <c r="I47" s="8">
        <f t="shared" si="2"/>
        <v>1</v>
      </c>
      <c r="J47" s="9">
        <f t="shared" si="3"/>
        <v>0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61"/>
      <c r="B48" s="9"/>
      <c r="C48" s="57"/>
      <c r="D48" s="57"/>
      <c r="E48" s="5"/>
      <c r="F48" s="7"/>
      <c r="G48" s="7"/>
      <c r="H48" s="7"/>
      <c r="I48" s="8"/>
      <c r="J48" s="9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 spans="1:27" ht="12.75" customHeight="1" x14ac:dyDescent="0.25">
      <c r="A49" s="61"/>
      <c r="B49" s="4"/>
      <c r="C49" s="9"/>
      <c r="D49" s="9"/>
      <c r="E49" s="5"/>
      <c r="F49" s="54"/>
      <c r="G49" s="54"/>
      <c r="H49" s="7"/>
      <c r="I49" s="8"/>
      <c r="J49" s="9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 spans="1:27" ht="12.75" customHeight="1" x14ac:dyDescent="0.25">
      <c r="A50" s="61"/>
      <c r="B50" s="4"/>
      <c r="C50" s="9"/>
      <c r="D50" s="5"/>
      <c r="E50" s="5"/>
      <c r="F50" s="54"/>
      <c r="G50" s="54"/>
      <c r="H50" s="7"/>
      <c r="I50" s="9"/>
      <c r="J50" s="21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 spans="1:27" ht="12.75" customHeight="1" x14ac:dyDescent="0.25">
      <c r="A51" s="61"/>
      <c r="B51" s="4"/>
      <c r="C51" s="9"/>
      <c r="D51" s="9"/>
      <c r="E51" s="5"/>
      <c r="F51" s="54"/>
      <c r="G51" s="54"/>
      <c r="H51" s="7"/>
      <c r="I51" s="9"/>
      <c r="J51" s="21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 spans="1:27" ht="12.75" customHeight="1" x14ac:dyDescent="0.25">
      <c r="A52" s="61"/>
      <c r="B52" s="4"/>
      <c r="C52" s="9"/>
      <c r="D52" s="9"/>
      <c r="E52" s="5"/>
      <c r="F52" s="7"/>
      <c r="G52" s="7"/>
      <c r="H52" s="7"/>
      <c r="I52" s="8"/>
      <c r="J52" s="9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 spans="1:27" ht="12.75" customHeight="1" x14ac:dyDescent="0.25">
      <c r="A53" s="61"/>
      <c r="B53" s="4"/>
      <c r="C53" s="9"/>
      <c r="D53" s="9"/>
      <c r="E53" s="5"/>
      <c r="F53" s="7"/>
      <c r="G53" s="7"/>
      <c r="H53" s="7"/>
      <c r="I53" s="8"/>
      <c r="J53" s="9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 spans="1:27" ht="12.75" customHeight="1" x14ac:dyDescent="0.25">
      <c r="A54" s="20"/>
      <c r="B54" s="20"/>
      <c r="C54" s="14"/>
      <c r="D54" s="14"/>
      <c r="E54" s="5"/>
      <c r="F54" s="7"/>
      <c r="G54" s="7"/>
      <c r="H54" s="7"/>
      <c r="I54" s="8"/>
      <c r="J54" s="9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 spans="1:27" ht="12.75" customHeight="1" x14ac:dyDescent="0.25">
      <c r="A55" s="20"/>
      <c r="B55" s="20"/>
      <c r="C55" s="14"/>
      <c r="D55" s="14"/>
      <c r="E55" s="5"/>
      <c r="F55" s="7"/>
      <c r="G55" s="7"/>
      <c r="H55" s="7"/>
      <c r="I55" s="8"/>
      <c r="J55" s="9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 customHeight="1" x14ac:dyDescent="0.25">
      <c r="A56" s="20"/>
      <c r="B56" s="20"/>
      <c r="C56" s="14"/>
      <c r="D56" s="14"/>
      <c r="E56" s="5"/>
      <c r="F56" s="7"/>
      <c r="G56" s="7"/>
      <c r="H56" s="7"/>
      <c r="I56" s="8"/>
      <c r="J56" s="9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.75" customHeight="1" x14ac:dyDescent="0.25">
      <c r="A57" s="46"/>
      <c r="B57" s="20"/>
      <c r="C57" s="9"/>
      <c r="D57" s="14"/>
      <c r="E57" s="5"/>
      <c r="F57" s="7"/>
      <c r="G57" s="7"/>
      <c r="H57" s="7"/>
      <c r="I57" s="8"/>
      <c r="J57" s="9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.75" customHeight="1" x14ac:dyDescent="0.25">
      <c r="A58" s="61"/>
      <c r="B58" s="20"/>
      <c r="C58" s="57"/>
      <c r="D58" s="14"/>
      <c r="E58" s="5"/>
      <c r="F58" s="7"/>
      <c r="G58" s="7"/>
      <c r="H58" s="7"/>
      <c r="I58" s="8"/>
      <c r="J58" s="9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.75" customHeight="1" x14ac:dyDescent="0.25">
      <c r="A59" s="20"/>
      <c r="B59" s="20"/>
      <c r="C59" s="14"/>
      <c r="D59" s="9"/>
      <c r="E59" s="5"/>
      <c r="F59" s="7"/>
      <c r="G59" s="7"/>
      <c r="H59" s="7"/>
      <c r="I59" s="8"/>
      <c r="J59" s="9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 customHeight="1" x14ac:dyDescent="0.25">
      <c r="A60" s="20"/>
      <c r="B60" s="20"/>
      <c r="C60" s="14"/>
      <c r="D60" s="14"/>
      <c r="E60" s="5"/>
      <c r="F60" s="7"/>
      <c r="G60" s="7"/>
      <c r="H60" s="7"/>
      <c r="I60" s="8"/>
      <c r="J60" s="9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.75" customHeight="1" x14ac:dyDescent="0.25">
      <c r="A61" s="20"/>
      <c r="B61" s="20"/>
      <c r="C61" s="9"/>
      <c r="D61" s="9"/>
      <c r="E61" s="5"/>
      <c r="F61" s="54"/>
      <c r="G61" s="54"/>
      <c r="H61" s="7"/>
      <c r="I61" s="9"/>
      <c r="J61" s="21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 customHeight="1" x14ac:dyDescent="0.25">
      <c r="A62" s="20"/>
      <c r="B62" s="20"/>
      <c r="C62" s="14"/>
      <c r="D62" s="14"/>
      <c r="E62" s="5"/>
      <c r="F62" s="7"/>
      <c r="G62" s="7"/>
      <c r="H62" s="7"/>
      <c r="I62" s="8"/>
      <c r="J62" s="9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 customHeight="1" x14ac:dyDescent="0.25">
      <c r="A63" s="20"/>
      <c r="B63" s="20"/>
      <c r="C63" s="14"/>
      <c r="D63" s="14"/>
      <c r="E63" s="5"/>
      <c r="F63" s="7"/>
      <c r="G63" s="7"/>
      <c r="H63" s="7"/>
      <c r="I63" s="8"/>
      <c r="J63" s="9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 customHeight="1" x14ac:dyDescent="0.3">
      <c r="A64" s="51"/>
      <c r="B64" s="62"/>
      <c r="C64" s="14"/>
      <c r="D64" s="14"/>
      <c r="E64" s="5"/>
      <c r="F64" s="7"/>
      <c r="G64" s="7"/>
      <c r="H64" s="7"/>
      <c r="I64" s="8"/>
      <c r="J64" s="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3">
      <c r="A65" s="51"/>
      <c r="B65" s="62"/>
      <c r="C65" s="14"/>
      <c r="D65" s="14"/>
      <c r="E65" s="5"/>
      <c r="F65" s="7"/>
      <c r="G65" s="7"/>
      <c r="H65" s="7"/>
      <c r="I65" s="8"/>
      <c r="J65" s="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51"/>
      <c r="B66" s="14"/>
      <c r="C66" s="14"/>
      <c r="D66" s="14"/>
      <c r="E66" s="5"/>
      <c r="F66" s="7"/>
      <c r="G66" s="7"/>
      <c r="H66" s="7"/>
      <c r="I66" s="8"/>
      <c r="J66" s="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20"/>
      <c r="B67" s="20"/>
      <c r="C67" s="14"/>
      <c r="D67" s="14"/>
      <c r="E67" s="5"/>
      <c r="F67" s="7"/>
      <c r="G67" s="7"/>
      <c r="H67" s="7"/>
      <c r="I67" s="8"/>
      <c r="J67" s="9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 customHeight="1" x14ac:dyDescent="0.25">
      <c r="A68" s="51"/>
      <c r="B68" s="14"/>
      <c r="C68" s="14"/>
      <c r="D68" s="14"/>
      <c r="E68" s="5"/>
      <c r="F68" s="7"/>
      <c r="G68" s="7"/>
      <c r="H68" s="7"/>
      <c r="I68" s="8"/>
      <c r="J68" s="9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51"/>
      <c r="B69" s="14"/>
      <c r="C69" s="14"/>
      <c r="D69" s="14"/>
      <c r="E69" s="5"/>
      <c r="F69" s="7"/>
      <c r="G69" s="7"/>
      <c r="H69" s="7"/>
      <c r="I69" s="8"/>
      <c r="J69" s="9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51"/>
      <c r="B70" s="14"/>
      <c r="C70" s="14"/>
      <c r="D70" s="14"/>
      <c r="E70" s="5"/>
      <c r="F70" s="7"/>
      <c r="G70" s="7"/>
      <c r="H70" s="7"/>
      <c r="I70" s="8"/>
      <c r="J70" s="9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20"/>
      <c r="B71" s="20"/>
      <c r="E71" s="3"/>
      <c r="F71" s="7"/>
      <c r="G71" s="7"/>
      <c r="H71" s="7"/>
      <c r="I71" s="8"/>
      <c r="J71" s="9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 customHeight="1" x14ac:dyDescent="0.25">
      <c r="A72" s="51"/>
      <c r="B72" s="14"/>
      <c r="C72" s="14"/>
      <c r="D72" s="14"/>
      <c r="E72" s="5"/>
      <c r="F72" s="7"/>
      <c r="G72" s="7"/>
      <c r="H72" s="7"/>
      <c r="I72" s="8"/>
      <c r="J72" s="9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20"/>
      <c r="B73" s="20"/>
      <c r="C73" s="14"/>
      <c r="D73" s="14"/>
      <c r="E73" s="5"/>
      <c r="F73" s="7"/>
      <c r="G73" s="7"/>
      <c r="H73" s="7"/>
      <c r="I73" s="8"/>
      <c r="J73" s="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 customHeight="1" x14ac:dyDescent="0.25">
      <c r="A74" s="20"/>
      <c r="B74" s="20"/>
      <c r="C74" s="14"/>
      <c r="D74" s="14"/>
      <c r="E74" s="5"/>
      <c r="F74" s="7"/>
      <c r="G74" s="7"/>
      <c r="H74" s="7"/>
      <c r="I74" s="8"/>
      <c r="J74" s="9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 customHeight="1" x14ac:dyDescent="0.25">
      <c r="A75" s="20"/>
      <c r="B75" s="20"/>
      <c r="C75" s="14"/>
      <c r="D75" s="14"/>
      <c r="E75" s="5"/>
      <c r="F75" s="59"/>
      <c r="G75" s="59"/>
      <c r="H75" s="60"/>
      <c r="I75" s="57"/>
      <c r="J75" s="57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 customHeight="1" x14ac:dyDescent="0.25">
      <c r="A76" s="20"/>
      <c r="B76" s="20"/>
      <c r="C76" s="14"/>
      <c r="D76" s="14"/>
      <c r="E76" s="5"/>
      <c r="F76" s="54"/>
      <c r="G76" s="54"/>
      <c r="H76" s="7"/>
      <c r="I76" s="9"/>
      <c r="J76" s="21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 customHeight="1" x14ac:dyDescent="0.25">
      <c r="A77" s="20"/>
      <c r="B77" s="20"/>
      <c r="C77" s="14"/>
      <c r="D77" s="14"/>
      <c r="E77" s="5"/>
      <c r="F77" s="54"/>
      <c r="G77" s="54"/>
      <c r="H77" s="7"/>
      <c r="I77" s="9"/>
      <c r="J77" s="21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 customHeight="1" x14ac:dyDescent="0.25">
      <c r="A78" s="20"/>
      <c r="B78" s="20"/>
      <c r="C78" s="14"/>
      <c r="D78" s="14"/>
      <c r="E78" s="5"/>
      <c r="F78" s="54"/>
      <c r="G78" s="54"/>
      <c r="H78" s="7"/>
      <c r="I78" s="9"/>
      <c r="J78" s="21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.75" customHeight="1" x14ac:dyDescent="0.25">
      <c r="A79" s="20"/>
      <c r="B79" s="20"/>
      <c r="C79" s="14"/>
      <c r="D79" s="14"/>
      <c r="E79" s="5"/>
      <c r="F79" s="7"/>
      <c r="G79" s="7"/>
      <c r="H79" s="7"/>
      <c r="I79" s="8"/>
      <c r="J79" s="9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 customHeight="1" x14ac:dyDescent="0.25">
      <c r="A80" s="20"/>
      <c r="B80" s="20"/>
      <c r="C80" s="14"/>
      <c r="D80" s="14"/>
      <c r="E80" s="5"/>
      <c r="F80" s="7"/>
      <c r="G80" s="7"/>
      <c r="H80" s="7"/>
      <c r="I80" s="8"/>
      <c r="J80" s="9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.75" customHeight="1" x14ac:dyDescent="0.25">
      <c r="A81" s="20"/>
      <c r="B81" s="20"/>
      <c r="C81" s="14"/>
      <c r="D81" s="14"/>
      <c r="E81" s="5"/>
      <c r="F81" s="7"/>
      <c r="G81" s="7"/>
      <c r="H81" s="7"/>
      <c r="I81" s="8"/>
      <c r="J81" s="9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.75" customHeight="1" x14ac:dyDescent="0.25">
      <c r="A82" s="20"/>
      <c r="B82" s="20"/>
      <c r="C82" s="14"/>
      <c r="D82" s="14"/>
      <c r="E82" s="5"/>
      <c r="F82" s="7"/>
      <c r="G82" s="7"/>
      <c r="H82" s="7"/>
      <c r="I82" s="8"/>
      <c r="J82" s="9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 customHeight="1" x14ac:dyDescent="0.25">
      <c r="A83" s="20"/>
      <c r="B83" s="20"/>
      <c r="C83" s="14"/>
      <c r="D83" s="14"/>
      <c r="E83" s="5"/>
      <c r="F83" s="7"/>
      <c r="G83" s="7"/>
      <c r="H83" s="7"/>
      <c r="I83" s="8"/>
      <c r="J83" s="9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 customHeight="1" x14ac:dyDescent="0.25">
      <c r="A84" s="20"/>
      <c r="B84" s="20"/>
      <c r="C84" s="14"/>
      <c r="D84" s="14"/>
      <c r="E84" s="5"/>
      <c r="F84" s="54"/>
      <c r="G84" s="54"/>
      <c r="H84" s="7"/>
      <c r="I84" s="9"/>
      <c r="J84" s="21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.75" customHeight="1" x14ac:dyDescent="0.25">
      <c r="A85" s="20"/>
      <c r="B85" s="20"/>
      <c r="C85" s="14"/>
      <c r="D85" s="14"/>
      <c r="E85" s="5"/>
      <c r="F85" s="54"/>
      <c r="G85" s="54"/>
      <c r="H85" s="7"/>
      <c r="I85" s="9"/>
      <c r="J85" s="21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 customHeight="1" x14ac:dyDescent="0.25">
      <c r="A86" s="20"/>
      <c r="B86" s="20"/>
      <c r="C86" s="14"/>
      <c r="D86" s="14"/>
      <c r="E86" s="5"/>
      <c r="F86" s="54"/>
      <c r="G86" s="54"/>
      <c r="H86" s="7"/>
      <c r="I86" s="9"/>
      <c r="J86" s="21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 customHeight="1" x14ac:dyDescent="0.25">
      <c r="A87" s="20"/>
      <c r="B87" s="20"/>
      <c r="E87" s="3"/>
      <c r="F87" s="54"/>
      <c r="G87" s="54"/>
      <c r="H87" s="7"/>
      <c r="I87" s="9"/>
      <c r="J87" s="21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 customHeight="1" x14ac:dyDescent="0.25">
      <c r="A88" s="20"/>
      <c r="B88" s="20"/>
      <c r="E88" s="3"/>
      <c r="F88" s="54"/>
      <c r="G88" s="54"/>
      <c r="H88" s="7"/>
      <c r="I88" s="9"/>
      <c r="J88" s="21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 customHeight="1" x14ac:dyDescent="0.25">
      <c r="A89" s="20"/>
      <c r="B89" s="20"/>
      <c r="C89" s="14"/>
      <c r="D89" s="14"/>
      <c r="E89" s="5"/>
      <c r="F89" s="54"/>
      <c r="G89" s="54"/>
      <c r="H89" s="7"/>
      <c r="I89" s="9"/>
      <c r="J89" s="21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 customHeight="1" x14ac:dyDescent="0.3">
      <c r="A90" s="51"/>
      <c r="B90" s="62"/>
      <c r="C90" s="14"/>
      <c r="D90" s="14"/>
      <c r="E90" s="5"/>
      <c r="F90" s="54"/>
      <c r="G90" s="54"/>
      <c r="H90" s="7"/>
      <c r="I90" s="9"/>
      <c r="J90" s="21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20"/>
      <c r="B91" s="20"/>
      <c r="C91" s="14"/>
      <c r="D91" s="14"/>
      <c r="E91" s="5"/>
      <c r="F91" s="54"/>
      <c r="G91" s="54"/>
      <c r="H91" s="7"/>
      <c r="I91" s="9"/>
      <c r="J91" s="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 customHeight="1" x14ac:dyDescent="0.25">
      <c r="A92" s="51"/>
      <c r="B92" s="14"/>
      <c r="C92" s="14"/>
      <c r="D92" s="14"/>
      <c r="E92" s="5"/>
      <c r="F92" s="54"/>
      <c r="G92" s="54"/>
      <c r="H92" s="7"/>
      <c r="I92" s="9"/>
      <c r="J92" s="9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51"/>
      <c r="B93" s="14"/>
      <c r="C93" s="14"/>
      <c r="D93" s="14"/>
      <c r="E93" s="5"/>
      <c r="F93" s="54"/>
      <c r="G93" s="54"/>
      <c r="H93" s="7"/>
      <c r="I93" s="9"/>
      <c r="J93" s="9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20"/>
      <c r="B94" s="20"/>
      <c r="C94" s="14"/>
      <c r="D94" s="14"/>
      <c r="E94" s="5"/>
      <c r="F94" s="54"/>
      <c r="G94" s="54"/>
      <c r="H94" s="7"/>
      <c r="I94" s="9"/>
      <c r="J94" s="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 customHeight="1" x14ac:dyDescent="0.25">
      <c r="A95" s="20"/>
      <c r="B95" s="20"/>
      <c r="C95" s="14"/>
      <c r="D95" s="14"/>
      <c r="E95" s="5"/>
      <c r="F95" s="54"/>
      <c r="G95" s="54"/>
      <c r="H95" s="7"/>
      <c r="I95" s="9"/>
      <c r="J95" s="9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 customHeight="1" x14ac:dyDescent="0.25">
      <c r="A96" s="20"/>
      <c r="B96" s="20"/>
      <c r="C96" s="14"/>
      <c r="D96" s="14"/>
      <c r="E96" s="5"/>
      <c r="F96" s="54"/>
      <c r="G96" s="54"/>
      <c r="H96" s="7"/>
      <c r="I96" s="9"/>
      <c r="J96" s="9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 customHeight="1" x14ac:dyDescent="0.25">
      <c r="A97" s="20"/>
      <c r="B97" s="20"/>
      <c r="C97" s="14"/>
      <c r="D97" s="14"/>
      <c r="E97" s="5"/>
      <c r="F97" s="54"/>
      <c r="G97" s="54"/>
      <c r="H97" s="7"/>
      <c r="I97" s="9"/>
      <c r="J97" s="9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 customHeight="1" x14ac:dyDescent="0.25">
      <c r="A98" s="20"/>
      <c r="B98" s="20"/>
      <c r="C98" s="5"/>
      <c r="D98" s="14"/>
      <c r="E98" s="5"/>
      <c r="F98" s="54"/>
      <c r="G98" s="54"/>
      <c r="H98" s="7"/>
      <c r="I98" s="9"/>
      <c r="J98" s="9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 customHeight="1" x14ac:dyDescent="0.25">
      <c r="A99" s="20"/>
      <c r="B99" s="20"/>
      <c r="C99" s="14"/>
      <c r="D99" s="14"/>
      <c r="E99" s="5"/>
      <c r="F99" s="54"/>
      <c r="G99" s="54"/>
      <c r="H99" s="7"/>
      <c r="I99" s="9"/>
      <c r="J99" s="21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 customHeight="1" x14ac:dyDescent="0.25">
      <c r="A100" s="20"/>
      <c r="B100" s="20"/>
      <c r="C100" s="14"/>
      <c r="D100" s="14"/>
      <c r="E100" s="5"/>
      <c r="F100" s="54"/>
      <c r="G100" s="54"/>
      <c r="H100" s="7"/>
      <c r="I100" s="9"/>
      <c r="J100" s="21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 customHeight="1" x14ac:dyDescent="0.25">
      <c r="A101" s="20"/>
      <c r="B101" s="20"/>
      <c r="C101" s="14"/>
      <c r="D101" s="14"/>
      <c r="E101" s="5"/>
      <c r="F101" s="54"/>
      <c r="G101" s="54"/>
      <c r="H101" s="7"/>
      <c r="I101" s="9"/>
      <c r="J101" s="21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 customHeight="1" x14ac:dyDescent="0.25">
      <c r="A102" s="20"/>
      <c r="B102" s="20"/>
      <c r="C102" s="14"/>
      <c r="D102" s="14"/>
      <c r="E102" s="5"/>
      <c r="F102" s="54"/>
      <c r="G102" s="54"/>
      <c r="H102" s="7"/>
      <c r="I102" s="9"/>
      <c r="J102" s="9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 customHeight="1" x14ac:dyDescent="0.25">
      <c r="A103" s="20"/>
      <c r="B103" s="20"/>
      <c r="C103" s="14"/>
      <c r="D103" s="14"/>
      <c r="E103" s="5"/>
      <c r="F103" s="54"/>
      <c r="G103" s="54"/>
      <c r="H103" s="7"/>
      <c r="I103" s="9"/>
      <c r="J103" s="9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 customHeight="1" x14ac:dyDescent="0.25">
      <c r="A104" s="20"/>
      <c r="B104" s="20"/>
      <c r="C104" s="14"/>
      <c r="D104" s="14"/>
      <c r="E104" s="5"/>
      <c r="F104" s="54"/>
      <c r="G104" s="54"/>
      <c r="H104" s="7"/>
      <c r="I104" s="9"/>
      <c r="J104" s="9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 customHeight="1" x14ac:dyDescent="0.25">
      <c r="A105" s="20"/>
      <c r="B105" s="20"/>
      <c r="C105" s="14"/>
      <c r="D105" s="14"/>
      <c r="E105" s="5"/>
      <c r="F105" s="54"/>
      <c r="G105" s="54"/>
      <c r="H105" s="7"/>
      <c r="I105" s="9"/>
      <c r="J105" s="21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 customHeight="1" x14ac:dyDescent="0.25">
      <c r="A106" s="20"/>
      <c r="B106" s="20"/>
      <c r="C106" s="14"/>
      <c r="D106" s="14"/>
      <c r="E106" s="5"/>
      <c r="F106" s="54"/>
      <c r="G106" s="54"/>
      <c r="H106" s="7"/>
      <c r="I106" s="9"/>
      <c r="J106" s="21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 customHeight="1" x14ac:dyDescent="0.25">
      <c r="A107" s="20"/>
      <c r="B107" s="20"/>
      <c r="C107" s="14"/>
      <c r="D107" s="14"/>
      <c r="E107" s="5"/>
      <c r="F107" s="54"/>
      <c r="G107" s="54"/>
      <c r="H107" s="7"/>
      <c r="I107" s="9"/>
      <c r="J107" s="21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.75" customHeight="1" x14ac:dyDescent="0.25">
      <c r="A108" s="20"/>
      <c r="B108" s="20"/>
      <c r="C108" s="14"/>
      <c r="D108" s="14"/>
      <c r="E108" s="5"/>
      <c r="F108" s="54"/>
      <c r="G108" s="54"/>
      <c r="H108" s="7"/>
      <c r="I108" s="9"/>
      <c r="J108" s="21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 customHeight="1" x14ac:dyDescent="0.25">
      <c r="A109" s="20"/>
      <c r="B109" s="20"/>
      <c r="C109" s="14"/>
      <c r="D109" s="14"/>
      <c r="E109" s="5"/>
      <c r="F109" s="54"/>
      <c r="G109" s="54"/>
      <c r="H109" s="7"/>
      <c r="I109" s="9"/>
      <c r="J109" s="21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 customHeight="1" x14ac:dyDescent="0.25">
      <c r="A110" s="20"/>
      <c r="B110" s="20"/>
      <c r="C110" s="14"/>
      <c r="D110" s="14"/>
      <c r="E110" s="5"/>
      <c r="F110" s="54"/>
      <c r="G110" s="54"/>
      <c r="H110" s="7"/>
      <c r="I110" s="9"/>
      <c r="J110" s="21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 customHeight="1" x14ac:dyDescent="0.25">
      <c r="A111" s="20"/>
      <c r="B111" s="20"/>
      <c r="C111" s="14"/>
      <c r="D111" s="14"/>
      <c r="E111" s="5"/>
      <c r="F111" s="54"/>
      <c r="G111" s="54"/>
      <c r="H111" s="7"/>
      <c r="I111" s="9"/>
      <c r="J111" s="21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 customHeight="1" x14ac:dyDescent="0.25">
      <c r="A112" s="20"/>
      <c r="B112" s="20"/>
      <c r="C112" s="14"/>
      <c r="D112" s="14"/>
      <c r="E112" s="5"/>
      <c r="F112" s="54"/>
      <c r="G112" s="54"/>
      <c r="H112" s="7"/>
      <c r="I112" s="9"/>
      <c r="J112" s="21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 customHeight="1" x14ac:dyDescent="0.25">
      <c r="A113" s="20"/>
      <c r="B113" s="20"/>
      <c r="C113" s="14"/>
      <c r="D113" s="14"/>
      <c r="E113" s="5"/>
      <c r="F113" s="54"/>
      <c r="G113" s="54"/>
      <c r="H113" s="7"/>
      <c r="I113" s="9"/>
      <c r="J113" s="21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 customHeight="1" x14ac:dyDescent="0.25">
      <c r="A114" s="20"/>
      <c r="B114" s="20"/>
      <c r="C114" s="14"/>
      <c r="D114" s="14"/>
      <c r="E114" s="5"/>
      <c r="F114" s="54"/>
      <c r="G114" s="54"/>
      <c r="H114" s="7"/>
      <c r="I114" s="9"/>
      <c r="J114" s="21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 customHeight="1" x14ac:dyDescent="0.25">
      <c r="A115" s="20"/>
      <c r="B115" s="20"/>
      <c r="C115" s="14"/>
      <c r="D115" s="14"/>
      <c r="E115" s="5"/>
      <c r="F115" s="54"/>
      <c r="G115" s="54"/>
      <c r="H115" s="7"/>
      <c r="I115" s="9"/>
      <c r="J115" s="21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 customHeight="1" x14ac:dyDescent="0.25">
      <c r="A116" s="20"/>
      <c r="B116" s="20"/>
      <c r="C116" s="14"/>
      <c r="D116" s="14"/>
      <c r="E116" s="5"/>
      <c r="F116" s="54"/>
      <c r="G116" s="54"/>
      <c r="H116" s="7"/>
      <c r="I116" s="9"/>
      <c r="J116" s="21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 customHeight="1" x14ac:dyDescent="0.25">
      <c r="A117" s="20"/>
      <c r="B117" s="20"/>
      <c r="C117" s="14"/>
      <c r="D117" s="14"/>
      <c r="E117" s="5"/>
      <c r="F117" s="54"/>
      <c r="G117" s="54"/>
      <c r="H117" s="7"/>
      <c r="I117" s="9"/>
      <c r="J117" s="21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 customHeight="1" x14ac:dyDescent="0.25">
      <c r="A118" s="20"/>
      <c r="B118" s="20"/>
      <c r="C118" s="14"/>
      <c r="D118" s="14"/>
      <c r="E118" s="5"/>
      <c r="F118" s="54"/>
      <c r="G118" s="54"/>
      <c r="H118" s="7"/>
      <c r="I118" s="9"/>
      <c r="J118" s="21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 customHeight="1" x14ac:dyDescent="0.25">
      <c r="A119" s="20"/>
      <c r="B119" s="20"/>
      <c r="C119" s="14"/>
      <c r="D119" s="14"/>
      <c r="E119" s="5"/>
      <c r="F119" s="54"/>
      <c r="G119" s="54"/>
      <c r="H119" s="7"/>
      <c r="I119" s="9"/>
      <c r="J119" s="2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 customHeight="1" x14ac:dyDescent="0.25">
      <c r="A120" s="20"/>
      <c r="B120" s="20"/>
      <c r="C120" s="14"/>
      <c r="D120" s="14"/>
      <c r="E120" s="5"/>
      <c r="F120" s="54"/>
      <c r="G120" s="54"/>
      <c r="H120" s="7"/>
      <c r="I120" s="9"/>
      <c r="J120" s="21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 customHeight="1" x14ac:dyDescent="0.25">
      <c r="A121" s="20"/>
      <c r="B121" s="20"/>
      <c r="C121" s="14"/>
      <c r="D121" s="14"/>
      <c r="E121" s="5"/>
      <c r="F121" s="54"/>
      <c r="G121" s="54"/>
      <c r="H121" s="7"/>
      <c r="I121" s="9"/>
      <c r="J121" s="21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 customHeight="1" x14ac:dyDescent="0.25">
      <c r="A122" s="20"/>
      <c r="B122" s="20"/>
      <c r="C122" s="14"/>
      <c r="D122" s="14"/>
      <c r="E122" s="5"/>
      <c r="F122" s="54"/>
      <c r="G122" s="54"/>
      <c r="H122" s="7"/>
      <c r="I122" s="9"/>
      <c r="J122" s="2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 customHeight="1" x14ac:dyDescent="0.25">
      <c r="A123" s="20"/>
      <c r="B123" s="20"/>
      <c r="C123" s="14"/>
      <c r="D123" s="14"/>
      <c r="E123" s="5"/>
      <c r="F123" s="54"/>
      <c r="G123" s="54"/>
      <c r="H123" s="7"/>
      <c r="I123" s="9"/>
      <c r="J123" s="21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 customHeight="1" x14ac:dyDescent="0.25">
      <c r="A124" s="20"/>
      <c r="B124" s="20"/>
      <c r="C124" s="14"/>
      <c r="D124" s="14"/>
      <c r="E124" s="5"/>
      <c r="F124" s="54"/>
      <c r="G124" s="54"/>
      <c r="H124" s="7"/>
      <c r="I124" s="9"/>
      <c r="J124" s="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 customHeight="1" x14ac:dyDescent="0.25">
      <c r="A125" s="20"/>
      <c r="B125" s="20"/>
      <c r="C125" s="14"/>
      <c r="D125" s="14"/>
      <c r="E125" s="5"/>
      <c r="F125" s="54"/>
      <c r="G125" s="54"/>
      <c r="H125" s="7"/>
      <c r="I125" s="9"/>
      <c r="J125" s="21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 customHeight="1" x14ac:dyDescent="0.25">
      <c r="A126" s="20"/>
      <c r="B126" s="20"/>
      <c r="C126" s="14"/>
      <c r="D126" s="14"/>
      <c r="E126" s="5"/>
      <c r="F126" s="54"/>
      <c r="G126" s="54"/>
      <c r="H126" s="7"/>
      <c r="I126" s="9"/>
      <c r="J126" s="21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 customHeight="1" x14ac:dyDescent="0.25">
      <c r="A127" s="20"/>
      <c r="B127" s="20"/>
      <c r="C127" s="14"/>
      <c r="D127" s="14"/>
      <c r="E127" s="5"/>
      <c r="F127" s="54"/>
      <c r="G127" s="54"/>
      <c r="H127" s="7"/>
      <c r="I127" s="9"/>
      <c r="J127" s="21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 customHeight="1" x14ac:dyDescent="0.25">
      <c r="A128" s="20"/>
      <c r="B128" s="20"/>
      <c r="C128" s="14"/>
      <c r="D128" s="14"/>
      <c r="E128" s="5"/>
      <c r="F128" s="54"/>
      <c r="G128" s="54"/>
      <c r="H128" s="7"/>
      <c r="I128" s="9"/>
      <c r="J128" s="21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 customHeight="1" x14ac:dyDescent="0.25">
      <c r="A129" s="20"/>
      <c r="B129" s="20"/>
      <c r="C129" s="14"/>
      <c r="D129" s="14"/>
      <c r="E129" s="5"/>
      <c r="F129" s="54"/>
      <c r="G129" s="54"/>
      <c r="H129" s="7"/>
      <c r="I129" s="9"/>
      <c r="J129" s="2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 customHeight="1" x14ac:dyDescent="0.25">
      <c r="A130" s="20"/>
      <c r="B130" s="20"/>
      <c r="C130" s="14"/>
      <c r="D130" s="14"/>
      <c r="E130" s="5"/>
      <c r="F130" s="54"/>
      <c r="G130" s="54"/>
      <c r="H130" s="7"/>
      <c r="I130" s="9"/>
      <c r="J130" s="2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 customHeight="1" x14ac:dyDescent="0.25">
      <c r="A131" s="20"/>
      <c r="B131" s="20"/>
      <c r="C131" s="14"/>
      <c r="D131" s="14"/>
      <c r="E131" s="5"/>
      <c r="F131" s="54"/>
      <c r="G131" s="54"/>
      <c r="H131" s="7"/>
      <c r="I131" s="9"/>
      <c r="J131" s="2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 customHeight="1" x14ac:dyDescent="0.25">
      <c r="A132" s="20"/>
      <c r="B132" s="20"/>
      <c r="C132" s="14"/>
      <c r="D132" s="14"/>
      <c r="E132" s="5"/>
      <c r="F132" s="54"/>
      <c r="G132" s="54"/>
      <c r="H132" s="7"/>
      <c r="I132" s="9"/>
      <c r="J132" s="21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 customHeight="1" x14ac:dyDescent="0.25">
      <c r="A133" s="20"/>
      <c r="B133" s="20"/>
      <c r="C133" s="14"/>
      <c r="D133" s="14"/>
      <c r="E133" s="5"/>
      <c r="F133" s="54"/>
      <c r="G133" s="54"/>
      <c r="H133" s="7"/>
      <c r="I133" s="9"/>
      <c r="J133" s="21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 customHeight="1" x14ac:dyDescent="0.25">
      <c r="A134" s="20"/>
      <c r="B134" s="20"/>
      <c r="C134" s="14"/>
      <c r="D134" s="14"/>
      <c r="E134" s="5"/>
      <c r="F134" s="54"/>
      <c r="G134" s="54"/>
      <c r="H134" s="7"/>
      <c r="I134" s="9"/>
      <c r="J134" s="2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.75" customHeight="1" x14ac:dyDescent="0.25">
      <c r="A135" s="20"/>
      <c r="B135" s="20"/>
      <c r="C135" s="14"/>
      <c r="D135" s="14"/>
      <c r="E135" s="5"/>
      <c r="F135" s="54"/>
      <c r="G135" s="54"/>
      <c r="H135" s="7"/>
      <c r="I135" s="9"/>
      <c r="J135" s="2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 customHeight="1" x14ac:dyDescent="0.25">
      <c r="A136" s="20"/>
      <c r="B136" s="20"/>
      <c r="C136" s="14"/>
      <c r="D136" s="14"/>
      <c r="E136" s="5"/>
      <c r="F136" s="54"/>
      <c r="G136" s="54"/>
      <c r="H136" s="7"/>
      <c r="I136" s="9"/>
      <c r="J136" s="2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 customHeight="1" x14ac:dyDescent="0.25">
      <c r="A137" s="20"/>
      <c r="B137" s="20"/>
      <c r="C137" s="14"/>
      <c r="D137" s="14"/>
      <c r="E137" s="5"/>
      <c r="F137" s="54"/>
      <c r="G137" s="54"/>
      <c r="H137" s="7"/>
      <c r="I137" s="9"/>
      <c r="J137" s="21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 customHeight="1" x14ac:dyDescent="0.25">
      <c r="A138" s="20"/>
      <c r="B138" s="20"/>
      <c r="C138" s="14"/>
      <c r="D138" s="14"/>
      <c r="E138" s="5"/>
      <c r="F138" s="54"/>
      <c r="G138" s="54"/>
      <c r="H138" s="7"/>
      <c r="I138" s="9"/>
      <c r="J138" s="21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 customHeight="1" x14ac:dyDescent="0.25">
      <c r="A139" s="20"/>
      <c r="B139" s="20"/>
      <c r="C139" s="14"/>
      <c r="D139" s="14"/>
      <c r="E139" s="5"/>
      <c r="F139" s="54"/>
      <c r="G139" s="54"/>
      <c r="H139" s="7"/>
      <c r="I139" s="9"/>
      <c r="J139" s="2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 customHeight="1" x14ac:dyDescent="0.25">
      <c r="A140" s="20"/>
      <c r="B140" s="20"/>
      <c r="C140" s="14"/>
      <c r="D140" s="14"/>
      <c r="E140" s="5"/>
      <c r="F140" s="54"/>
      <c r="G140" s="54"/>
      <c r="H140" s="7"/>
      <c r="I140" s="9"/>
      <c r="J140" s="21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 customHeight="1" x14ac:dyDescent="0.25">
      <c r="A141" s="20"/>
      <c r="B141" s="20"/>
      <c r="C141" s="14"/>
      <c r="D141" s="14"/>
      <c r="E141" s="5"/>
      <c r="F141" s="54"/>
      <c r="G141" s="54"/>
      <c r="H141" s="7"/>
      <c r="I141" s="9"/>
      <c r="J141" s="21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 customHeight="1" x14ac:dyDescent="0.25">
      <c r="A142" s="20"/>
      <c r="B142" s="20"/>
      <c r="C142" s="14"/>
      <c r="D142" s="14"/>
      <c r="E142" s="5"/>
      <c r="F142" s="54"/>
      <c r="G142" s="54"/>
      <c r="H142" s="7"/>
      <c r="I142" s="9"/>
      <c r="J142" s="21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 customHeight="1" x14ac:dyDescent="0.25">
      <c r="A143" s="20"/>
      <c r="B143" s="20"/>
      <c r="C143" s="14"/>
      <c r="D143" s="14"/>
      <c r="E143" s="5"/>
      <c r="F143" s="54"/>
      <c r="G143" s="54"/>
      <c r="H143" s="7"/>
      <c r="I143" s="9"/>
      <c r="J143" s="9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 customHeight="1" x14ac:dyDescent="0.25">
      <c r="A144" s="20"/>
      <c r="B144" s="20"/>
      <c r="C144" s="14"/>
      <c r="D144" s="14"/>
      <c r="E144" s="5"/>
      <c r="F144" s="54"/>
      <c r="G144" s="54"/>
      <c r="H144" s="7"/>
      <c r="I144" s="9"/>
      <c r="J144" s="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.75" customHeight="1" x14ac:dyDescent="0.25">
      <c r="A145" s="20"/>
      <c r="B145" s="20"/>
      <c r="C145" s="14"/>
      <c r="D145" s="14"/>
      <c r="E145" s="5"/>
      <c r="F145" s="54"/>
      <c r="G145" s="54"/>
      <c r="H145" s="7"/>
      <c r="I145" s="9"/>
      <c r="J145" s="9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.75" customHeight="1" x14ac:dyDescent="0.25">
      <c r="A146" s="20"/>
      <c r="B146" s="20"/>
      <c r="C146" s="14"/>
      <c r="D146" s="14"/>
      <c r="E146" s="5"/>
      <c r="F146" s="54"/>
      <c r="G146" s="54"/>
      <c r="H146" s="7"/>
      <c r="I146" s="9"/>
      <c r="J146" s="9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.75" customHeight="1" x14ac:dyDescent="0.25">
      <c r="A147" s="20"/>
      <c r="B147" s="20"/>
      <c r="C147" s="14"/>
      <c r="D147" s="14"/>
      <c r="E147" s="5"/>
      <c r="F147" s="54"/>
      <c r="G147" s="54"/>
      <c r="H147" s="7"/>
      <c r="I147" s="9"/>
      <c r="J147" s="9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.75" customHeight="1" x14ac:dyDescent="0.25">
      <c r="A148" s="20"/>
      <c r="B148" s="20"/>
      <c r="C148" s="14"/>
      <c r="D148" s="14"/>
      <c r="E148" s="5"/>
      <c r="F148" s="54"/>
      <c r="G148" s="54"/>
      <c r="H148" s="7"/>
      <c r="I148" s="9"/>
      <c r="J148" s="9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.75" customHeight="1" x14ac:dyDescent="0.25">
      <c r="A149" s="20"/>
      <c r="B149" s="20"/>
      <c r="C149" s="14"/>
      <c r="D149" s="14"/>
      <c r="E149" s="5"/>
      <c r="F149" s="54"/>
      <c r="G149" s="54"/>
      <c r="H149" s="7"/>
      <c r="I149" s="9"/>
      <c r="J149" s="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.75" customHeight="1" x14ac:dyDescent="0.25">
      <c r="A150" s="20"/>
      <c r="B150" s="20"/>
      <c r="C150" s="14"/>
      <c r="D150" s="14"/>
      <c r="E150" s="5"/>
      <c r="F150" s="54"/>
      <c r="G150" s="54"/>
      <c r="H150" s="7"/>
      <c r="I150" s="9"/>
      <c r="J150" s="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.75" customHeight="1" x14ac:dyDescent="0.25">
      <c r="A151" s="20"/>
      <c r="B151" s="20"/>
      <c r="C151" s="14"/>
      <c r="D151" s="14"/>
      <c r="E151" s="5"/>
      <c r="F151" s="54"/>
      <c r="G151" s="54"/>
      <c r="H151" s="7"/>
      <c r="I151" s="9"/>
      <c r="J151" s="9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.75" customHeight="1" x14ac:dyDescent="0.25">
      <c r="A152" s="20"/>
      <c r="B152" s="20"/>
      <c r="C152" s="14"/>
      <c r="D152" s="14"/>
      <c r="E152" s="5"/>
      <c r="F152" s="54"/>
      <c r="G152" s="54"/>
      <c r="H152" s="7"/>
      <c r="I152" s="9"/>
      <c r="J152" s="9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.75" customHeight="1" x14ac:dyDescent="0.25">
      <c r="A153" s="20"/>
      <c r="B153" s="20"/>
      <c r="C153" s="14"/>
      <c r="D153" s="14"/>
      <c r="E153" s="5"/>
      <c r="F153" s="54"/>
      <c r="G153" s="54"/>
      <c r="H153" s="7"/>
      <c r="I153" s="9"/>
      <c r="J153" s="9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.75" customHeight="1" x14ac:dyDescent="0.25">
      <c r="A154" s="20"/>
      <c r="B154" s="20"/>
      <c r="C154" s="14"/>
      <c r="D154" s="14"/>
      <c r="E154" s="5"/>
      <c r="F154" s="54"/>
      <c r="G154" s="54"/>
      <c r="H154" s="7"/>
      <c r="I154" s="9"/>
      <c r="J154" s="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.75" customHeight="1" x14ac:dyDescent="0.25">
      <c r="A155" s="20"/>
      <c r="B155" s="20"/>
      <c r="C155" s="14"/>
      <c r="D155" s="14"/>
      <c r="E155" s="5"/>
      <c r="F155" s="54"/>
      <c r="G155" s="54"/>
      <c r="H155" s="7"/>
      <c r="I155" s="9"/>
      <c r="J155" s="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.75" customHeight="1" x14ac:dyDescent="0.25">
      <c r="A156" s="20"/>
      <c r="B156" s="20"/>
      <c r="C156" s="14"/>
      <c r="D156" s="14"/>
      <c r="E156" s="5"/>
      <c r="F156" s="54"/>
      <c r="G156" s="54"/>
      <c r="H156" s="7"/>
      <c r="I156" s="9"/>
      <c r="J156" s="9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.75" customHeight="1" x14ac:dyDescent="0.25">
      <c r="A157" s="20"/>
      <c r="B157" s="20"/>
      <c r="C157" s="14"/>
      <c r="D157" s="14"/>
      <c r="E157" s="5"/>
      <c r="F157" s="54"/>
      <c r="G157" s="54"/>
      <c r="H157" s="7"/>
      <c r="I157" s="9"/>
      <c r="J157" s="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.75" customHeight="1" x14ac:dyDescent="0.25">
      <c r="A158" s="20"/>
      <c r="B158" s="20"/>
      <c r="C158" s="14"/>
      <c r="D158" s="14"/>
      <c r="E158" s="5"/>
      <c r="F158" s="54"/>
      <c r="G158" s="54"/>
      <c r="H158" s="7"/>
      <c r="I158" s="9"/>
      <c r="J158" s="9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.75" customHeight="1" x14ac:dyDescent="0.25">
      <c r="A159" s="20"/>
      <c r="B159" s="20"/>
      <c r="C159" s="14"/>
      <c r="D159" s="14"/>
      <c r="E159" s="5"/>
      <c r="F159" s="54"/>
      <c r="G159" s="54"/>
      <c r="H159" s="7"/>
      <c r="I159" s="9"/>
      <c r="J159" s="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.75" customHeight="1" x14ac:dyDescent="0.25">
      <c r="A160" s="20"/>
      <c r="B160" s="20"/>
      <c r="C160" s="14"/>
      <c r="D160" s="14"/>
      <c r="E160" s="5"/>
      <c r="F160" s="54"/>
      <c r="G160" s="54"/>
      <c r="H160" s="7"/>
      <c r="I160" s="9"/>
      <c r="J160" s="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.75" customHeight="1" x14ac:dyDescent="0.25">
      <c r="A161" s="20"/>
      <c r="B161" s="20"/>
      <c r="C161" s="14"/>
      <c r="D161" s="14"/>
      <c r="E161" s="5"/>
      <c r="F161" s="54"/>
      <c r="G161" s="54"/>
      <c r="H161" s="7"/>
      <c r="I161" s="9"/>
      <c r="J161" s="9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.75" customHeight="1" x14ac:dyDescent="0.25">
      <c r="A162" s="20"/>
      <c r="B162" s="20"/>
      <c r="C162" s="14"/>
      <c r="D162" s="14"/>
      <c r="E162" s="5"/>
      <c r="F162" s="54"/>
      <c r="G162" s="54"/>
      <c r="H162" s="7"/>
      <c r="I162" s="9"/>
      <c r="J162" s="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.75" customHeight="1" x14ac:dyDescent="0.25">
      <c r="A163" s="20"/>
      <c r="B163" s="20"/>
      <c r="C163" s="14"/>
      <c r="D163" s="14"/>
      <c r="E163" s="5"/>
      <c r="F163" s="54"/>
      <c r="G163" s="54"/>
      <c r="H163" s="7"/>
      <c r="I163" s="9"/>
      <c r="J163" s="9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.75" customHeight="1" x14ac:dyDescent="0.25">
      <c r="A164" s="20"/>
      <c r="B164" s="20"/>
      <c r="C164" s="14"/>
      <c r="D164" s="14"/>
      <c r="E164" s="5"/>
      <c r="F164" s="54"/>
      <c r="G164" s="54"/>
      <c r="H164" s="7"/>
      <c r="I164" s="9"/>
      <c r="J164" s="9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.75" customHeight="1" x14ac:dyDescent="0.25">
      <c r="A165" s="20"/>
      <c r="B165" s="20"/>
      <c r="C165" s="14"/>
      <c r="D165" s="14"/>
      <c r="E165" s="5"/>
      <c r="F165" s="54"/>
      <c r="G165" s="54"/>
      <c r="H165" s="7"/>
      <c r="I165" s="9"/>
      <c r="J165" s="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.75" customHeight="1" x14ac:dyDescent="0.25">
      <c r="A166" s="20"/>
      <c r="B166" s="20"/>
      <c r="C166" s="14"/>
      <c r="D166" s="14"/>
      <c r="E166" s="5"/>
      <c r="F166" s="54"/>
      <c r="G166" s="54"/>
      <c r="H166" s="7"/>
      <c r="I166" s="9"/>
      <c r="J166" s="9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.75" customHeight="1" x14ac:dyDescent="0.25">
      <c r="A167" s="20"/>
      <c r="B167" s="20"/>
      <c r="C167" s="14"/>
      <c r="D167" s="14"/>
      <c r="E167" s="5"/>
      <c r="F167" s="54"/>
      <c r="G167" s="54"/>
      <c r="H167" s="7"/>
      <c r="I167" s="9"/>
      <c r="J167" s="9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.75" customHeight="1" x14ac:dyDescent="0.25">
      <c r="A168" s="20"/>
      <c r="B168" s="20"/>
      <c r="C168" s="14"/>
      <c r="D168" s="14"/>
      <c r="E168" s="5"/>
      <c r="F168" s="54"/>
      <c r="G168" s="54"/>
      <c r="H168" s="7"/>
      <c r="I168" s="9"/>
      <c r="J168" s="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.75" customHeight="1" x14ac:dyDescent="0.25">
      <c r="A169" s="20"/>
      <c r="B169" s="20"/>
      <c r="C169" s="14"/>
      <c r="D169" s="14"/>
      <c r="E169" s="5"/>
      <c r="F169" s="54"/>
      <c r="G169" s="54"/>
      <c r="H169" s="7"/>
      <c r="I169" s="9"/>
      <c r="J169" s="9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.75" customHeight="1" x14ac:dyDescent="0.25">
      <c r="A170" s="20"/>
      <c r="B170" s="20"/>
      <c r="C170" s="14"/>
      <c r="D170" s="14"/>
      <c r="E170" s="5"/>
      <c r="F170" s="54"/>
      <c r="G170" s="54"/>
      <c r="H170" s="7"/>
      <c r="I170" s="9"/>
      <c r="J170" s="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.75" customHeight="1" x14ac:dyDescent="0.25">
      <c r="A171" s="20"/>
      <c r="B171" s="20"/>
      <c r="C171" s="14"/>
      <c r="D171" s="14"/>
      <c r="E171" s="5"/>
      <c r="F171" s="54"/>
      <c r="G171" s="54"/>
      <c r="H171" s="7"/>
      <c r="I171" s="9"/>
      <c r="J171" s="9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.75" customHeight="1" x14ac:dyDescent="0.25">
      <c r="A172" s="20"/>
      <c r="B172" s="20"/>
      <c r="C172" s="14"/>
      <c r="D172" s="14"/>
      <c r="E172" s="5"/>
      <c r="F172" s="54"/>
      <c r="G172" s="54"/>
      <c r="H172" s="7"/>
      <c r="I172" s="9"/>
      <c r="J172" s="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.75" customHeight="1" x14ac:dyDescent="0.25">
      <c r="A173" s="20"/>
      <c r="B173" s="20"/>
      <c r="C173" s="14"/>
      <c r="D173" s="14"/>
      <c r="E173" s="5"/>
      <c r="F173" s="54"/>
      <c r="G173" s="54"/>
      <c r="H173" s="7"/>
      <c r="I173" s="9"/>
      <c r="J173" s="9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.75" customHeight="1" x14ac:dyDescent="0.25">
      <c r="A174" s="20"/>
      <c r="B174" s="20"/>
      <c r="C174" s="14"/>
      <c r="D174" s="14"/>
      <c r="E174" s="5"/>
      <c r="F174" s="54"/>
      <c r="G174" s="54"/>
      <c r="H174" s="7"/>
      <c r="I174" s="9"/>
      <c r="J174" s="9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.75" customHeight="1" x14ac:dyDescent="0.25">
      <c r="A175" s="20"/>
      <c r="B175" s="20"/>
      <c r="C175" s="14"/>
      <c r="D175" s="14"/>
      <c r="E175" s="5"/>
      <c r="F175" s="54"/>
      <c r="G175" s="54"/>
      <c r="H175" s="7"/>
      <c r="I175" s="9"/>
      <c r="J175" s="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.75" customHeight="1" x14ac:dyDescent="0.25">
      <c r="A176" s="20"/>
      <c r="B176" s="20"/>
      <c r="C176" s="14"/>
      <c r="D176" s="14"/>
      <c r="E176" s="5"/>
      <c r="F176" s="54"/>
      <c r="G176" s="54"/>
      <c r="H176" s="7"/>
      <c r="I176" s="9"/>
      <c r="J176" s="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.75" customHeight="1" x14ac:dyDescent="0.25">
      <c r="A177" s="20"/>
      <c r="B177" s="20"/>
      <c r="C177" s="14"/>
      <c r="D177" s="14"/>
      <c r="E177" s="5"/>
      <c r="F177" s="54"/>
      <c r="G177" s="54"/>
      <c r="H177" s="7"/>
      <c r="I177" s="9"/>
      <c r="J177" s="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.75" customHeight="1" x14ac:dyDescent="0.25">
      <c r="A178" s="20"/>
      <c r="B178" s="20"/>
      <c r="C178" s="14"/>
      <c r="D178" s="14"/>
      <c r="E178" s="5"/>
      <c r="F178" s="54"/>
      <c r="G178" s="54"/>
      <c r="H178" s="7"/>
      <c r="I178" s="9"/>
      <c r="J178" s="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.75" customHeight="1" x14ac:dyDescent="0.25">
      <c r="A179" s="20"/>
      <c r="B179" s="20"/>
      <c r="C179" s="14"/>
      <c r="D179" s="14"/>
      <c r="E179" s="5"/>
      <c r="F179" s="54"/>
      <c r="G179" s="54"/>
      <c r="H179" s="7"/>
      <c r="I179" s="9"/>
      <c r="J179" s="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.75" customHeight="1" x14ac:dyDescent="0.25">
      <c r="A180" s="20"/>
      <c r="B180" s="20"/>
      <c r="C180" s="14"/>
      <c r="D180" s="14"/>
      <c r="E180" s="5"/>
      <c r="F180" s="54"/>
      <c r="G180" s="54"/>
      <c r="H180" s="7"/>
      <c r="I180" s="9"/>
      <c r="J180" s="9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.75" customHeight="1" x14ac:dyDescent="0.25">
      <c r="A181" s="20"/>
      <c r="B181" s="20"/>
      <c r="C181" s="14"/>
      <c r="D181" s="14"/>
      <c r="E181" s="5"/>
      <c r="F181" s="54"/>
      <c r="G181" s="54"/>
      <c r="H181" s="7"/>
      <c r="I181" s="9"/>
      <c r="J181" s="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.75" customHeight="1" x14ac:dyDescent="0.25">
      <c r="A182" s="20"/>
      <c r="B182" s="20"/>
      <c r="C182" s="14"/>
      <c r="D182" s="14"/>
      <c r="E182" s="5"/>
      <c r="F182" s="54"/>
      <c r="G182" s="54"/>
      <c r="H182" s="7"/>
      <c r="I182" s="9"/>
      <c r="J182" s="9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.75" customHeight="1" x14ac:dyDescent="0.25">
      <c r="A183" s="20"/>
      <c r="B183" s="20"/>
      <c r="C183" s="14"/>
      <c r="D183" s="14"/>
      <c r="E183" s="5"/>
      <c r="F183" s="54"/>
      <c r="G183" s="54"/>
      <c r="H183" s="7"/>
      <c r="I183" s="9"/>
      <c r="J183" s="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.75" customHeight="1" x14ac:dyDescent="0.25">
      <c r="A184" s="20"/>
      <c r="B184" s="20"/>
      <c r="C184" s="14"/>
      <c r="D184" s="14"/>
      <c r="E184" s="5"/>
      <c r="F184" s="54"/>
      <c r="G184" s="54"/>
      <c r="H184" s="7"/>
      <c r="I184" s="9"/>
      <c r="J184" s="9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.75" customHeight="1" x14ac:dyDescent="0.25">
      <c r="A185" s="20"/>
      <c r="B185" s="20"/>
      <c r="C185" s="14"/>
      <c r="D185" s="14"/>
      <c r="E185" s="5"/>
      <c r="F185" s="54"/>
      <c r="G185" s="54"/>
      <c r="H185" s="7"/>
      <c r="I185" s="9"/>
      <c r="J185" s="9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.75" customHeight="1" x14ac:dyDescent="0.25">
      <c r="A186" s="20"/>
      <c r="B186" s="20"/>
      <c r="C186" s="14"/>
      <c r="D186" s="14"/>
      <c r="E186" s="5"/>
      <c r="F186" s="54"/>
      <c r="G186" s="54"/>
      <c r="H186" s="7"/>
      <c r="I186" s="9"/>
      <c r="J186" s="9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.75" customHeight="1" x14ac:dyDescent="0.25">
      <c r="A187" s="20"/>
      <c r="B187" s="20"/>
      <c r="C187" s="14"/>
      <c r="D187" s="14"/>
      <c r="E187" s="5"/>
      <c r="F187" s="54"/>
      <c r="G187" s="54"/>
      <c r="H187" s="7"/>
      <c r="I187" s="9"/>
      <c r="J187" s="9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.75" customHeight="1" x14ac:dyDescent="0.25">
      <c r="A188" s="20"/>
      <c r="B188" s="20"/>
      <c r="C188" s="14"/>
      <c r="D188" s="14"/>
      <c r="E188" s="5"/>
      <c r="F188" s="54"/>
      <c r="G188" s="54"/>
      <c r="H188" s="7"/>
      <c r="I188" s="9"/>
      <c r="J188" s="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.75" customHeight="1" x14ac:dyDescent="0.25">
      <c r="A189" s="20"/>
      <c r="B189" s="20"/>
      <c r="C189" s="14"/>
      <c r="D189" s="14"/>
      <c r="E189" s="5"/>
      <c r="F189" s="54"/>
      <c r="G189" s="54"/>
      <c r="H189" s="7"/>
      <c r="I189" s="9"/>
      <c r="J189" s="9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.75" customHeight="1" x14ac:dyDescent="0.25">
      <c r="A190" s="20"/>
      <c r="B190" s="20"/>
      <c r="C190" s="14"/>
      <c r="D190" s="14"/>
      <c r="E190" s="5"/>
      <c r="F190" s="54"/>
      <c r="G190" s="54"/>
      <c r="H190" s="7"/>
      <c r="I190" s="9"/>
      <c r="J190" s="9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.75" customHeight="1" x14ac:dyDescent="0.25">
      <c r="A191" s="20"/>
      <c r="B191" s="20"/>
      <c r="C191" s="14"/>
      <c r="D191" s="14"/>
      <c r="E191" s="5"/>
      <c r="F191" s="54"/>
      <c r="G191" s="54"/>
      <c r="H191" s="7"/>
      <c r="I191" s="9"/>
      <c r="J191" s="9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.75" customHeight="1" x14ac:dyDescent="0.25">
      <c r="A192" s="20"/>
      <c r="B192" s="20"/>
      <c r="C192" s="14"/>
      <c r="D192" s="14"/>
      <c r="E192" s="5"/>
      <c r="F192" s="54"/>
      <c r="G192" s="54"/>
      <c r="H192" s="7"/>
      <c r="I192" s="9"/>
      <c r="J192" s="9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.75" customHeight="1" x14ac:dyDescent="0.25">
      <c r="A193" s="20"/>
      <c r="B193" s="20"/>
      <c r="C193" s="14"/>
      <c r="D193" s="14"/>
      <c r="E193" s="5"/>
      <c r="F193" s="54"/>
      <c r="G193" s="54"/>
      <c r="H193" s="7"/>
      <c r="I193" s="9"/>
      <c r="J193" s="9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.75" customHeight="1" x14ac:dyDescent="0.25">
      <c r="A194" s="20"/>
      <c r="B194" s="20"/>
      <c r="C194" s="14"/>
      <c r="D194" s="14"/>
      <c r="E194" s="5"/>
      <c r="F194" s="54"/>
      <c r="G194" s="54"/>
      <c r="H194" s="7"/>
      <c r="I194" s="9"/>
      <c r="J194" s="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.75" customHeight="1" x14ac:dyDescent="0.25">
      <c r="A195" s="20"/>
      <c r="B195" s="20"/>
      <c r="C195" s="14"/>
      <c r="D195" s="14"/>
      <c r="E195" s="5"/>
      <c r="F195" s="54"/>
      <c r="G195" s="54"/>
      <c r="H195" s="7"/>
      <c r="I195" s="9"/>
      <c r="J195" s="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.75" customHeight="1" x14ac:dyDescent="0.25">
      <c r="A196" s="20"/>
      <c r="B196" s="20"/>
      <c r="C196" s="14"/>
      <c r="D196" s="14"/>
      <c r="E196" s="5"/>
      <c r="F196" s="54"/>
      <c r="G196" s="54"/>
      <c r="H196" s="7"/>
      <c r="I196" s="9"/>
      <c r="J196" s="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.75" customHeight="1" x14ac:dyDescent="0.25">
      <c r="A197" s="20"/>
      <c r="B197" s="20"/>
      <c r="C197" s="14"/>
      <c r="D197" s="14"/>
      <c r="E197" s="5"/>
      <c r="F197" s="54"/>
      <c r="G197" s="54"/>
      <c r="H197" s="7"/>
      <c r="I197" s="9"/>
      <c r="J197" s="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.75" customHeight="1" x14ac:dyDescent="0.25">
      <c r="A198" s="20"/>
      <c r="B198" s="20"/>
      <c r="C198" s="14"/>
      <c r="D198" s="14"/>
      <c r="E198" s="5"/>
      <c r="F198" s="54"/>
      <c r="G198" s="54"/>
      <c r="H198" s="7"/>
      <c r="I198" s="9"/>
      <c r="J198" s="9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.75" customHeight="1" x14ac:dyDescent="0.25">
      <c r="A199" s="20"/>
      <c r="B199" s="20"/>
      <c r="C199" s="14"/>
      <c r="D199" s="14"/>
      <c r="E199" s="5"/>
      <c r="F199" s="54"/>
      <c r="G199" s="54"/>
      <c r="H199" s="7"/>
      <c r="I199" s="9"/>
      <c r="J199" s="9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.75" customHeight="1" x14ac:dyDescent="0.25">
      <c r="A200" s="20"/>
      <c r="B200" s="20"/>
      <c r="C200" s="14"/>
      <c r="D200" s="14"/>
      <c r="E200" s="5"/>
      <c r="F200" s="54"/>
      <c r="G200" s="54"/>
      <c r="H200" s="7"/>
      <c r="I200" s="9"/>
      <c r="J200" s="9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.75" customHeight="1" x14ac:dyDescent="0.25">
      <c r="A201" s="20"/>
      <c r="B201" s="20"/>
      <c r="C201" s="14"/>
      <c r="D201" s="14"/>
      <c r="E201" s="5"/>
      <c r="F201" s="54"/>
      <c r="G201" s="54"/>
      <c r="H201" s="7"/>
      <c r="I201" s="9"/>
      <c r="J201" s="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.75" customHeight="1" x14ac:dyDescent="0.25">
      <c r="A202" s="20"/>
      <c r="B202" s="20"/>
      <c r="C202" s="14"/>
      <c r="D202" s="14"/>
      <c r="E202" s="5"/>
      <c r="F202" s="54"/>
      <c r="G202" s="54"/>
      <c r="H202" s="7"/>
      <c r="I202" s="9"/>
      <c r="J202" s="9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.75" customHeight="1" x14ac:dyDescent="0.25">
      <c r="A203" s="20"/>
      <c r="B203" s="20"/>
      <c r="C203" s="14"/>
      <c r="D203" s="14"/>
      <c r="E203" s="5"/>
      <c r="F203" s="54"/>
      <c r="G203" s="54"/>
      <c r="H203" s="7"/>
      <c r="I203" s="9"/>
      <c r="J203" s="9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.75" customHeight="1" x14ac:dyDescent="0.25">
      <c r="A204" s="20"/>
      <c r="B204" s="20"/>
      <c r="C204" s="14"/>
      <c r="D204" s="14"/>
      <c r="E204" s="5"/>
      <c r="F204" s="54"/>
      <c r="G204" s="54"/>
      <c r="H204" s="7"/>
      <c r="I204" s="9"/>
      <c r="J204" s="21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.75" customHeight="1" x14ac:dyDescent="0.25">
      <c r="A205" s="20"/>
      <c r="B205" s="20"/>
      <c r="C205" s="14"/>
      <c r="D205" s="14"/>
      <c r="E205" s="5"/>
      <c r="F205" s="54"/>
      <c r="G205" s="54"/>
      <c r="H205" s="7"/>
      <c r="I205" s="9"/>
      <c r="J205" s="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.75" customHeight="1" x14ac:dyDescent="0.25">
      <c r="A206" s="20"/>
      <c r="B206" s="20"/>
      <c r="C206" s="14"/>
      <c r="D206" s="14"/>
      <c r="E206" s="5"/>
      <c r="F206" s="54"/>
      <c r="G206" s="54"/>
      <c r="H206" s="7"/>
      <c r="I206" s="9"/>
      <c r="J206" s="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.75" customHeight="1" x14ac:dyDescent="0.25">
      <c r="A207" s="20"/>
      <c r="B207" s="20"/>
      <c r="C207" s="14"/>
      <c r="D207" s="14"/>
      <c r="E207" s="5"/>
      <c r="F207" s="54"/>
      <c r="G207" s="54"/>
      <c r="H207" s="7"/>
      <c r="I207" s="9"/>
      <c r="J207" s="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.75" customHeight="1" x14ac:dyDescent="0.25">
      <c r="A208" s="20"/>
      <c r="B208" s="20"/>
      <c r="C208" s="14"/>
      <c r="D208" s="14"/>
      <c r="E208" s="5"/>
      <c r="F208" s="54"/>
      <c r="G208" s="54"/>
      <c r="H208" s="7"/>
      <c r="I208" s="9"/>
      <c r="J208" s="9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.75" customHeight="1" x14ac:dyDescent="0.25">
      <c r="A209" s="20"/>
      <c r="B209" s="20"/>
      <c r="C209" s="14"/>
      <c r="D209" s="14"/>
      <c r="E209" s="5"/>
      <c r="F209" s="54"/>
      <c r="G209" s="54"/>
      <c r="H209" s="7"/>
      <c r="I209" s="9"/>
      <c r="J209" s="9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.75" customHeight="1" x14ac:dyDescent="0.25">
      <c r="A210" s="20"/>
      <c r="B210" s="20"/>
      <c r="C210" s="14"/>
      <c r="D210" s="14"/>
      <c r="E210" s="5"/>
      <c r="F210" s="54"/>
      <c r="G210" s="54"/>
      <c r="H210" s="7"/>
      <c r="I210" s="9"/>
      <c r="J210" s="9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.75" customHeight="1" x14ac:dyDescent="0.25">
      <c r="A211" s="20"/>
      <c r="B211" s="20"/>
      <c r="C211" s="14"/>
      <c r="D211" s="14"/>
      <c r="E211" s="5"/>
      <c r="F211" s="54"/>
      <c r="G211" s="54"/>
      <c r="H211" s="7"/>
      <c r="I211" s="9"/>
      <c r="J211" s="9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.75" customHeight="1" x14ac:dyDescent="0.25">
      <c r="A212" s="20"/>
      <c r="B212" s="20"/>
      <c r="C212" s="14"/>
      <c r="D212" s="14"/>
      <c r="E212" s="5"/>
      <c r="F212" s="54"/>
      <c r="G212" s="54"/>
      <c r="H212" s="7"/>
      <c r="I212" s="9"/>
      <c r="J212" s="9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.75" customHeight="1" x14ac:dyDescent="0.25">
      <c r="A213" s="20"/>
      <c r="B213" s="20"/>
      <c r="C213" s="14"/>
      <c r="D213" s="14"/>
      <c r="E213" s="5"/>
      <c r="F213" s="54"/>
      <c r="G213" s="54"/>
      <c r="H213" s="7"/>
      <c r="I213" s="9"/>
      <c r="J213" s="9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.75" customHeight="1" x14ac:dyDescent="0.25">
      <c r="A214" s="20"/>
      <c r="B214" s="20"/>
      <c r="C214" s="14"/>
      <c r="D214" s="14"/>
      <c r="E214" s="5"/>
      <c r="F214" s="54"/>
      <c r="G214" s="54"/>
      <c r="H214" s="7"/>
      <c r="I214" s="9"/>
      <c r="J214" s="9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.75" customHeight="1" x14ac:dyDescent="0.25">
      <c r="A215" s="20"/>
      <c r="B215" s="20"/>
      <c r="C215" s="14"/>
      <c r="D215" s="14"/>
      <c r="E215" s="5"/>
      <c r="F215" s="54"/>
      <c r="G215" s="54"/>
      <c r="H215" s="7"/>
      <c r="I215" s="9"/>
      <c r="J215" s="9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.75" customHeight="1" x14ac:dyDescent="0.25">
      <c r="A216" s="20"/>
      <c r="B216" s="20"/>
      <c r="C216" s="14"/>
      <c r="D216" s="14"/>
      <c r="E216" s="5"/>
      <c r="F216" s="54"/>
      <c r="G216" s="54"/>
      <c r="H216" s="7"/>
      <c r="I216" s="9"/>
      <c r="J216" s="9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.75" customHeight="1" x14ac:dyDescent="0.25">
      <c r="A217" s="20"/>
      <c r="B217" s="20"/>
      <c r="C217" s="14"/>
      <c r="D217" s="14"/>
      <c r="E217" s="5"/>
      <c r="F217" s="54"/>
      <c r="G217" s="54"/>
      <c r="H217" s="7"/>
      <c r="I217" s="9"/>
      <c r="J217" s="9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.75" customHeight="1" x14ac:dyDescent="0.25">
      <c r="A218" s="20"/>
      <c r="B218" s="20"/>
      <c r="C218" s="14"/>
      <c r="D218" s="14"/>
      <c r="E218" s="5"/>
      <c r="F218" s="54"/>
      <c r="G218" s="54"/>
      <c r="H218" s="7"/>
      <c r="I218" s="9"/>
      <c r="J218" s="9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.75" customHeight="1" x14ac:dyDescent="0.25">
      <c r="A219" s="20"/>
      <c r="B219" s="20"/>
      <c r="C219" s="14"/>
      <c r="D219" s="14"/>
      <c r="E219" s="5"/>
      <c r="F219" s="54"/>
      <c r="G219" s="54"/>
      <c r="H219" s="7"/>
      <c r="I219" s="9"/>
      <c r="J219" s="9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.75" customHeight="1" x14ac:dyDescent="0.25">
      <c r="A220" s="20"/>
      <c r="B220" s="20"/>
      <c r="C220" s="14"/>
      <c r="D220" s="14"/>
      <c r="E220" s="5"/>
      <c r="F220" s="54"/>
      <c r="G220" s="54"/>
      <c r="H220" s="7"/>
      <c r="I220" s="9"/>
      <c r="J220" s="9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.75" customHeight="1" x14ac:dyDescent="0.25">
      <c r="A221" s="20"/>
      <c r="B221" s="20"/>
      <c r="C221" s="14"/>
      <c r="D221" s="14"/>
      <c r="E221" s="5"/>
      <c r="F221" s="54"/>
      <c r="G221" s="54"/>
      <c r="H221" s="7"/>
      <c r="I221" s="9"/>
      <c r="J221" s="9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.75" customHeight="1" x14ac:dyDescent="0.25">
      <c r="A222" s="20"/>
      <c r="B222" s="20"/>
      <c r="C222" s="14"/>
      <c r="D222" s="14"/>
      <c r="E222" s="5"/>
      <c r="F222" s="54"/>
      <c r="G222" s="54"/>
      <c r="H222" s="7"/>
      <c r="I222" s="9"/>
      <c r="J222" s="9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.75" customHeight="1" x14ac:dyDescent="0.25">
      <c r="A223" s="20"/>
      <c r="B223" s="20"/>
      <c r="C223" s="14"/>
      <c r="D223" s="14"/>
      <c r="E223" s="5"/>
      <c r="F223" s="54"/>
      <c r="G223" s="54"/>
      <c r="H223" s="7"/>
      <c r="I223" s="9"/>
      <c r="J223" s="9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.75" customHeight="1" x14ac:dyDescent="0.25">
      <c r="A224" s="20"/>
      <c r="B224" s="20"/>
      <c r="C224" s="14"/>
      <c r="D224" s="14"/>
      <c r="E224" s="5"/>
      <c r="F224" s="54"/>
      <c r="G224" s="54"/>
      <c r="H224" s="7"/>
      <c r="I224" s="9"/>
      <c r="J224" s="9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.75" customHeight="1" x14ac:dyDescent="0.25">
      <c r="A225" s="20"/>
      <c r="B225" s="20"/>
      <c r="C225" s="14"/>
      <c r="D225" s="14"/>
      <c r="E225" s="5"/>
      <c r="F225" s="54"/>
      <c r="G225" s="54"/>
      <c r="H225" s="7"/>
      <c r="I225" s="9"/>
      <c r="J225" s="9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.75" customHeight="1" x14ac:dyDescent="0.25">
      <c r="A226" s="20"/>
      <c r="B226" s="20"/>
      <c r="C226" s="14"/>
      <c r="D226" s="14"/>
      <c r="E226" s="5"/>
      <c r="F226" s="54"/>
      <c r="G226" s="54"/>
      <c r="H226" s="7"/>
      <c r="I226" s="9"/>
      <c r="J226" s="9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.75" customHeight="1" x14ac:dyDescent="0.25">
      <c r="A227" s="20"/>
      <c r="B227" s="20"/>
      <c r="C227" s="14"/>
      <c r="D227" s="14"/>
      <c r="E227" s="5"/>
      <c r="F227" s="54"/>
      <c r="G227" s="54"/>
      <c r="H227" s="7"/>
      <c r="I227" s="9"/>
      <c r="J227" s="9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.75" customHeight="1" x14ac:dyDescent="0.25">
      <c r="A228" s="20"/>
      <c r="B228" s="20"/>
      <c r="C228" s="14"/>
      <c r="D228" s="14"/>
      <c r="E228" s="5"/>
      <c r="F228" s="54"/>
      <c r="G228" s="54"/>
      <c r="H228" s="7"/>
      <c r="I228" s="9"/>
      <c r="J228" s="9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.75" customHeight="1" x14ac:dyDescent="0.25">
      <c r="A229" s="20"/>
      <c r="B229" s="20"/>
      <c r="C229" s="14"/>
      <c r="D229" s="14"/>
      <c r="E229" s="5"/>
      <c r="F229" s="54"/>
      <c r="G229" s="54"/>
      <c r="H229" s="7"/>
      <c r="I229" s="9"/>
      <c r="J229" s="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.75" customHeight="1" x14ac:dyDescent="0.25">
      <c r="A230" s="20"/>
      <c r="B230" s="20"/>
      <c r="C230" s="14"/>
      <c r="D230" s="14"/>
      <c r="E230" s="5"/>
      <c r="F230" s="54"/>
      <c r="G230" s="54"/>
      <c r="H230" s="7"/>
      <c r="I230" s="9"/>
      <c r="J230" s="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.75" customHeight="1" x14ac:dyDescent="0.25">
      <c r="A231" s="20"/>
      <c r="B231" s="20"/>
      <c r="C231" s="14"/>
      <c r="D231" s="14"/>
      <c r="E231" s="5"/>
      <c r="F231" s="54"/>
      <c r="G231" s="54"/>
      <c r="H231" s="7"/>
      <c r="I231" s="9"/>
      <c r="J231" s="9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.75" customHeight="1" x14ac:dyDescent="0.25">
      <c r="A232" s="20"/>
      <c r="B232" s="20"/>
      <c r="C232" s="14"/>
      <c r="D232" s="14"/>
      <c r="E232" s="5"/>
      <c r="F232" s="54"/>
      <c r="G232" s="54"/>
      <c r="H232" s="7"/>
      <c r="I232" s="9"/>
      <c r="J232" s="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.75" customHeight="1" x14ac:dyDescent="0.25">
      <c r="A233" s="20"/>
      <c r="B233" s="20"/>
      <c r="C233" s="14"/>
      <c r="D233" s="14"/>
      <c r="E233" s="5"/>
      <c r="F233" s="54"/>
      <c r="G233" s="54"/>
      <c r="H233" s="7"/>
      <c r="I233" s="9"/>
      <c r="J233" s="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75" customHeight="1" x14ac:dyDescent="0.25">
      <c r="A234" s="20"/>
      <c r="B234" s="20"/>
      <c r="C234" s="14"/>
      <c r="D234" s="14"/>
      <c r="E234" s="5"/>
      <c r="F234" s="54"/>
      <c r="G234" s="54"/>
      <c r="H234" s="7"/>
      <c r="I234" s="9"/>
      <c r="J234" s="9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.75" customHeight="1" x14ac:dyDescent="0.25">
      <c r="A235" s="20"/>
      <c r="B235" s="20"/>
      <c r="C235" s="14"/>
      <c r="D235" s="14"/>
      <c r="E235" s="5"/>
      <c r="F235" s="54"/>
      <c r="G235" s="54"/>
      <c r="H235" s="7"/>
      <c r="I235" s="9"/>
      <c r="J235" s="9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.75" customHeight="1" x14ac:dyDescent="0.25">
      <c r="A236" s="20"/>
      <c r="B236" s="20"/>
      <c r="C236" s="14"/>
      <c r="D236" s="14"/>
      <c r="E236" s="5"/>
      <c r="F236" s="54"/>
      <c r="G236" s="54"/>
      <c r="H236" s="7"/>
      <c r="I236" s="9"/>
      <c r="J236" s="9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.75" customHeight="1" x14ac:dyDescent="0.25">
      <c r="A237" s="20"/>
      <c r="B237" s="20"/>
      <c r="C237" s="14"/>
      <c r="D237" s="14"/>
      <c r="E237" s="5"/>
      <c r="F237" s="54"/>
      <c r="G237" s="54"/>
      <c r="H237" s="7"/>
      <c r="I237" s="9"/>
      <c r="J237" s="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2.75" customHeight="1" x14ac:dyDescent="0.25">
      <c r="A238" s="20"/>
      <c r="B238" s="20"/>
      <c r="C238" s="14"/>
      <c r="D238" s="14"/>
      <c r="E238" s="5"/>
      <c r="F238" s="54"/>
      <c r="G238" s="54"/>
      <c r="H238" s="7"/>
      <c r="I238" s="9"/>
      <c r="J238" s="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2.75" customHeight="1" x14ac:dyDescent="0.25">
      <c r="A239" s="20"/>
      <c r="B239" s="20"/>
      <c r="C239" s="14"/>
      <c r="D239" s="14"/>
      <c r="E239" s="5"/>
      <c r="F239" s="54"/>
      <c r="G239" s="54"/>
      <c r="H239" s="7"/>
      <c r="I239" s="9"/>
      <c r="J239" s="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2.75" customHeight="1" x14ac:dyDescent="0.25">
      <c r="A240" s="20"/>
      <c r="B240" s="20"/>
      <c r="C240" s="14"/>
      <c r="D240" s="14"/>
      <c r="E240" s="5"/>
      <c r="F240" s="54"/>
      <c r="G240" s="54"/>
      <c r="H240" s="7"/>
      <c r="I240" s="9"/>
      <c r="J240" s="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2.75" customHeight="1" x14ac:dyDescent="0.25">
      <c r="A241" s="20"/>
      <c r="B241" s="20"/>
      <c r="C241" s="14"/>
      <c r="D241" s="14"/>
      <c r="E241" s="5"/>
      <c r="F241" s="54"/>
      <c r="G241" s="54"/>
      <c r="H241" s="7"/>
      <c r="I241" s="9"/>
      <c r="J241" s="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2.75" customHeight="1" x14ac:dyDescent="0.25">
      <c r="A242" s="20"/>
      <c r="B242" s="20"/>
      <c r="C242" s="14"/>
      <c r="D242" s="14"/>
      <c r="E242" s="5"/>
      <c r="F242" s="54"/>
      <c r="G242" s="54"/>
      <c r="H242" s="7"/>
      <c r="I242" s="9"/>
      <c r="J242" s="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2.75" customHeight="1" x14ac:dyDescent="0.25">
      <c r="A243" s="20"/>
      <c r="B243" s="20"/>
      <c r="C243" s="14"/>
      <c r="D243" s="14"/>
      <c r="E243" s="5"/>
      <c r="F243" s="54"/>
      <c r="G243" s="54"/>
      <c r="H243" s="7"/>
      <c r="I243" s="9"/>
      <c r="J243" s="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2.75" customHeight="1" x14ac:dyDescent="0.25">
      <c r="A244" s="20"/>
      <c r="B244" s="20"/>
      <c r="C244" s="14"/>
      <c r="D244" s="14"/>
      <c r="E244" s="5"/>
      <c r="F244" s="54"/>
      <c r="G244" s="54"/>
      <c r="H244" s="7"/>
      <c r="I244" s="9"/>
      <c r="J244" s="9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2.75" customHeight="1" x14ac:dyDescent="0.25">
      <c r="A245" s="20"/>
      <c r="B245" s="20"/>
      <c r="C245" s="14"/>
      <c r="D245" s="14"/>
      <c r="E245" s="5"/>
      <c r="F245" s="54"/>
      <c r="G245" s="54"/>
      <c r="H245" s="7"/>
      <c r="I245" s="9"/>
      <c r="J245" s="9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2.75" customHeight="1" x14ac:dyDescent="0.25">
      <c r="A246" s="20"/>
      <c r="B246" s="20"/>
      <c r="C246" s="14"/>
      <c r="D246" s="14"/>
      <c r="E246" s="5"/>
      <c r="F246" s="54"/>
      <c r="G246" s="54"/>
      <c r="H246" s="7"/>
      <c r="I246" s="9"/>
      <c r="J246" s="9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2.75" customHeight="1" x14ac:dyDescent="0.25">
      <c r="A247" s="20"/>
      <c r="B247" s="20"/>
      <c r="C247" s="14"/>
      <c r="D247" s="14"/>
      <c r="E247" s="5"/>
      <c r="F247" s="54"/>
      <c r="G247" s="54"/>
      <c r="H247" s="7"/>
      <c r="I247" s="9"/>
      <c r="J247" s="9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2.75" customHeight="1" x14ac:dyDescent="0.25">
      <c r="A248" s="20"/>
      <c r="B248" s="20"/>
      <c r="C248" s="14"/>
      <c r="D248" s="14"/>
      <c r="E248" s="5"/>
      <c r="F248" s="54"/>
      <c r="G248" s="54"/>
      <c r="H248" s="7"/>
      <c r="I248" s="9"/>
      <c r="J248" s="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2.75" customHeight="1" x14ac:dyDescent="0.25">
      <c r="A249" s="20"/>
      <c r="B249" s="20"/>
      <c r="C249" s="14"/>
      <c r="D249" s="14"/>
      <c r="E249" s="5"/>
      <c r="F249" s="54"/>
      <c r="G249" s="54"/>
      <c r="H249" s="7"/>
      <c r="I249" s="9"/>
      <c r="J249" s="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2.75" customHeight="1" x14ac:dyDescent="0.25">
      <c r="A250" s="20"/>
      <c r="B250" s="20"/>
      <c r="C250" s="14"/>
      <c r="D250" s="14"/>
      <c r="E250" s="5"/>
      <c r="F250" s="54"/>
      <c r="G250" s="54"/>
      <c r="H250" s="7"/>
      <c r="I250" s="9"/>
      <c r="J250" s="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2.75" customHeight="1" x14ac:dyDescent="0.25">
      <c r="A251" s="20"/>
      <c r="B251" s="20"/>
      <c r="C251" s="14"/>
      <c r="D251" s="14"/>
      <c r="E251" s="5"/>
      <c r="F251" s="54"/>
      <c r="G251" s="54"/>
      <c r="H251" s="7"/>
      <c r="I251" s="9"/>
      <c r="J251" s="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2.75" customHeight="1" x14ac:dyDescent="0.25">
      <c r="A252" s="20"/>
      <c r="B252" s="20"/>
      <c r="C252" s="14"/>
      <c r="D252" s="14"/>
      <c r="E252" s="5"/>
      <c r="F252" s="54"/>
      <c r="G252" s="54"/>
      <c r="H252" s="7"/>
      <c r="I252" s="9"/>
      <c r="J252" s="9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2.75" customHeight="1" x14ac:dyDescent="0.25">
      <c r="A253" s="20"/>
      <c r="B253" s="20"/>
      <c r="C253" s="14"/>
      <c r="D253" s="14"/>
      <c r="E253" s="5"/>
      <c r="F253" s="54"/>
      <c r="G253" s="54"/>
      <c r="H253" s="7"/>
      <c r="I253" s="9"/>
      <c r="J253" s="9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2.75" customHeight="1" x14ac:dyDescent="0.25">
      <c r="A254" s="20"/>
      <c r="B254" s="20"/>
      <c r="C254" s="14"/>
      <c r="D254" s="14"/>
      <c r="E254" s="5"/>
      <c r="F254" s="54"/>
      <c r="G254" s="54"/>
      <c r="H254" s="7"/>
      <c r="I254" s="9"/>
      <c r="J254" s="9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2.75" customHeight="1" x14ac:dyDescent="0.25">
      <c r="A255" s="20"/>
      <c r="B255" s="20"/>
      <c r="C255" s="14"/>
      <c r="D255" s="14"/>
      <c r="E255" s="5"/>
      <c r="F255" s="54"/>
      <c r="G255" s="54"/>
      <c r="H255" s="7"/>
      <c r="I255" s="9"/>
      <c r="J255" s="9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2.75" customHeight="1" x14ac:dyDescent="0.25">
      <c r="A256" s="20"/>
      <c r="B256" s="20"/>
      <c r="C256" s="14"/>
      <c r="D256" s="14"/>
      <c r="E256" s="5"/>
      <c r="F256" s="54"/>
      <c r="G256" s="54"/>
      <c r="H256" s="7"/>
      <c r="I256" s="9"/>
      <c r="J256" s="9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2.75" customHeight="1" x14ac:dyDescent="0.25">
      <c r="A257" s="20"/>
      <c r="B257" s="20"/>
      <c r="C257" s="14"/>
      <c r="D257" s="14"/>
      <c r="E257" s="5"/>
      <c r="F257" s="54"/>
      <c r="G257" s="54"/>
      <c r="H257" s="7"/>
      <c r="I257" s="9"/>
      <c r="J257" s="9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2.75" customHeight="1" x14ac:dyDescent="0.25">
      <c r="A258" s="20"/>
      <c r="B258" s="20"/>
      <c r="C258" s="14"/>
      <c r="D258" s="14"/>
      <c r="E258" s="5"/>
      <c r="F258" s="54"/>
      <c r="G258" s="54"/>
      <c r="H258" s="7"/>
      <c r="I258" s="9"/>
      <c r="J258" s="9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2.75" customHeight="1" x14ac:dyDescent="0.25">
      <c r="A259" s="20"/>
      <c r="B259" s="20"/>
      <c r="C259" s="14"/>
      <c r="D259" s="14"/>
      <c r="E259" s="5"/>
      <c r="F259" s="54"/>
      <c r="G259" s="54"/>
      <c r="H259" s="7"/>
      <c r="I259" s="9"/>
      <c r="J259" s="21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2.75" customHeight="1" x14ac:dyDescent="0.25">
      <c r="A260" s="20"/>
      <c r="B260" s="20"/>
      <c r="C260" s="14"/>
      <c r="D260" s="14"/>
      <c r="E260" s="5"/>
      <c r="F260" s="54"/>
      <c r="G260" s="54"/>
      <c r="H260" s="7"/>
      <c r="I260" s="9"/>
      <c r="J260" s="9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2.75" customHeight="1" x14ac:dyDescent="0.25">
      <c r="A261" s="20"/>
      <c r="B261" s="20"/>
      <c r="C261" s="14"/>
      <c r="D261" s="14"/>
      <c r="E261" s="5"/>
      <c r="F261" s="54"/>
      <c r="G261" s="54"/>
      <c r="H261" s="7"/>
      <c r="I261" s="9"/>
      <c r="J261" s="9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2.75" customHeight="1" x14ac:dyDescent="0.25">
      <c r="A262" s="20"/>
      <c r="B262" s="20"/>
      <c r="C262" s="14"/>
      <c r="D262" s="14"/>
      <c r="E262" s="5"/>
      <c r="F262" s="54"/>
      <c r="G262" s="54"/>
      <c r="H262" s="7"/>
      <c r="I262" s="9"/>
      <c r="J262" s="9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2.75" customHeight="1" x14ac:dyDescent="0.25">
      <c r="A263" s="20"/>
      <c r="B263" s="20"/>
      <c r="C263" s="14"/>
      <c r="D263" s="14"/>
      <c r="E263" s="5"/>
      <c r="F263" s="54"/>
      <c r="G263" s="54"/>
      <c r="H263" s="7"/>
      <c r="I263" s="9"/>
      <c r="J263" s="9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2.75" customHeight="1" x14ac:dyDescent="0.25">
      <c r="A264" s="20"/>
      <c r="B264" s="20"/>
      <c r="C264" s="14"/>
      <c r="D264" s="14"/>
      <c r="E264" s="5"/>
      <c r="F264" s="54"/>
      <c r="G264" s="54"/>
      <c r="H264" s="7"/>
      <c r="I264" s="9"/>
      <c r="J264" s="21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2.75" customHeight="1" x14ac:dyDescent="0.25">
      <c r="A265" s="20"/>
      <c r="B265" s="20"/>
      <c r="C265" s="14"/>
      <c r="D265" s="14"/>
      <c r="E265" s="5"/>
      <c r="F265" s="54"/>
      <c r="G265" s="54"/>
      <c r="H265" s="7"/>
      <c r="I265" s="9"/>
      <c r="J265" s="21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2.75" customHeight="1" x14ac:dyDescent="0.25">
      <c r="A266" s="20"/>
      <c r="B266" s="20"/>
      <c r="C266" s="14"/>
      <c r="D266" s="14"/>
      <c r="E266" s="5"/>
      <c r="F266" s="54"/>
      <c r="G266" s="54"/>
      <c r="H266" s="7"/>
      <c r="I266" s="9"/>
      <c r="J266" s="21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2.75" customHeight="1" x14ac:dyDescent="0.25">
      <c r="A267" s="20"/>
      <c r="B267" s="20"/>
      <c r="C267" s="14"/>
      <c r="D267" s="14"/>
      <c r="E267" s="5"/>
      <c r="F267" s="54"/>
      <c r="G267" s="54"/>
      <c r="H267" s="7"/>
      <c r="I267" s="9"/>
      <c r="J267" s="21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2.75" customHeight="1" x14ac:dyDescent="0.25">
      <c r="A268" s="20"/>
      <c r="B268" s="20"/>
      <c r="C268" s="14"/>
      <c r="D268" s="14"/>
      <c r="E268" s="5"/>
      <c r="F268" s="54"/>
      <c r="G268" s="54"/>
      <c r="H268" s="7"/>
      <c r="I268" s="9"/>
      <c r="J268" s="21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2.75" customHeight="1" x14ac:dyDescent="0.25">
      <c r="A269" s="20"/>
      <c r="B269" s="20"/>
      <c r="C269" s="14"/>
      <c r="D269" s="14"/>
      <c r="E269" s="5"/>
      <c r="F269" s="54"/>
      <c r="G269" s="54"/>
      <c r="H269" s="7"/>
      <c r="I269" s="9"/>
      <c r="J269" s="21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 customHeight="1" x14ac:dyDescent="0.25">
      <c r="A270" s="20"/>
      <c r="B270" s="20"/>
      <c r="C270" s="14"/>
      <c r="D270" s="14"/>
      <c r="E270" s="5"/>
      <c r="F270" s="54"/>
      <c r="G270" s="54"/>
      <c r="H270" s="7"/>
      <c r="I270" s="9"/>
      <c r="J270" s="21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 customHeight="1" x14ac:dyDescent="0.25">
      <c r="A271" s="20"/>
      <c r="B271" s="20"/>
      <c r="C271" s="14"/>
      <c r="D271" s="14"/>
      <c r="E271" s="5"/>
      <c r="F271" s="54"/>
      <c r="G271" s="54"/>
      <c r="H271" s="7"/>
      <c r="I271" s="9"/>
      <c r="J271" s="21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 customHeight="1" x14ac:dyDescent="0.25">
      <c r="A272" s="20"/>
      <c r="B272" s="20"/>
      <c r="C272" s="14"/>
      <c r="D272" s="14"/>
      <c r="E272" s="5"/>
      <c r="F272" s="54"/>
      <c r="G272" s="54"/>
      <c r="H272" s="7"/>
      <c r="I272" s="9"/>
      <c r="J272" s="21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 customHeight="1" x14ac:dyDescent="0.25">
      <c r="A273" s="20"/>
      <c r="B273" s="20"/>
      <c r="C273" s="14"/>
      <c r="D273" s="14"/>
      <c r="E273" s="5"/>
      <c r="F273" s="54"/>
      <c r="G273" s="54"/>
      <c r="H273" s="7"/>
      <c r="I273" s="9"/>
      <c r="J273" s="21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 customHeight="1" x14ac:dyDescent="0.25">
      <c r="A274" s="20"/>
      <c r="B274" s="20"/>
      <c r="C274" s="14"/>
      <c r="D274" s="14"/>
      <c r="E274" s="5"/>
      <c r="F274" s="54"/>
      <c r="G274" s="54"/>
      <c r="H274" s="7"/>
      <c r="I274" s="9"/>
      <c r="J274" s="21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 customHeight="1" x14ac:dyDescent="0.25">
      <c r="A275" s="20"/>
      <c r="B275" s="20"/>
      <c r="C275" s="14"/>
      <c r="D275" s="14"/>
      <c r="E275" s="5"/>
      <c r="F275" s="54"/>
      <c r="G275" s="54"/>
      <c r="H275" s="7"/>
      <c r="I275" s="9"/>
      <c r="J275" s="21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 customHeight="1" x14ac:dyDescent="0.25">
      <c r="A276" s="20"/>
      <c r="B276" s="20"/>
      <c r="C276" s="14"/>
      <c r="D276" s="14"/>
      <c r="E276" s="5"/>
      <c r="F276" s="54"/>
      <c r="G276" s="54"/>
      <c r="H276" s="7"/>
      <c r="I276" s="9"/>
      <c r="J276" s="21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2.75" customHeight="1" x14ac:dyDescent="0.25">
      <c r="A277" s="20"/>
      <c r="B277" s="20"/>
      <c r="C277" s="14"/>
      <c r="D277" s="14"/>
      <c r="E277" s="5"/>
      <c r="F277" s="54"/>
      <c r="G277" s="54"/>
      <c r="H277" s="7"/>
      <c r="I277" s="9"/>
      <c r="J277" s="21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 customHeight="1" x14ac:dyDescent="0.25">
      <c r="A278" s="20"/>
      <c r="B278" s="20"/>
      <c r="C278" s="14"/>
      <c r="D278" s="14"/>
      <c r="E278" s="5"/>
      <c r="F278" s="54"/>
      <c r="G278" s="54"/>
      <c r="H278" s="7"/>
      <c r="I278" s="9"/>
      <c r="J278" s="21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 customHeight="1" x14ac:dyDescent="0.25">
      <c r="A279" s="20"/>
      <c r="B279" s="20"/>
      <c r="C279" s="14"/>
      <c r="D279" s="14"/>
      <c r="E279" s="5"/>
      <c r="F279" s="54"/>
      <c r="G279" s="54"/>
      <c r="H279" s="7"/>
      <c r="I279" s="9"/>
      <c r="J279" s="21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 customHeight="1" x14ac:dyDescent="0.25">
      <c r="A280" s="20"/>
      <c r="B280" s="20"/>
      <c r="C280" s="14"/>
      <c r="D280" s="14"/>
      <c r="E280" s="5"/>
      <c r="F280" s="54"/>
      <c r="G280" s="54"/>
      <c r="H280" s="7"/>
      <c r="I280" s="9"/>
      <c r="J280" s="9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 customHeight="1" x14ac:dyDescent="0.25">
      <c r="A281" s="20"/>
      <c r="B281" s="20"/>
      <c r="C281" s="14"/>
      <c r="D281" s="14"/>
      <c r="E281" s="5"/>
      <c r="F281" s="54"/>
      <c r="G281" s="54"/>
      <c r="H281" s="7"/>
      <c r="I281" s="9"/>
      <c r="J281" s="21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 customHeight="1" x14ac:dyDescent="0.25">
      <c r="A282" s="20"/>
      <c r="B282" s="20"/>
      <c r="C282" s="14"/>
      <c r="D282" s="14"/>
      <c r="E282" s="5"/>
      <c r="F282" s="54"/>
      <c r="G282" s="54"/>
      <c r="H282" s="7"/>
      <c r="I282" s="9"/>
      <c r="J282" s="21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 customHeight="1" x14ac:dyDescent="0.25">
      <c r="A283" s="20"/>
      <c r="B283" s="20"/>
      <c r="C283" s="14"/>
      <c r="D283" s="14"/>
      <c r="E283" s="5"/>
      <c r="F283" s="54"/>
      <c r="G283" s="54"/>
      <c r="H283" s="7"/>
      <c r="I283" s="9"/>
      <c r="J283" s="21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 customHeight="1" x14ac:dyDescent="0.25">
      <c r="A284" s="20"/>
      <c r="B284" s="20"/>
      <c r="C284" s="14"/>
      <c r="D284" s="14"/>
      <c r="E284" s="5"/>
      <c r="F284" s="54"/>
      <c r="G284" s="54"/>
      <c r="H284" s="7"/>
      <c r="I284" s="9"/>
      <c r="J284" s="21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 customHeight="1" x14ac:dyDescent="0.25">
      <c r="A285" s="20"/>
      <c r="B285" s="20"/>
      <c r="C285" s="14"/>
      <c r="D285" s="14"/>
      <c r="E285" s="5"/>
      <c r="F285" s="54"/>
      <c r="G285" s="54"/>
      <c r="H285" s="7"/>
      <c r="I285" s="9"/>
      <c r="J285" s="21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 customHeight="1" x14ac:dyDescent="0.25">
      <c r="A286" s="20"/>
      <c r="B286" s="20"/>
      <c r="C286" s="14"/>
      <c r="D286" s="14"/>
      <c r="E286" s="5"/>
      <c r="F286" s="54"/>
      <c r="G286" s="54"/>
      <c r="H286" s="7"/>
      <c r="I286" s="9"/>
      <c r="J286" s="21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2.75" customHeight="1" x14ac:dyDescent="0.25">
      <c r="A287" s="20"/>
      <c r="B287" s="20"/>
      <c r="C287" s="14"/>
      <c r="D287" s="14"/>
      <c r="E287" s="5"/>
      <c r="F287" s="54"/>
      <c r="G287" s="54"/>
      <c r="H287" s="7"/>
      <c r="I287" s="9"/>
      <c r="J287" s="21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2.75" customHeight="1" x14ac:dyDescent="0.25">
      <c r="A288" s="20"/>
      <c r="B288" s="20"/>
      <c r="C288" s="14"/>
      <c r="D288" s="14"/>
      <c r="E288" s="5"/>
      <c r="F288" s="54"/>
      <c r="G288" s="54"/>
      <c r="H288" s="7"/>
      <c r="I288" s="9"/>
      <c r="J288" s="21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2.75" customHeight="1" x14ac:dyDescent="0.25">
      <c r="A289" s="20"/>
      <c r="B289" s="20"/>
      <c r="C289" s="14"/>
      <c r="D289" s="14"/>
      <c r="E289" s="5"/>
      <c r="F289" s="54"/>
      <c r="G289" s="54"/>
      <c r="H289" s="7"/>
      <c r="I289" s="9"/>
      <c r="J289" s="21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2.75" customHeight="1" x14ac:dyDescent="0.25">
      <c r="A290" s="20"/>
      <c r="B290" s="20"/>
      <c r="C290" s="14"/>
      <c r="D290" s="14"/>
      <c r="E290" s="5"/>
      <c r="F290" s="54"/>
      <c r="G290" s="54"/>
      <c r="H290" s="7"/>
      <c r="I290" s="9"/>
      <c r="J290" s="21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2.75" customHeight="1" x14ac:dyDescent="0.25">
      <c r="A291" s="20"/>
      <c r="B291" s="20"/>
      <c r="C291" s="14"/>
      <c r="D291" s="14"/>
      <c r="E291" s="5"/>
      <c r="F291" s="54"/>
      <c r="G291" s="54"/>
      <c r="H291" s="7"/>
      <c r="I291" s="9"/>
      <c r="J291" s="21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2.75" customHeight="1" x14ac:dyDescent="0.25">
      <c r="A292" s="20"/>
      <c r="B292" s="20"/>
      <c r="C292" s="14"/>
      <c r="D292" s="14"/>
      <c r="E292" s="5"/>
      <c r="F292" s="54"/>
      <c r="G292" s="54"/>
      <c r="H292" s="7"/>
      <c r="I292" s="9"/>
      <c r="J292" s="21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2.75" customHeight="1" x14ac:dyDescent="0.25">
      <c r="A293" s="20"/>
      <c r="B293" s="20"/>
      <c r="C293" s="14"/>
      <c r="D293" s="14"/>
      <c r="E293" s="5"/>
      <c r="F293" s="54"/>
      <c r="G293" s="54"/>
      <c r="H293" s="7"/>
      <c r="I293" s="9"/>
      <c r="J293" s="21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2.75" customHeight="1" x14ac:dyDescent="0.25">
      <c r="A294" s="20"/>
      <c r="B294" s="20"/>
      <c r="C294" s="14"/>
      <c r="D294" s="14"/>
      <c r="E294" s="5"/>
      <c r="F294" s="54"/>
      <c r="G294" s="54"/>
      <c r="H294" s="7"/>
      <c r="I294" s="9"/>
      <c r="J294" s="21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2.75" customHeight="1" x14ac:dyDescent="0.25">
      <c r="A295" s="20"/>
      <c r="B295" s="20"/>
      <c r="C295" s="14"/>
      <c r="D295" s="14"/>
      <c r="E295" s="5"/>
      <c r="F295" s="54"/>
      <c r="G295" s="54"/>
      <c r="H295" s="7"/>
      <c r="I295" s="9"/>
      <c r="J295" s="21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2.75" customHeight="1" x14ac:dyDescent="0.25">
      <c r="A296" s="20"/>
      <c r="B296" s="20"/>
      <c r="C296" s="14"/>
      <c r="D296" s="14"/>
      <c r="E296" s="5"/>
      <c r="F296" s="54"/>
      <c r="G296" s="54"/>
      <c r="H296" s="7"/>
      <c r="I296" s="9"/>
      <c r="J296" s="21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2.75" customHeight="1" x14ac:dyDescent="0.25">
      <c r="A297" s="20"/>
      <c r="B297" s="20"/>
      <c r="C297" s="14"/>
      <c r="D297" s="14"/>
      <c r="E297" s="5"/>
      <c r="F297" s="54"/>
      <c r="G297" s="54"/>
      <c r="H297" s="7"/>
      <c r="I297" s="9"/>
      <c r="J297" s="21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2.75" customHeight="1" x14ac:dyDescent="0.25">
      <c r="A298" s="20"/>
      <c r="B298" s="20"/>
      <c r="C298" s="14"/>
      <c r="D298" s="14"/>
      <c r="E298" s="5"/>
      <c r="F298" s="54"/>
      <c r="G298" s="54"/>
      <c r="H298" s="7"/>
      <c r="I298" s="9"/>
      <c r="J298" s="21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2.75" customHeight="1" x14ac:dyDescent="0.25">
      <c r="A299" s="20"/>
      <c r="B299" s="20"/>
      <c r="C299" s="14"/>
      <c r="D299" s="14"/>
      <c r="E299" s="5"/>
      <c r="F299" s="54"/>
      <c r="G299" s="54"/>
      <c r="H299" s="7"/>
      <c r="I299" s="9"/>
      <c r="J299" s="21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2.75" customHeight="1" x14ac:dyDescent="0.25">
      <c r="A300" s="20"/>
      <c r="B300" s="20"/>
      <c r="C300" s="14"/>
      <c r="D300" s="14"/>
      <c r="E300" s="5"/>
      <c r="F300" s="54"/>
      <c r="G300" s="54"/>
      <c r="H300" s="7"/>
      <c r="I300" s="9"/>
      <c r="J300" s="21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2.75" customHeight="1" x14ac:dyDescent="0.25">
      <c r="A301" s="20"/>
      <c r="B301" s="20"/>
      <c r="C301" s="14"/>
      <c r="D301" s="14"/>
      <c r="E301" s="5"/>
      <c r="F301" s="54"/>
      <c r="G301" s="54"/>
      <c r="H301" s="7"/>
      <c r="I301" s="9"/>
      <c r="J301" s="21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2.75" customHeight="1" x14ac:dyDescent="0.25">
      <c r="A302" s="20"/>
      <c r="B302" s="20"/>
      <c r="C302" s="14"/>
      <c r="D302" s="14"/>
      <c r="E302" s="5"/>
      <c r="F302" s="54"/>
      <c r="G302" s="54"/>
      <c r="H302" s="7"/>
      <c r="I302" s="9"/>
      <c r="J302" s="21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2.75" customHeight="1" x14ac:dyDescent="0.25">
      <c r="A303" s="20"/>
      <c r="B303" s="20"/>
      <c r="C303" s="14"/>
      <c r="D303" s="14"/>
      <c r="E303" s="5"/>
      <c r="F303" s="54"/>
      <c r="G303" s="54"/>
      <c r="H303" s="7"/>
      <c r="I303" s="9"/>
      <c r="J303" s="21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2.75" customHeight="1" x14ac:dyDescent="0.25">
      <c r="A304" s="20"/>
      <c r="B304" s="20"/>
      <c r="C304" s="14"/>
      <c r="D304" s="14"/>
      <c r="E304" s="5"/>
      <c r="F304" s="54"/>
      <c r="G304" s="54"/>
      <c r="H304" s="7"/>
      <c r="I304" s="9"/>
      <c r="J304" s="21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2.75" customHeight="1" x14ac:dyDescent="0.25">
      <c r="A305" s="20"/>
      <c r="B305" s="20"/>
      <c r="C305" s="14"/>
      <c r="D305" s="14"/>
      <c r="E305" s="5"/>
      <c r="F305" s="54"/>
      <c r="G305" s="54"/>
      <c r="H305" s="7"/>
      <c r="I305" s="9"/>
      <c r="J305" s="21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2.75" customHeight="1" x14ac:dyDescent="0.25">
      <c r="A306" s="20"/>
      <c r="B306" s="20"/>
      <c r="C306" s="14"/>
      <c r="D306" s="14"/>
      <c r="E306" s="5"/>
      <c r="F306" s="54"/>
      <c r="G306" s="54"/>
      <c r="H306" s="7"/>
      <c r="I306" s="9"/>
      <c r="J306" s="21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2.75" customHeight="1" x14ac:dyDescent="0.25">
      <c r="A307" s="20"/>
      <c r="B307" s="20"/>
      <c r="C307" s="14"/>
      <c r="D307" s="14"/>
      <c r="E307" s="5"/>
      <c r="F307" s="54"/>
      <c r="G307" s="54"/>
      <c r="H307" s="7"/>
      <c r="I307" s="9"/>
      <c r="J307" s="21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2.75" customHeight="1" x14ac:dyDescent="0.25">
      <c r="A308" s="20"/>
      <c r="B308" s="20"/>
      <c r="C308" s="14"/>
      <c r="D308" s="14"/>
      <c r="E308" s="5"/>
      <c r="F308" s="54"/>
      <c r="G308" s="54"/>
      <c r="H308" s="7"/>
      <c r="I308" s="9"/>
      <c r="J308" s="21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2.75" customHeight="1" x14ac:dyDescent="0.25">
      <c r="A309" s="20"/>
      <c r="B309" s="20"/>
      <c r="C309" s="14"/>
      <c r="D309" s="14"/>
      <c r="E309" s="5"/>
      <c r="F309" s="54"/>
      <c r="G309" s="54"/>
      <c r="H309" s="7"/>
      <c r="I309" s="9"/>
      <c r="J309" s="21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2.75" customHeight="1" x14ac:dyDescent="0.25">
      <c r="A310" s="20"/>
      <c r="B310" s="20"/>
      <c r="C310" s="14"/>
      <c r="D310" s="14"/>
      <c r="E310" s="5"/>
      <c r="F310" s="54"/>
      <c r="G310" s="54"/>
      <c r="H310" s="7"/>
      <c r="I310" s="9"/>
      <c r="J310" s="21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2.75" customHeight="1" x14ac:dyDescent="0.25">
      <c r="A311" s="20"/>
      <c r="B311" s="20"/>
      <c r="C311" s="14"/>
      <c r="D311" s="14"/>
      <c r="E311" s="5"/>
      <c r="F311" s="54"/>
      <c r="G311" s="54"/>
      <c r="H311" s="7"/>
      <c r="I311" s="9"/>
      <c r="J311" s="21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2.75" customHeight="1" x14ac:dyDescent="0.25">
      <c r="A312" s="20"/>
      <c r="B312" s="20"/>
      <c r="C312" s="14"/>
      <c r="D312" s="14"/>
      <c r="E312" s="5"/>
      <c r="F312" s="54"/>
      <c r="G312" s="54"/>
      <c r="H312" s="7"/>
      <c r="I312" s="9"/>
      <c r="J312" s="21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2.75" customHeight="1" x14ac:dyDescent="0.25">
      <c r="A313" s="20"/>
      <c r="B313" s="20"/>
      <c r="C313" s="14"/>
      <c r="D313" s="14"/>
      <c r="E313" s="5"/>
      <c r="F313" s="54"/>
      <c r="G313" s="54"/>
      <c r="H313" s="7"/>
      <c r="I313" s="9"/>
      <c r="J313" s="21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2.75" customHeight="1" x14ac:dyDescent="0.25">
      <c r="A314" s="20"/>
      <c r="B314" s="20"/>
      <c r="C314" s="14"/>
      <c r="D314" s="14"/>
      <c r="E314" s="5"/>
      <c r="F314" s="54"/>
      <c r="G314" s="54"/>
      <c r="H314" s="7"/>
      <c r="I314" s="9"/>
      <c r="J314" s="21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2.75" customHeight="1" x14ac:dyDescent="0.25">
      <c r="A315" s="20"/>
      <c r="B315" s="20"/>
      <c r="C315" s="14"/>
      <c r="D315" s="14"/>
      <c r="E315" s="5"/>
      <c r="F315" s="54"/>
      <c r="G315" s="54"/>
      <c r="H315" s="7"/>
      <c r="I315" s="9"/>
      <c r="J315" s="21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2.75" customHeight="1" x14ac:dyDescent="0.25">
      <c r="A316" s="20"/>
      <c r="B316" s="20"/>
      <c r="C316" s="14"/>
      <c r="D316" s="14"/>
      <c r="E316" s="5"/>
      <c r="F316" s="54"/>
      <c r="G316" s="54"/>
      <c r="H316" s="7"/>
      <c r="I316" s="9"/>
      <c r="J316" s="21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2.75" customHeight="1" x14ac:dyDescent="0.25">
      <c r="A317" s="20"/>
      <c r="B317" s="20"/>
      <c r="C317" s="14"/>
      <c r="D317" s="14"/>
      <c r="E317" s="5"/>
      <c r="F317" s="54"/>
      <c r="G317" s="54"/>
      <c r="H317" s="7"/>
      <c r="I317" s="9"/>
      <c r="J317" s="21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2.75" customHeight="1" x14ac:dyDescent="0.25">
      <c r="A318" s="20"/>
      <c r="B318" s="20"/>
      <c r="C318" s="14"/>
      <c r="D318" s="14"/>
      <c r="E318" s="5"/>
      <c r="F318" s="54"/>
      <c r="G318" s="54"/>
      <c r="H318" s="7"/>
      <c r="I318" s="9"/>
      <c r="J318" s="21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2.75" customHeight="1" x14ac:dyDescent="0.25">
      <c r="A319" s="20"/>
      <c r="B319" s="20"/>
      <c r="C319" s="14"/>
      <c r="D319" s="14"/>
      <c r="E319" s="5"/>
      <c r="F319" s="54"/>
      <c r="G319" s="54"/>
      <c r="H319" s="7"/>
      <c r="I319" s="9"/>
      <c r="J319" s="21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2.75" customHeight="1" x14ac:dyDescent="0.25">
      <c r="A320" s="20"/>
      <c r="B320" s="20"/>
      <c r="C320" s="14"/>
      <c r="D320" s="14"/>
      <c r="E320" s="5"/>
      <c r="F320" s="54"/>
      <c r="G320" s="54"/>
      <c r="H320" s="7"/>
      <c r="I320" s="9"/>
      <c r="J320" s="21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2.75" customHeight="1" x14ac:dyDescent="0.25">
      <c r="A321" s="20"/>
      <c r="B321" s="20"/>
      <c r="C321" s="14"/>
      <c r="D321" s="14"/>
      <c r="E321" s="5"/>
      <c r="F321" s="54"/>
      <c r="G321" s="54"/>
      <c r="H321" s="7"/>
      <c r="I321" s="9"/>
      <c r="J321" s="21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2.75" customHeight="1" x14ac:dyDescent="0.25">
      <c r="A322" s="20"/>
      <c r="B322" s="20"/>
      <c r="C322" s="14"/>
      <c r="D322" s="14"/>
      <c r="E322" s="5"/>
      <c r="F322" s="54"/>
      <c r="G322" s="54"/>
      <c r="H322" s="7"/>
      <c r="I322" s="9"/>
      <c r="J322" s="21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2.75" customHeight="1" x14ac:dyDescent="0.25">
      <c r="A323" s="20"/>
      <c r="B323" s="20"/>
      <c r="C323" s="14"/>
      <c r="D323" s="14"/>
      <c r="E323" s="5"/>
      <c r="F323" s="54"/>
      <c r="G323" s="54"/>
      <c r="H323" s="7"/>
      <c r="I323" s="9"/>
      <c r="J323" s="21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2.75" customHeight="1" x14ac:dyDescent="0.25">
      <c r="A324" s="20"/>
      <c r="B324" s="20"/>
      <c r="C324" s="14"/>
      <c r="D324" s="14"/>
      <c r="E324" s="5"/>
      <c r="F324" s="54"/>
      <c r="G324" s="54"/>
      <c r="H324" s="7"/>
      <c r="I324" s="9"/>
      <c r="J324" s="21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2.75" customHeight="1" x14ac:dyDescent="0.25">
      <c r="A325" s="20"/>
      <c r="B325" s="20"/>
      <c r="C325" s="14"/>
      <c r="D325" s="14"/>
      <c r="E325" s="5"/>
      <c r="F325" s="54"/>
      <c r="G325" s="54"/>
      <c r="H325" s="7"/>
      <c r="I325" s="9"/>
      <c r="J325" s="21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2.75" customHeight="1" x14ac:dyDescent="0.25">
      <c r="A326" s="20"/>
      <c r="B326" s="20"/>
      <c r="C326" s="14"/>
      <c r="D326" s="14"/>
      <c r="E326" s="5"/>
      <c r="F326" s="54"/>
      <c r="G326" s="54"/>
      <c r="H326" s="7"/>
      <c r="I326" s="9"/>
      <c r="J326" s="21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2.75" customHeight="1" x14ac:dyDescent="0.25">
      <c r="A327" s="20"/>
      <c r="B327" s="20"/>
      <c r="C327" s="14"/>
      <c r="D327" s="14"/>
      <c r="E327" s="5"/>
      <c r="F327" s="54"/>
      <c r="G327" s="54"/>
      <c r="H327" s="7"/>
      <c r="I327" s="9"/>
      <c r="J327" s="21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 customHeight="1" x14ac:dyDescent="0.25">
      <c r="A328" s="20"/>
      <c r="B328" s="20"/>
      <c r="C328" s="14"/>
      <c r="D328" s="14"/>
      <c r="E328" s="5"/>
      <c r="F328" s="54"/>
      <c r="G328" s="54"/>
      <c r="H328" s="7"/>
      <c r="I328" s="9"/>
      <c r="J328" s="21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 customHeight="1" x14ac:dyDescent="0.25">
      <c r="A329" s="20"/>
      <c r="B329" s="20"/>
      <c r="C329" s="14"/>
      <c r="D329" s="14"/>
      <c r="E329" s="5"/>
      <c r="F329" s="54"/>
      <c r="G329" s="54"/>
      <c r="H329" s="7"/>
      <c r="I329" s="9"/>
      <c r="J329" s="21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2.75" customHeight="1" x14ac:dyDescent="0.25">
      <c r="A330" s="20"/>
      <c r="B330" s="20"/>
      <c r="C330" s="14"/>
      <c r="D330" s="14"/>
      <c r="E330" s="5"/>
      <c r="F330" s="54"/>
      <c r="G330" s="54"/>
      <c r="H330" s="7"/>
      <c r="I330" s="9"/>
      <c r="J330" s="21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 customHeight="1" x14ac:dyDescent="0.25">
      <c r="A331" s="20"/>
      <c r="B331" s="20"/>
      <c r="C331" s="14"/>
      <c r="D331" s="14"/>
      <c r="E331" s="5"/>
      <c r="F331" s="54"/>
      <c r="G331" s="54"/>
      <c r="H331" s="7"/>
      <c r="I331" s="9"/>
      <c r="J331" s="21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 customHeight="1" x14ac:dyDescent="0.25">
      <c r="A332" s="20"/>
      <c r="B332" s="20"/>
      <c r="C332" s="14"/>
      <c r="D332" s="14"/>
      <c r="E332" s="5"/>
      <c r="F332" s="54"/>
      <c r="G332" s="54"/>
      <c r="H332" s="7"/>
      <c r="I332" s="9"/>
      <c r="J332" s="21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 customHeight="1" x14ac:dyDescent="0.25">
      <c r="A333" s="20"/>
      <c r="B333" s="20"/>
      <c r="C333" s="14"/>
      <c r="D333" s="14"/>
      <c r="E333" s="5"/>
      <c r="F333" s="54"/>
      <c r="G333" s="54"/>
      <c r="H333" s="7"/>
      <c r="I333" s="9"/>
      <c r="J333" s="21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 customHeight="1" x14ac:dyDescent="0.25">
      <c r="A334" s="20"/>
      <c r="B334" s="20"/>
      <c r="C334" s="14"/>
      <c r="D334" s="14"/>
      <c r="E334" s="5"/>
      <c r="F334" s="54"/>
      <c r="G334" s="54"/>
      <c r="H334" s="7"/>
      <c r="I334" s="9"/>
      <c r="J334" s="21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2.75" customHeight="1" x14ac:dyDescent="0.25">
      <c r="A335" s="20"/>
      <c r="B335" s="20"/>
      <c r="C335" s="14"/>
      <c r="D335" s="14"/>
      <c r="E335" s="5"/>
      <c r="F335" s="54"/>
      <c r="G335" s="54"/>
      <c r="H335" s="7"/>
      <c r="I335" s="9"/>
      <c r="J335" s="21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2.75" customHeight="1" x14ac:dyDescent="0.25">
      <c r="A336" s="20"/>
      <c r="B336" s="20"/>
      <c r="C336" s="14"/>
      <c r="D336" s="14"/>
      <c r="E336" s="5"/>
      <c r="F336" s="54"/>
      <c r="G336" s="54"/>
      <c r="H336" s="7"/>
      <c r="I336" s="9"/>
      <c r="J336" s="21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2.75" customHeight="1" x14ac:dyDescent="0.25">
      <c r="A337" s="20"/>
      <c r="B337" s="20"/>
      <c r="C337" s="14"/>
      <c r="D337" s="14"/>
      <c r="E337" s="5"/>
      <c r="F337" s="54"/>
      <c r="G337" s="54"/>
      <c r="H337" s="7"/>
      <c r="I337" s="9"/>
      <c r="J337" s="21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2.75" customHeight="1" x14ac:dyDescent="0.25">
      <c r="A338" s="20"/>
      <c r="B338" s="20"/>
      <c r="C338" s="14"/>
      <c r="D338" s="14"/>
      <c r="E338" s="5"/>
      <c r="F338" s="54"/>
      <c r="G338" s="54"/>
      <c r="H338" s="7"/>
      <c r="I338" s="9"/>
      <c r="J338" s="21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2.75" customHeight="1" x14ac:dyDescent="0.25">
      <c r="A339" s="20"/>
      <c r="B339" s="20"/>
      <c r="C339" s="14"/>
      <c r="D339" s="14"/>
      <c r="E339" s="5"/>
      <c r="F339" s="54"/>
      <c r="G339" s="54"/>
      <c r="H339" s="7"/>
      <c r="I339" s="9"/>
      <c r="J339" s="21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 customHeight="1" x14ac:dyDescent="0.25">
      <c r="A340" s="20"/>
      <c r="B340" s="20"/>
      <c r="C340" s="14"/>
      <c r="D340" s="14"/>
      <c r="E340" s="5"/>
      <c r="F340" s="54"/>
      <c r="G340" s="54"/>
      <c r="H340" s="7"/>
      <c r="I340" s="9"/>
      <c r="J340" s="21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2.75" customHeight="1" x14ac:dyDescent="0.25">
      <c r="A341" s="20"/>
      <c r="B341" s="20"/>
      <c r="C341" s="14"/>
      <c r="D341" s="14"/>
      <c r="E341" s="5"/>
      <c r="F341" s="54"/>
      <c r="G341" s="54"/>
      <c r="H341" s="7"/>
      <c r="I341" s="9"/>
      <c r="J341" s="21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2.75" customHeight="1" x14ac:dyDescent="0.25">
      <c r="A342" s="20"/>
      <c r="B342" s="20"/>
      <c r="C342" s="14"/>
      <c r="D342" s="14"/>
      <c r="E342" s="5"/>
      <c r="F342" s="54"/>
      <c r="G342" s="54"/>
      <c r="H342" s="7"/>
      <c r="I342" s="9"/>
      <c r="J342" s="21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 customHeight="1" x14ac:dyDescent="0.25">
      <c r="A343" s="20"/>
      <c r="B343" s="20"/>
      <c r="C343" s="14"/>
      <c r="D343" s="14"/>
      <c r="E343" s="5"/>
      <c r="F343" s="54"/>
      <c r="G343" s="54"/>
      <c r="H343" s="7"/>
      <c r="I343" s="9"/>
      <c r="J343" s="21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2.75" customHeight="1" x14ac:dyDescent="0.25">
      <c r="A344" s="20"/>
      <c r="B344" s="20"/>
      <c r="C344" s="14"/>
      <c r="D344" s="14"/>
      <c r="E344" s="5"/>
      <c r="F344" s="54"/>
      <c r="G344" s="54"/>
      <c r="H344" s="7"/>
      <c r="I344" s="9"/>
      <c r="J344" s="21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2.75" customHeight="1" x14ac:dyDescent="0.25">
      <c r="A345" s="20"/>
      <c r="B345" s="20"/>
      <c r="C345" s="14"/>
      <c r="D345" s="14"/>
      <c r="E345" s="5"/>
      <c r="F345" s="54"/>
      <c r="G345" s="54"/>
      <c r="H345" s="7"/>
      <c r="I345" s="9"/>
      <c r="J345" s="21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2.75" customHeight="1" x14ac:dyDescent="0.25">
      <c r="A346" s="20"/>
      <c r="B346" s="20"/>
      <c r="C346" s="14"/>
      <c r="D346" s="14"/>
      <c r="E346" s="5"/>
      <c r="F346" s="54"/>
      <c r="G346" s="54"/>
      <c r="H346" s="7"/>
      <c r="I346" s="9"/>
      <c r="J346" s="21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 customHeight="1" x14ac:dyDescent="0.25">
      <c r="A347" s="20"/>
      <c r="B347" s="20"/>
      <c r="C347" s="14"/>
      <c r="D347" s="14"/>
      <c r="E347" s="5"/>
      <c r="F347" s="54"/>
      <c r="G347" s="54"/>
      <c r="H347" s="7"/>
      <c r="I347" s="9"/>
      <c r="J347" s="21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 customHeight="1" x14ac:dyDescent="0.25">
      <c r="A348" s="20"/>
      <c r="B348" s="20"/>
      <c r="C348" s="14"/>
      <c r="D348" s="14"/>
      <c r="E348" s="5"/>
      <c r="F348" s="54"/>
      <c r="G348" s="54"/>
      <c r="H348" s="7"/>
      <c r="I348" s="9"/>
      <c r="J348" s="21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 customHeight="1" x14ac:dyDescent="0.25">
      <c r="A349" s="20"/>
      <c r="B349" s="20"/>
      <c r="C349" s="14"/>
      <c r="D349" s="14"/>
      <c r="E349" s="5"/>
      <c r="F349" s="54"/>
      <c r="G349" s="54"/>
      <c r="H349" s="7"/>
      <c r="I349" s="9"/>
      <c r="J349" s="21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 customHeight="1" x14ac:dyDescent="0.25">
      <c r="A350" s="20"/>
      <c r="B350" s="20"/>
      <c r="C350" s="14"/>
      <c r="D350" s="14"/>
      <c r="E350" s="5"/>
      <c r="F350" s="54"/>
      <c r="G350" s="54"/>
      <c r="H350" s="7"/>
      <c r="I350" s="9"/>
      <c r="J350" s="21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 customHeight="1" x14ac:dyDescent="0.25">
      <c r="A351" s="20"/>
      <c r="B351" s="20"/>
      <c r="C351" s="14"/>
      <c r="D351" s="14"/>
      <c r="E351" s="5"/>
      <c r="F351" s="54"/>
      <c r="G351" s="54"/>
      <c r="H351" s="7"/>
      <c r="I351" s="9"/>
      <c r="J351" s="21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 customHeight="1" x14ac:dyDescent="0.25">
      <c r="A352" s="20"/>
      <c r="B352" s="20"/>
      <c r="C352" s="14"/>
      <c r="D352" s="14"/>
      <c r="E352" s="5"/>
      <c r="F352" s="54"/>
      <c r="G352" s="54"/>
      <c r="H352" s="7"/>
      <c r="I352" s="9"/>
      <c r="J352" s="21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2.75" customHeight="1" x14ac:dyDescent="0.25">
      <c r="A353" s="20"/>
      <c r="B353" s="20"/>
      <c r="C353" s="14"/>
      <c r="D353" s="14"/>
      <c r="E353" s="5"/>
      <c r="F353" s="54"/>
      <c r="G353" s="54"/>
      <c r="H353" s="7"/>
      <c r="I353" s="9"/>
      <c r="J353" s="21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2.75" customHeight="1" x14ac:dyDescent="0.25">
      <c r="A354" s="20"/>
      <c r="B354" s="20"/>
      <c r="C354" s="14"/>
      <c r="D354" s="14"/>
      <c r="E354" s="5"/>
      <c r="F354" s="54"/>
      <c r="G354" s="54"/>
      <c r="H354" s="7"/>
      <c r="I354" s="9"/>
      <c r="J354" s="21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 customHeight="1" x14ac:dyDescent="0.25">
      <c r="A355" s="20"/>
      <c r="B355" s="20"/>
      <c r="C355" s="14"/>
      <c r="D355" s="14"/>
      <c r="E355" s="5"/>
      <c r="F355" s="54"/>
      <c r="G355" s="54"/>
      <c r="H355" s="7"/>
      <c r="I355" s="9"/>
      <c r="J355" s="21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 customHeight="1" x14ac:dyDescent="0.25">
      <c r="A356" s="20"/>
      <c r="B356" s="20"/>
      <c r="C356" s="14"/>
      <c r="D356" s="14"/>
      <c r="E356" s="5"/>
      <c r="F356" s="54"/>
      <c r="G356" s="54"/>
      <c r="H356" s="7"/>
      <c r="I356" s="9"/>
      <c r="J356" s="21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 customHeight="1" x14ac:dyDescent="0.25">
      <c r="A357" s="20"/>
      <c r="B357" s="20"/>
      <c r="C357" s="14"/>
      <c r="D357" s="14"/>
      <c r="E357" s="5"/>
      <c r="F357" s="54"/>
      <c r="G357" s="54"/>
      <c r="H357" s="7"/>
      <c r="I357" s="9"/>
      <c r="J357" s="21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 customHeight="1" x14ac:dyDescent="0.25">
      <c r="A358" s="20"/>
      <c r="B358" s="20"/>
      <c r="C358" s="14"/>
      <c r="D358" s="14"/>
      <c r="E358" s="5"/>
      <c r="F358" s="54"/>
      <c r="G358" s="54"/>
      <c r="H358" s="7"/>
      <c r="I358" s="9"/>
      <c r="J358" s="21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2.75" customHeight="1" x14ac:dyDescent="0.25">
      <c r="A359" s="20"/>
      <c r="B359" s="20"/>
      <c r="C359" s="14"/>
      <c r="D359" s="14"/>
      <c r="E359" s="5"/>
      <c r="F359" s="54"/>
      <c r="G359" s="54"/>
      <c r="H359" s="7"/>
      <c r="I359" s="9"/>
      <c r="J359" s="21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2.75" customHeight="1" x14ac:dyDescent="0.25">
      <c r="A360" s="20"/>
      <c r="B360" s="20"/>
      <c r="C360" s="14"/>
      <c r="D360" s="14"/>
      <c r="E360" s="5"/>
      <c r="F360" s="54"/>
      <c r="G360" s="54"/>
      <c r="H360" s="7"/>
      <c r="I360" s="9"/>
      <c r="J360" s="21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 customHeight="1" x14ac:dyDescent="0.25">
      <c r="A361" s="20"/>
      <c r="B361" s="20"/>
      <c r="C361" s="14"/>
      <c r="D361" s="14"/>
      <c r="E361" s="5"/>
      <c r="F361" s="54"/>
      <c r="G361" s="54"/>
      <c r="H361" s="7"/>
      <c r="I361" s="9"/>
      <c r="J361" s="21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 customHeight="1" x14ac:dyDescent="0.25">
      <c r="A362" s="20"/>
      <c r="B362" s="20"/>
      <c r="C362" s="14"/>
      <c r="D362" s="14"/>
      <c r="E362" s="5"/>
      <c r="F362" s="54"/>
      <c r="G362" s="54"/>
      <c r="H362" s="7"/>
      <c r="I362" s="9"/>
      <c r="J362" s="21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2.75" customHeight="1" x14ac:dyDescent="0.25">
      <c r="A363" s="20"/>
      <c r="B363" s="20"/>
      <c r="C363" s="14"/>
      <c r="D363" s="14"/>
      <c r="E363" s="5"/>
      <c r="F363" s="54"/>
      <c r="G363" s="54"/>
      <c r="H363" s="7"/>
      <c r="I363" s="9"/>
      <c r="J363" s="21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2.75" customHeight="1" x14ac:dyDescent="0.25">
      <c r="A364" s="20"/>
      <c r="B364" s="20"/>
      <c r="C364" s="14"/>
      <c r="D364" s="14"/>
      <c r="E364" s="5"/>
      <c r="F364" s="54"/>
      <c r="G364" s="54"/>
      <c r="H364" s="7"/>
      <c r="I364" s="9"/>
      <c r="J364" s="21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2.75" customHeight="1" x14ac:dyDescent="0.25">
      <c r="A365" s="20"/>
      <c r="B365" s="20"/>
      <c r="C365" s="14"/>
      <c r="D365" s="14"/>
      <c r="E365" s="5"/>
      <c r="F365" s="54"/>
      <c r="G365" s="54"/>
      <c r="H365" s="7"/>
      <c r="I365" s="9"/>
      <c r="J365" s="21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 customHeight="1" x14ac:dyDescent="0.25">
      <c r="A366" s="20"/>
      <c r="B366" s="20"/>
      <c r="C366" s="14"/>
      <c r="D366" s="14"/>
      <c r="E366" s="5"/>
      <c r="F366" s="54"/>
      <c r="G366" s="54"/>
      <c r="H366" s="7"/>
      <c r="I366" s="9"/>
      <c r="J366" s="21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 customHeight="1" x14ac:dyDescent="0.25">
      <c r="A367" s="20"/>
      <c r="B367" s="20"/>
      <c r="C367" s="14"/>
      <c r="D367" s="14"/>
      <c r="E367" s="5"/>
      <c r="F367" s="54"/>
      <c r="G367" s="54"/>
      <c r="H367" s="7"/>
      <c r="I367" s="9"/>
      <c r="J367" s="21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 customHeight="1" x14ac:dyDescent="0.25">
      <c r="A368" s="20"/>
      <c r="B368" s="20"/>
      <c r="C368" s="14"/>
      <c r="D368" s="14"/>
      <c r="E368" s="5"/>
      <c r="F368" s="54"/>
      <c r="G368" s="54"/>
      <c r="H368" s="7"/>
      <c r="I368" s="9"/>
      <c r="J368" s="21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 customHeight="1" x14ac:dyDescent="0.25">
      <c r="A369" s="20"/>
      <c r="B369" s="20"/>
      <c r="C369" s="14"/>
      <c r="D369" s="14"/>
      <c r="E369" s="5"/>
      <c r="F369" s="54"/>
      <c r="G369" s="54"/>
      <c r="H369" s="7"/>
      <c r="I369" s="9"/>
      <c r="J369" s="21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2.75" customHeight="1" x14ac:dyDescent="0.25">
      <c r="A370" s="20"/>
      <c r="B370" s="20"/>
      <c r="C370" s="14"/>
      <c r="D370" s="14"/>
      <c r="E370" s="5"/>
      <c r="F370" s="54"/>
      <c r="G370" s="54"/>
      <c r="H370" s="7"/>
      <c r="I370" s="9"/>
      <c r="J370" s="21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2.75" customHeight="1" x14ac:dyDescent="0.25">
      <c r="A371" s="20"/>
      <c r="B371" s="20"/>
      <c r="C371" s="14"/>
      <c r="D371" s="14"/>
      <c r="E371" s="5"/>
      <c r="F371" s="54"/>
      <c r="G371" s="54"/>
      <c r="H371" s="7"/>
      <c r="I371" s="9"/>
      <c r="J371" s="21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2.75" customHeight="1" x14ac:dyDescent="0.25">
      <c r="A372" s="20"/>
      <c r="B372" s="20"/>
      <c r="C372" s="14"/>
      <c r="D372" s="14"/>
      <c r="E372" s="5"/>
      <c r="F372" s="54"/>
      <c r="G372" s="54"/>
      <c r="H372" s="7"/>
      <c r="I372" s="9"/>
      <c r="J372" s="21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2.75" customHeight="1" x14ac:dyDescent="0.25">
      <c r="A373" s="20"/>
      <c r="B373" s="20"/>
      <c r="C373" s="14"/>
      <c r="D373" s="14"/>
      <c r="E373" s="5"/>
      <c r="F373" s="54"/>
      <c r="G373" s="54"/>
      <c r="H373" s="7"/>
      <c r="I373" s="9"/>
      <c r="J373" s="21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2.75" customHeight="1" x14ac:dyDescent="0.25">
      <c r="A374" s="20"/>
      <c r="B374" s="20"/>
      <c r="C374" s="14"/>
      <c r="D374" s="14"/>
      <c r="E374" s="5"/>
      <c r="F374" s="54"/>
      <c r="G374" s="54"/>
      <c r="H374" s="7"/>
      <c r="I374" s="9"/>
      <c r="J374" s="21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 customHeight="1" x14ac:dyDescent="0.25">
      <c r="A375" s="20"/>
      <c r="B375" s="20"/>
      <c r="C375" s="14"/>
      <c r="D375" s="14"/>
      <c r="E375" s="5"/>
      <c r="F375" s="54"/>
      <c r="G375" s="54"/>
      <c r="H375" s="7"/>
      <c r="I375" s="9"/>
      <c r="J375" s="21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 customHeight="1" x14ac:dyDescent="0.25">
      <c r="A376" s="20"/>
      <c r="B376" s="20"/>
      <c r="C376" s="14"/>
      <c r="D376" s="14"/>
      <c r="E376" s="5"/>
      <c r="F376" s="54"/>
      <c r="G376" s="54"/>
      <c r="H376" s="7"/>
      <c r="I376" s="9"/>
      <c r="J376" s="21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 customHeight="1" x14ac:dyDescent="0.25">
      <c r="A377" s="20"/>
      <c r="B377" s="20"/>
      <c r="C377" s="14"/>
      <c r="D377" s="14"/>
      <c r="E377" s="5"/>
      <c r="F377" s="54"/>
      <c r="G377" s="54"/>
      <c r="H377" s="7"/>
      <c r="I377" s="9"/>
      <c r="J377" s="21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 customHeight="1" x14ac:dyDescent="0.25">
      <c r="A378" s="20"/>
      <c r="B378" s="20"/>
      <c r="C378" s="14"/>
      <c r="D378" s="14"/>
      <c r="E378" s="5"/>
      <c r="F378" s="54"/>
      <c r="G378" s="54"/>
      <c r="H378" s="7"/>
      <c r="I378" s="9"/>
      <c r="J378" s="21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 customHeight="1" x14ac:dyDescent="0.25">
      <c r="A379" s="20"/>
      <c r="B379" s="20"/>
      <c r="C379" s="14"/>
      <c r="D379" s="14"/>
      <c r="E379" s="5"/>
      <c r="F379" s="54"/>
      <c r="G379" s="54"/>
      <c r="H379" s="7"/>
      <c r="I379" s="9"/>
      <c r="J379" s="21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 customHeight="1" x14ac:dyDescent="0.25">
      <c r="A380" s="20"/>
      <c r="B380" s="20"/>
      <c r="C380" s="14"/>
      <c r="D380" s="14"/>
      <c r="E380" s="5"/>
      <c r="F380" s="54"/>
      <c r="G380" s="54"/>
      <c r="H380" s="7"/>
      <c r="I380" s="9"/>
      <c r="J380" s="21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2.75" customHeight="1" x14ac:dyDescent="0.25">
      <c r="A381" s="20"/>
      <c r="B381" s="20"/>
      <c r="C381" s="14"/>
      <c r="D381" s="14"/>
      <c r="E381" s="5"/>
      <c r="F381" s="54"/>
      <c r="G381" s="54"/>
      <c r="H381" s="7"/>
      <c r="I381" s="9"/>
      <c r="J381" s="21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2.75" customHeight="1" x14ac:dyDescent="0.25">
      <c r="A382" s="20"/>
      <c r="B382" s="20"/>
      <c r="C382" s="14"/>
      <c r="D382" s="14"/>
      <c r="E382" s="5"/>
      <c r="F382" s="54"/>
      <c r="G382" s="54"/>
      <c r="H382" s="7"/>
      <c r="I382" s="9"/>
      <c r="J382" s="21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2.75" customHeight="1" x14ac:dyDescent="0.25">
      <c r="A383" s="20"/>
      <c r="B383" s="20"/>
      <c r="C383" s="14"/>
      <c r="D383" s="14"/>
      <c r="E383" s="5"/>
      <c r="F383" s="54"/>
      <c r="G383" s="54"/>
      <c r="H383" s="7"/>
      <c r="I383" s="9"/>
      <c r="J383" s="21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2.75" customHeight="1" x14ac:dyDescent="0.25">
      <c r="A384" s="20"/>
      <c r="B384" s="20"/>
      <c r="C384" s="14"/>
      <c r="D384" s="14"/>
      <c r="E384" s="5"/>
      <c r="F384" s="54"/>
      <c r="G384" s="54"/>
      <c r="H384" s="7"/>
      <c r="I384" s="9"/>
      <c r="J384" s="21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2.75" customHeight="1" x14ac:dyDescent="0.25">
      <c r="A385" s="20"/>
      <c r="B385" s="20"/>
      <c r="C385" s="14"/>
      <c r="D385" s="14"/>
      <c r="E385" s="5"/>
      <c r="F385" s="54"/>
      <c r="G385" s="54"/>
      <c r="H385" s="7"/>
      <c r="I385" s="9"/>
      <c r="J385" s="21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2.75" customHeight="1" x14ac:dyDescent="0.25">
      <c r="A386" s="20"/>
      <c r="B386" s="20"/>
      <c r="C386" s="14"/>
      <c r="D386" s="14"/>
      <c r="E386" s="5"/>
      <c r="F386" s="54"/>
      <c r="G386" s="54"/>
      <c r="H386" s="7"/>
      <c r="I386" s="9"/>
      <c r="J386" s="21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2.75" customHeight="1" x14ac:dyDescent="0.25">
      <c r="A387" s="20"/>
      <c r="B387" s="20"/>
      <c r="C387" s="14"/>
      <c r="D387" s="14"/>
      <c r="E387" s="5"/>
      <c r="F387" s="54"/>
      <c r="G387" s="54"/>
      <c r="H387" s="7"/>
      <c r="I387" s="9"/>
      <c r="J387" s="21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2.75" customHeight="1" x14ac:dyDescent="0.25">
      <c r="A388" s="20"/>
      <c r="B388" s="20"/>
      <c r="C388" s="14"/>
      <c r="D388" s="14"/>
      <c r="E388" s="5"/>
      <c r="F388" s="54"/>
      <c r="G388" s="54"/>
      <c r="H388" s="7"/>
      <c r="I388" s="9"/>
      <c r="J388" s="21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2.75" customHeight="1" x14ac:dyDescent="0.25">
      <c r="A389" s="20"/>
      <c r="B389" s="20"/>
      <c r="C389" s="14"/>
      <c r="D389" s="14"/>
      <c r="E389" s="5"/>
      <c r="F389" s="54"/>
      <c r="G389" s="54"/>
      <c r="H389" s="7"/>
      <c r="I389" s="9"/>
      <c r="J389" s="21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2.75" customHeight="1" x14ac:dyDescent="0.25">
      <c r="A390" s="20"/>
      <c r="B390" s="20"/>
      <c r="C390" s="14"/>
      <c r="D390" s="14"/>
      <c r="E390" s="5"/>
      <c r="F390" s="54"/>
      <c r="G390" s="54"/>
      <c r="H390" s="7"/>
      <c r="I390" s="9"/>
      <c r="J390" s="21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2.75" customHeight="1" x14ac:dyDescent="0.25">
      <c r="A391" s="20"/>
      <c r="B391" s="20"/>
      <c r="C391" s="14"/>
      <c r="D391" s="14"/>
      <c r="E391" s="5"/>
      <c r="F391" s="54"/>
      <c r="G391" s="54"/>
      <c r="H391" s="7"/>
      <c r="I391" s="9"/>
      <c r="J391" s="21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2.75" customHeight="1" x14ac:dyDescent="0.25">
      <c r="A392" s="20"/>
      <c r="B392" s="20"/>
      <c r="C392" s="14"/>
      <c r="D392" s="14"/>
      <c r="E392" s="5"/>
      <c r="F392" s="54"/>
      <c r="G392" s="54"/>
      <c r="H392" s="7"/>
      <c r="I392" s="9"/>
      <c r="J392" s="21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2.75" customHeight="1" x14ac:dyDescent="0.25">
      <c r="A393" s="20"/>
      <c r="B393" s="20"/>
      <c r="C393" s="14"/>
      <c r="D393" s="14"/>
      <c r="E393" s="5"/>
      <c r="F393" s="54"/>
      <c r="G393" s="54"/>
      <c r="H393" s="7"/>
      <c r="I393" s="9"/>
      <c r="J393" s="21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2.75" customHeight="1" x14ac:dyDescent="0.25">
      <c r="A394" s="20"/>
      <c r="B394" s="20"/>
      <c r="C394" s="14"/>
      <c r="D394" s="14"/>
      <c r="E394" s="5"/>
      <c r="F394" s="54"/>
      <c r="G394" s="54"/>
      <c r="H394" s="7"/>
      <c r="I394" s="9"/>
      <c r="J394" s="21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2.75" customHeight="1" x14ac:dyDescent="0.25">
      <c r="A395" s="20"/>
      <c r="B395" s="20"/>
      <c r="C395" s="14"/>
      <c r="D395" s="14"/>
      <c r="E395" s="5"/>
      <c r="F395" s="54"/>
      <c r="G395" s="54"/>
      <c r="H395" s="7"/>
      <c r="I395" s="9"/>
      <c r="J395" s="21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2.75" customHeight="1" x14ac:dyDescent="0.25">
      <c r="A396" s="20"/>
      <c r="B396" s="20"/>
      <c r="C396" s="14"/>
      <c r="D396" s="14"/>
      <c r="E396" s="5"/>
      <c r="F396" s="54"/>
      <c r="G396" s="54"/>
      <c r="H396" s="7"/>
      <c r="I396" s="9"/>
      <c r="J396" s="21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2.75" customHeight="1" x14ac:dyDescent="0.25">
      <c r="A397" s="20"/>
      <c r="B397" s="20"/>
      <c r="C397" s="14"/>
      <c r="D397" s="14"/>
      <c r="E397" s="5"/>
      <c r="F397" s="54"/>
      <c r="G397" s="54"/>
      <c r="H397" s="7"/>
      <c r="I397" s="9"/>
      <c r="J397" s="21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2.75" customHeight="1" x14ac:dyDescent="0.25">
      <c r="A398" s="20"/>
      <c r="B398" s="20"/>
      <c r="C398" s="14"/>
      <c r="D398" s="14"/>
      <c r="E398" s="5"/>
      <c r="F398" s="54"/>
      <c r="G398" s="54"/>
      <c r="H398" s="7"/>
      <c r="I398" s="9"/>
      <c r="J398" s="21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2.75" customHeight="1" x14ac:dyDescent="0.25">
      <c r="A399" s="20"/>
      <c r="B399" s="20"/>
      <c r="C399" s="14"/>
      <c r="D399" s="14"/>
      <c r="E399" s="5"/>
      <c r="F399" s="54"/>
      <c r="G399" s="54"/>
      <c r="H399" s="7"/>
      <c r="I399" s="9"/>
      <c r="J399" s="21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2.75" customHeight="1" x14ac:dyDescent="0.25">
      <c r="A400" s="20"/>
      <c r="B400" s="20"/>
      <c r="C400" s="14"/>
      <c r="D400" s="14"/>
      <c r="E400" s="5"/>
      <c r="F400" s="54"/>
      <c r="G400" s="54"/>
      <c r="H400" s="7"/>
      <c r="I400" s="9"/>
      <c r="J400" s="21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2.75" customHeight="1" x14ac:dyDescent="0.25">
      <c r="A401" s="20"/>
      <c r="B401" s="20"/>
      <c r="C401" s="14"/>
      <c r="D401" s="14"/>
      <c r="E401" s="5"/>
      <c r="F401" s="54"/>
      <c r="G401" s="54"/>
      <c r="H401" s="7"/>
      <c r="I401" s="9"/>
      <c r="J401" s="21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2.75" customHeight="1" x14ac:dyDescent="0.25">
      <c r="A402" s="20"/>
      <c r="B402" s="20"/>
      <c r="C402" s="14"/>
      <c r="D402" s="14"/>
      <c r="E402" s="5"/>
      <c r="F402" s="54"/>
      <c r="G402" s="54"/>
      <c r="H402" s="7"/>
      <c r="I402" s="9"/>
      <c r="J402" s="21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2.75" customHeight="1" x14ac:dyDescent="0.25">
      <c r="A403" s="20"/>
      <c r="B403" s="20"/>
      <c r="C403" s="14"/>
      <c r="D403" s="14"/>
      <c r="E403" s="5"/>
      <c r="F403" s="54"/>
      <c r="G403" s="54"/>
      <c r="H403" s="7"/>
      <c r="I403" s="9"/>
      <c r="J403" s="21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2.75" customHeight="1" x14ac:dyDescent="0.25">
      <c r="A404" s="20"/>
      <c r="B404" s="20"/>
      <c r="C404" s="14"/>
      <c r="D404" s="14"/>
      <c r="E404" s="5"/>
      <c r="F404" s="54"/>
      <c r="G404" s="54"/>
      <c r="H404" s="7"/>
      <c r="I404" s="9"/>
      <c r="J404" s="21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2.75" customHeight="1" x14ac:dyDescent="0.25">
      <c r="A405" s="20"/>
      <c r="B405" s="20"/>
      <c r="C405" s="14"/>
      <c r="D405" s="14"/>
      <c r="E405" s="5"/>
      <c r="F405" s="54"/>
      <c r="G405" s="54"/>
      <c r="H405" s="7"/>
      <c r="I405" s="9"/>
      <c r="J405" s="21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2.75" customHeight="1" x14ac:dyDescent="0.25">
      <c r="A406" s="20"/>
      <c r="B406" s="20"/>
      <c r="C406" s="14"/>
      <c r="D406" s="14"/>
      <c r="E406" s="5"/>
      <c r="F406" s="54"/>
      <c r="G406" s="54"/>
      <c r="H406" s="7"/>
      <c r="I406" s="9"/>
      <c r="J406" s="21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2.75" customHeight="1" x14ac:dyDescent="0.25">
      <c r="A407" s="20"/>
      <c r="B407" s="20"/>
      <c r="C407" s="14"/>
      <c r="D407" s="14"/>
      <c r="E407" s="5"/>
      <c r="F407" s="54"/>
      <c r="G407" s="54"/>
      <c r="H407" s="7"/>
      <c r="I407" s="9"/>
      <c r="J407" s="21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2.75" customHeight="1" x14ac:dyDescent="0.25">
      <c r="A408" s="20"/>
      <c r="B408" s="20"/>
      <c r="C408" s="14"/>
      <c r="D408" s="14"/>
      <c r="E408" s="5"/>
      <c r="F408" s="54"/>
      <c r="G408" s="54"/>
      <c r="H408" s="7"/>
      <c r="I408" s="9"/>
      <c r="J408" s="21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2.75" customHeight="1" x14ac:dyDescent="0.25">
      <c r="A409" s="20"/>
      <c r="B409" s="20"/>
      <c r="C409" s="14"/>
      <c r="D409" s="14"/>
      <c r="E409" s="5"/>
      <c r="F409" s="54"/>
      <c r="G409" s="54"/>
      <c r="H409" s="7"/>
      <c r="I409" s="9"/>
      <c r="J409" s="21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2.75" customHeight="1" x14ac:dyDescent="0.25">
      <c r="A410" s="20"/>
      <c r="B410" s="20"/>
      <c r="C410" s="14"/>
      <c r="D410" s="14"/>
      <c r="E410" s="5"/>
      <c r="F410" s="54"/>
      <c r="G410" s="54"/>
      <c r="H410" s="7"/>
      <c r="I410" s="9"/>
      <c r="J410" s="21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2.75" customHeight="1" x14ac:dyDescent="0.25">
      <c r="A411" s="20"/>
      <c r="B411" s="20"/>
      <c r="C411" s="14"/>
      <c r="D411" s="14"/>
      <c r="E411" s="5"/>
      <c r="F411" s="54"/>
      <c r="G411" s="54"/>
      <c r="H411" s="7"/>
      <c r="I411" s="9"/>
      <c r="J411" s="21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2.75" customHeight="1" x14ac:dyDescent="0.25">
      <c r="A412" s="20"/>
      <c r="B412" s="20"/>
      <c r="C412" s="14"/>
      <c r="D412" s="14"/>
      <c r="E412" s="5"/>
      <c r="F412" s="54"/>
      <c r="G412" s="54"/>
      <c r="H412" s="7"/>
      <c r="I412" s="9"/>
      <c r="J412" s="21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2.75" customHeight="1" x14ac:dyDescent="0.25">
      <c r="A413" s="20"/>
      <c r="B413" s="20"/>
      <c r="C413" s="14"/>
      <c r="D413" s="14"/>
      <c r="E413" s="5"/>
      <c r="F413" s="54"/>
      <c r="G413" s="54"/>
      <c r="H413" s="7"/>
      <c r="I413" s="9"/>
      <c r="J413" s="21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2.75" customHeight="1" x14ac:dyDescent="0.25">
      <c r="A414" s="20"/>
      <c r="B414" s="20"/>
      <c r="C414" s="14"/>
      <c r="D414" s="14"/>
      <c r="E414" s="5"/>
      <c r="F414" s="54"/>
      <c r="G414" s="54"/>
      <c r="H414" s="7"/>
      <c r="I414" s="9"/>
      <c r="J414" s="21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2.75" customHeight="1" x14ac:dyDescent="0.25">
      <c r="A415" s="20"/>
      <c r="B415" s="20"/>
      <c r="C415" s="14"/>
      <c r="D415" s="14"/>
      <c r="E415" s="5"/>
      <c r="F415" s="54"/>
      <c r="G415" s="54"/>
      <c r="H415" s="7"/>
      <c r="I415" s="9"/>
      <c r="J415" s="21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2.75" customHeight="1" x14ac:dyDescent="0.25">
      <c r="A416" s="20"/>
      <c r="B416" s="20"/>
      <c r="C416" s="14"/>
      <c r="D416" s="14"/>
      <c r="E416" s="5"/>
      <c r="F416" s="54"/>
      <c r="G416" s="54"/>
      <c r="H416" s="7"/>
      <c r="I416" s="9"/>
      <c r="J416" s="21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2.75" customHeight="1" x14ac:dyDescent="0.25">
      <c r="A417" s="20"/>
      <c r="B417" s="20"/>
      <c r="C417" s="14"/>
      <c r="D417" s="14"/>
      <c r="E417" s="5"/>
      <c r="F417" s="54"/>
      <c r="G417" s="54"/>
      <c r="H417" s="7"/>
      <c r="I417" s="9"/>
      <c r="J417" s="21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2.75" customHeight="1" x14ac:dyDescent="0.25">
      <c r="A418" s="20"/>
      <c r="B418" s="20"/>
      <c r="C418" s="14"/>
      <c r="D418" s="14"/>
      <c r="E418" s="5"/>
      <c r="F418" s="54"/>
      <c r="G418" s="54"/>
      <c r="H418" s="7"/>
      <c r="I418" s="9"/>
      <c r="J418" s="21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2.75" customHeight="1" x14ac:dyDescent="0.25">
      <c r="A419" s="20"/>
      <c r="B419" s="20"/>
      <c r="C419" s="14"/>
      <c r="D419" s="14"/>
      <c r="E419" s="5"/>
      <c r="F419" s="54"/>
      <c r="G419" s="54"/>
      <c r="H419" s="7"/>
      <c r="I419" s="9"/>
      <c r="J419" s="21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2.75" customHeight="1" x14ac:dyDescent="0.25">
      <c r="A420" s="20"/>
      <c r="B420" s="20"/>
      <c r="C420" s="14"/>
      <c r="D420" s="14"/>
      <c r="E420" s="5"/>
      <c r="F420" s="54"/>
      <c r="G420" s="54"/>
      <c r="H420" s="7"/>
      <c r="I420" s="9"/>
      <c r="J420" s="21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2.75" customHeight="1" x14ac:dyDescent="0.25">
      <c r="A421" s="20"/>
      <c r="B421" s="20"/>
      <c r="C421" s="14"/>
      <c r="D421" s="14"/>
      <c r="E421" s="5"/>
      <c r="F421" s="54"/>
      <c r="G421" s="54"/>
      <c r="H421" s="7"/>
      <c r="I421" s="9"/>
      <c r="J421" s="21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2.75" customHeight="1" x14ac:dyDescent="0.25">
      <c r="A422" s="20"/>
      <c r="B422" s="20"/>
      <c r="C422" s="14"/>
      <c r="D422" s="14"/>
      <c r="E422" s="5"/>
      <c r="F422" s="54"/>
      <c r="G422" s="54"/>
      <c r="H422" s="7"/>
      <c r="I422" s="9"/>
      <c r="J422" s="21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2.75" customHeight="1" x14ac:dyDescent="0.25">
      <c r="A423" s="20"/>
      <c r="B423" s="20"/>
      <c r="C423" s="14"/>
      <c r="D423" s="14"/>
      <c r="E423" s="5"/>
      <c r="F423" s="54"/>
      <c r="G423" s="54"/>
      <c r="H423" s="7"/>
      <c r="I423" s="9"/>
      <c r="J423" s="21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2.75" customHeight="1" x14ac:dyDescent="0.25">
      <c r="A424" s="20"/>
      <c r="B424" s="20"/>
      <c r="C424" s="14"/>
      <c r="D424" s="14"/>
      <c r="E424" s="5"/>
      <c r="F424" s="54"/>
      <c r="G424" s="54"/>
      <c r="H424" s="7"/>
      <c r="I424" s="9"/>
      <c r="J424" s="21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2.75" customHeight="1" x14ac:dyDescent="0.25">
      <c r="A425" s="20"/>
      <c r="B425" s="20"/>
      <c r="C425" s="14"/>
      <c r="D425" s="14"/>
      <c r="E425" s="5"/>
      <c r="F425" s="54"/>
      <c r="G425" s="54"/>
      <c r="H425" s="7"/>
      <c r="I425" s="9"/>
      <c r="J425" s="21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2.75" customHeight="1" x14ac:dyDescent="0.25">
      <c r="A426" s="20"/>
      <c r="B426" s="20"/>
      <c r="C426" s="14"/>
      <c r="D426" s="14"/>
      <c r="E426" s="5"/>
      <c r="F426" s="54"/>
      <c r="G426" s="54"/>
      <c r="H426" s="7"/>
      <c r="I426" s="9"/>
      <c r="J426" s="21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2.75" customHeight="1" x14ac:dyDescent="0.25">
      <c r="A427" s="20"/>
      <c r="B427" s="20"/>
      <c r="C427" s="14"/>
      <c r="D427" s="14"/>
      <c r="E427" s="5"/>
      <c r="F427" s="54"/>
      <c r="G427" s="54"/>
      <c r="H427" s="7"/>
      <c r="I427" s="9"/>
      <c r="J427" s="21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2.75" customHeight="1" x14ac:dyDescent="0.25">
      <c r="A428" s="20"/>
      <c r="B428" s="20"/>
      <c r="C428" s="14"/>
      <c r="D428" s="14"/>
      <c r="E428" s="5"/>
      <c r="F428" s="54"/>
      <c r="G428" s="54"/>
      <c r="H428" s="7"/>
      <c r="I428" s="9"/>
      <c r="J428" s="21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2.75" customHeight="1" x14ac:dyDescent="0.25">
      <c r="A429" s="20"/>
      <c r="B429" s="20"/>
      <c r="C429" s="14"/>
      <c r="D429" s="14"/>
      <c r="E429" s="5"/>
      <c r="F429" s="54"/>
      <c r="G429" s="54"/>
      <c r="H429" s="7"/>
      <c r="I429" s="9"/>
      <c r="J429" s="21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2.75" customHeight="1" x14ac:dyDescent="0.25">
      <c r="A430" s="20"/>
      <c r="B430" s="20"/>
      <c r="C430" s="14"/>
      <c r="D430" s="14"/>
      <c r="E430" s="5"/>
      <c r="F430" s="54"/>
      <c r="G430" s="54"/>
      <c r="H430" s="7"/>
      <c r="I430" s="9"/>
      <c r="J430" s="21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2.75" customHeight="1" x14ac:dyDescent="0.25">
      <c r="A431" s="20"/>
      <c r="B431" s="20"/>
      <c r="C431" s="14"/>
      <c r="D431" s="14"/>
      <c r="E431" s="5"/>
      <c r="F431" s="54"/>
      <c r="G431" s="54"/>
      <c r="H431" s="7"/>
      <c r="I431" s="9"/>
      <c r="J431" s="21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2.75" customHeight="1" x14ac:dyDescent="0.25">
      <c r="A432" s="20"/>
      <c r="B432" s="20"/>
      <c r="C432" s="14"/>
      <c r="D432" s="14"/>
      <c r="E432" s="5"/>
      <c r="F432" s="54"/>
      <c r="G432" s="54"/>
      <c r="H432" s="7"/>
      <c r="I432" s="9"/>
      <c r="J432" s="21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2.75" customHeight="1" x14ac:dyDescent="0.25">
      <c r="A433" s="20"/>
      <c r="B433" s="20"/>
      <c r="C433" s="14"/>
      <c r="D433" s="14"/>
      <c r="E433" s="5"/>
      <c r="F433" s="54"/>
      <c r="G433" s="54"/>
      <c r="H433" s="7"/>
      <c r="I433" s="9"/>
      <c r="J433" s="21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2.75" customHeight="1" x14ac:dyDescent="0.25">
      <c r="A434" s="20"/>
      <c r="B434" s="20"/>
      <c r="C434" s="14"/>
      <c r="D434" s="14"/>
      <c r="E434" s="5"/>
      <c r="F434" s="54"/>
      <c r="G434" s="54"/>
      <c r="H434" s="7"/>
      <c r="I434" s="9"/>
      <c r="J434" s="21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2.75" customHeight="1" x14ac:dyDescent="0.25">
      <c r="A435" s="20"/>
      <c r="B435" s="20"/>
      <c r="C435" s="14"/>
      <c r="D435" s="14"/>
      <c r="E435" s="5"/>
      <c r="F435" s="54"/>
      <c r="G435" s="54"/>
      <c r="H435" s="7"/>
      <c r="I435" s="9"/>
      <c r="J435" s="21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2.75" customHeight="1" x14ac:dyDescent="0.25">
      <c r="A436" s="20"/>
      <c r="B436" s="20"/>
      <c r="C436" s="14"/>
      <c r="D436" s="14"/>
      <c r="E436" s="5"/>
      <c r="F436" s="54"/>
      <c r="G436" s="54"/>
      <c r="H436" s="7"/>
      <c r="I436" s="9"/>
      <c r="J436" s="21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2.75" customHeight="1" x14ac:dyDescent="0.25">
      <c r="A437" s="20"/>
      <c r="B437" s="20"/>
      <c r="C437" s="14"/>
      <c r="D437" s="14"/>
      <c r="E437" s="5"/>
      <c r="F437" s="54"/>
      <c r="G437" s="54"/>
      <c r="H437" s="7"/>
      <c r="I437" s="9"/>
      <c r="J437" s="21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2.75" customHeight="1" x14ac:dyDescent="0.25">
      <c r="A438" s="20"/>
      <c r="B438" s="20"/>
      <c r="C438" s="14"/>
      <c r="D438" s="14"/>
      <c r="E438" s="5"/>
      <c r="F438" s="54"/>
      <c r="G438" s="54"/>
      <c r="H438" s="7"/>
      <c r="I438" s="9"/>
      <c r="J438" s="21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2.75" customHeight="1" x14ac:dyDescent="0.25">
      <c r="A439" s="20"/>
      <c r="B439" s="20"/>
      <c r="C439" s="14"/>
      <c r="D439" s="14"/>
      <c r="E439" s="5"/>
      <c r="F439" s="54"/>
      <c r="G439" s="54"/>
      <c r="H439" s="7"/>
      <c r="I439" s="9"/>
      <c r="J439" s="21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2.75" customHeight="1" x14ac:dyDescent="0.25">
      <c r="A440" s="20"/>
      <c r="B440" s="20"/>
      <c r="C440" s="14"/>
      <c r="D440" s="14"/>
      <c r="E440" s="5"/>
      <c r="F440" s="54"/>
      <c r="G440" s="54"/>
      <c r="H440" s="7"/>
      <c r="I440" s="9"/>
      <c r="J440" s="21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2.75" customHeight="1" x14ac:dyDescent="0.25">
      <c r="A441" s="20"/>
      <c r="B441" s="20"/>
      <c r="C441" s="14"/>
      <c r="D441" s="14"/>
      <c r="E441" s="5"/>
      <c r="F441" s="54"/>
      <c r="G441" s="54"/>
      <c r="H441" s="7"/>
      <c r="I441" s="9"/>
      <c r="J441" s="21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2.75" customHeight="1" x14ac:dyDescent="0.25">
      <c r="A442" s="20"/>
      <c r="B442" s="20"/>
      <c r="C442" s="14"/>
      <c r="D442" s="14"/>
      <c r="E442" s="5"/>
      <c r="F442" s="54"/>
      <c r="G442" s="54"/>
      <c r="H442" s="7"/>
      <c r="I442" s="9"/>
      <c r="J442" s="21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2.75" customHeight="1" x14ac:dyDescent="0.25">
      <c r="A443" s="20"/>
      <c r="B443" s="20"/>
      <c r="C443" s="14"/>
      <c r="D443" s="14"/>
      <c r="E443" s="5"/>
      <c r="F443" s="54"/>
      <c r="G443" s="54"/>
      <c r="H443" s="7"/>
      <c r="I443" s="9"/>
      <c r="J443" s="21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2.75" customHeight="1" x14ac:dyDescent="0.25">
      <c r="A444" s="20"/>
      <c r="B444" s="20"/>
      <c r="C444" s="14"/>
      <c r="D444" s="14"/>
      <c r="E444" s="5"/>
      <c r="F444" s="54"/>
      <c r="G444" s="54"/>
      <c r="H444" s="7"/>
      <c r="I444" s="9"/>
      <c r="J444" s="21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2.75" customHeight="1" x14ac:dyDescent="0.25">
      <c r="A445" s="20"/>
      <c r="B445" s="20"/>
      <c r="C445" s="14"/>
      <c r="D445" s="14"/>
      <c r="E445" s="5"/>
      <c r="F445" s="54"/>
      <c r="G445" s="54"/>
      <c r="H445" s="7"/>
      <c r="I445" s="9"/>
      <c r="J445" s="21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2.75" customHeight="1" x14ac:dyDescent="0.25">
      <c r="A446" s="20"/>
      <c r="B446" s="20"/>
      <c r="C446" s="14"/>
      <c r="D446" s="14"/>
      <c r="E446" s="5"/>
      <c r="F446" s="54"/>
      <c r="G446" s="54"/>
      <c r="H446" s="7"/>
      <c r="I446" s="9"/>
      <c r="J446" s="21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2.75" customHeight="1" x14ac:dyDescent="0.25">
      <c r="A447" s="20"/>
      <c r="B447" s="20"/>
      <c r="C447" s="14"/>
      <c r="D447" s="14"/>
      <c r="E447" s="5"/>
      <c r="F447" s="54"/>
      <c r="G447" s="54"/>
      <c r="H447" s="7"/>
      <c r="I447" s="9"/>
      <c r="J447" s="21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2.75" customHeight="1" x14ac:dyDescent="0.25">
      <c r="A448" s="20"/>
      <c r="B448" s="20"/>
      <c r="C448" s="14"/>
      <c r="D448" s="14"/>
      <c r="E448" s="5"/>
      <c r="F448" s="54"/>
      <c r="G448" s="54"/>
      <c r="H448" s="7"/>
      <c r="I448" s="9"/>
      <c r="J448" s="21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2.75" customHeight="1" x14ac:dyDescent="0.25">
      <c r="A449" s="20"/>
      <c r="B449" s="20"/>
      <c r="C449" s="14"/>
      <c r="D449" s="14"/>
      <c r="E449" s="5"/>
      <c r="F449" s="54"/>
      <c r="G449" s="54"/>
      <c r="H449" s="7"/>
      <c r="I449" s="9"/>
      <c r="J449" s="21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2.75" customHeight="1" x14ac:dyDescent="0.25">
      <c r="A450" s="20"/>
      <c r="B450" s="20"/>
      <c r="C450" s="14"/>
      <c r="D450" s="14"/>
      <c r="E450" s="5"/>
      <c r="F450" s="54"/>
      <c r="G450" s="54"/>
      <c r="H450" s="7"/>
      <c r="I450" s="9"/>
      <c r="J450" s="21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2.75" customHeight="1" x14ac:dyDescent="0.25">
      <c r="A451" s="20"/>
      <c r="B451" s="20"/>
      <c r="C451" s="14"/>
      <c r="D451" s="14"/>
      <c r="E451" s="5"/>
      <c r="F451" s="54"/>
      <c r="G451" s="54"/>
      <c r="H451" s="7"/>
      <c r="I451" s="9"/>
      <c r="J451" s="21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2.75" customHeight="1" x14ac:dyDescent="0.25">
      <c r="A452" s="20"/>
      <c r="B452" s="20"/>
      <c r="C452" s="14"/>
      <c r="D452" s="14"/>
      <c r="E452" s="5"/>
      <c r="F452" s="54"/>
      <c r="G452" s="54"/>
      <c r="H452" s="7"/>
      <c r="I452" s="9"/>
      <c r="J452" s="21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2.75" customHeight="1" x14ac:dyDescent="0.25">
      <c r="A453" s="20"/>
      <c r="B453" s="20"/>
      <c r="C453" s="14"/>
      <c r="D453" s="14"/>
      <c r="E453" s="5"/>
      <c r="F453" s="54"/>
      <c r="G453" s="54"/>
      <c r="H453" s="7"/>
      <c r="I453" s="9"/>
      <c r="J453" s="21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2.75" customHeight="1" x14ac:dyDescent="0.25">
      <c r="A454" s="20"/>
      <c r="B454" s="20"/>
      <c r="C454" s="14"/>
      <c r="D454" s="14"/>
      <c r="E454" s="5"/>
      <c r="F454" s="54"/>
      <c r="G454" s="54"/>
      <c r="H454" s="7"/>
      <c r="I454" s="9"/>
      <c r="J454" s="21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2.75" customHeight="1" x14ac:dyDescent="0.25">
      <c r="A455" s="20"/>
      <c r="B455" s="20"/>
      <c r="C455" s="14"/>
      <c r="D455" s="14"/>
      <c r="E455" s="5"/>
      <c r="F455" s="54"/>
      <c r="G455" s="54"/>
      <c r="H455" s="7"/>
      <c r="I455" s="9"/>
      <c r="J455" s="21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2.75" customHeight="1" x14ac:dyDescent="0.25">
      <c r="A456" s="20"/>
      <c r="B456" s="20"/>
      <c r="C456" s="14"/>
      <c r="D456" s="14"/>
      <c r="E456" s="5"/>
      <c r="F456" s="54"/>
      <c r="G456" s="54"/>
      <c r="H456" s="7"/>
      <c r="I456" s="9"/>
      <c r="J456" s="21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2.75" customHeight="1" x14ac:dyDescent="0.25">
      <c r="A457" s="20"/>
      <c r="B457" s="20"/>
      <c r="C457" s="14"/>
      <c r="D457" s="14"/>
      <c r="E457" s="5"/>
      <c r="F457" s="54"/>
      <c r="G457" s="54"/>
      <c r="H457" s="7"/>
      <c r="I457" s="9"/>
      <c r="J457" s="21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2.75" customHeight="1" x14ac:dyDescent="0.25">
      <c r="A458" s="20"/>
      <c r="B458" s="20"/>
      <c r="C458" s="14"/>
      <c r="D458" s="14"/>
      <c r="E458" s="5"/>
      <c r="F458" s="54"/>
      <c r="G458" s="54"/>
      <c r="H458" s="7"/>
      <c r="I458" s="9"/>
      <c r="J458" s="21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2.75" customHeight="1" x14ac:dyDescent="0.25">
      <c r="A459" s="20"/>
      <c r="B459" s="20"/>
      <c r="C459" s="14"/>
      <c r="D459" s="14"/>
      <c r="E459" s="5"/>
      <c r="F459" s="54"/>
      <c r="G459" s="54"/>
      <c r="H459" s="7"/>
      <c r="I459" s="9"/>
      <c r="J459" s="21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2.75" customHeight="1" x14ac:dyDescent="0.25">
      <c r="A460" s="20"/>
      <c r="B460" s="20"/>
      <c r="C460" s="14"/>
      <c r="D460" s="14"/>
      <c r="E460" s="5"/>
      <c r="F460" s="54"/>
      <c r="G460" s="54"/>
      <c r="H460" s="7"/>
      <c r="I460" s="9"/>
      <c r="J460" s="21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2.75" customHeight="1" x14ac:dyDescent="0.25">
      <c r="A461" s="20"/>
      <c r="B461" s="20"/>
      <c r="C461" s="14"/>
      <c r="D461" s="14"/>
      <c r="E461" s="5"/>
      <c r="F461" s="54"/>
      <c r="G461" s="54"/>
      <c r="H461" s="7"/>
      <c r="I461" s="9"/>
      <c r="J461" s="21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2.75" customHeight="1" x14ac:dyDescent="0.25">
      <c r="A462" s="20"/>
      <c r="B462" s="20"/>
      <c r="C462" s="14"/>
      <c r="D462" s="14"/>
      <c r="E462" s="5"/>
      <c r="F462" s="54"/>
      <c r="G462" s="54"/>
      <c r="H462" s="7"/>
      <c r="I462" s="9"/>
      <c r="J462" s="21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2.75" customHeight="1" x14ac:dyDescent="0.25">
      <c r="A463" s="20"/>
      <c r="B463" s="20"/>
      <c r="C463" s="14"/>
      <c r="D463" s="14"/>
      <c r="E463" s="5"/>
      <c r="F463" s="54"/>
      <c r="G463" s="54"/>
      <c r="H463" s="7"/>
      <c r="I463" s="9"/>
      <c r="J463" s="21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2.75" customHeight="1" x14ac:dyDescent="0.25">
      <c r="A464" s="20"/>
      <c r="B464" s="20"/>
      <c r="C464" s="14"/>
      <c r="D464" s="14"/>
      <c r="E464" s="5"/>
      <c r="F464" s="54"/>
      <c r="G464" s="54"/>
      <c r="H464" s="7"/>
      <c r="I464" s="9"/>
      <c r="J464" s="21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2.75" customHeight="1" x14ac:dyDescent="0.25">
      <c r="A465" s="20"/>
      <c r="B465" s="20"/>
      <c r="C465" s="14"/>
      <c r="D465" s="14"/>
      <c r="E465" s="5"/>
      <c r="F465" s="54"/>
      <c r="G465" s="54"/>
      <c r="H465" s="7"/>
      <c r="I465" s="9"/>
      <c r="J465" s="21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2.75" customHeight="1" x14ac:dyDescent="0.25">
      <c r="A466" s="20"/>
      <c r="B466" s="20"/>
      <c r="C466" s="14"/>
      <c r="D466" s="14"/>
      <c r="E466" s="5"/>
      <c r="F466" s="54"/>
      <c r="G466" s="54"/>
      <c r="H466" s="7"/>
      <c r="I466" s="9"/>
      <c r="J466" s="21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2.75" customHeight="1" x14ac:dyDescent="0.25">
      <c r="A467" s="20"/>
      <c r="B467" s="20"/>
      <c r="C467" s="14"/>
      <c r="D467" s="14"/>
      <c r="E467" s="5"/>
      <c r="F467" s="54"/>
      <c r="G467" s="54"/>
      <c r="H467" s="7"/>
      <c r="I467" s="9"/>
      <c r="J467" s="21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2.75" customHeight="1" x14ac:dyDescent="0.25">
      <c r="A468" s="20"/>
      <c r="B468" s="20"/>
      <c r="C468" s="14"/>
      <c r="D468" s="14"/>
      <c r="E468" s="5"/>
      <c r="F468" s="54"/>
      <c r="G468" s="54"/>
      <c r="H468" s="7"/>
      <c r="I468" s="9"/>
      <c r="J468" s="21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2.75" customHeight="1" x14ac:dyDescent="0.25">
      <c r="A469" s="20"/>
      <c r="B469" s="20"/>
      <c r="C469" s="14"/>
      <c r="D469" s="14"/>
      <c r="E469" s="5"/>
      <c r="F469" s="54"/>
      <c r="G469" s="54"/>
      <c r="H469" s="7"/>
      <c r="I469" s="9"/>
      <c r="J469" s="21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2.75" customHeight="1" x14ac:dyDescent="0.25">
      <c r="A470" s="20"/>
      <c r="B470" s="20"/>
      <c r="C470" s="14"/>
      <c r="D470" s="14"/>
      <c r="E470" s="5"/>
      <c r="F470" s="54"/>
      <c r="G470" s="54"/>
      <c r="H470" s="7"/>
      <c r="I470" s="9"/>
      <c r="J470" s="21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2.75" customHeight="1" x14ac:dyDescent="0.25">
      <c r="A471" s="20"/>
      <c r="B471" s="20"/>
      <c r="C471" s="14"/>
      <c r="D471" s="14"/>
      <c r="E471" s="5"/>
      <c r="F471" s="54"/>
      <c r="G471" s="54"/>
      <c r="H471" s="7"/>
      <c r="I471" s="9"/>
      <c r="J471" s="21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2.75" customHeight="1" x14ac:dyDescent="0.25">
      <c r="A472" s="20"/>
      <c r="B472" s="20"/>
      <c r="C472" s="14"/>
      <c r="D472" s="14"/>
      <c r="E472" s="5"/>
      <c r="F472" s="54"/>
      <c r="G472" s="54"/>
      <c r="H472" s="7"/>
      <c r="I472" s="9"/>
      <c r="J472" s="21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2.75" customHeight="1" x14ac:dyDescent="0.25">
      <c r="A473" s="20"/>
      <c r="B473" s="20"/>
      <c r="C473" s="14"/>
      <c r="D473" s="14"/>
      <c r="E473" s="5"/>
      <c r="F473" s="54"/>
      <c r="G473" s="54"/>
      <c r="H473" s="7"/>
      <c r="I473" s="9"/>
      <c r="J473" s="21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2.75" customHeight="1" x14ac:dyDescent="0.25">
      <c r="A474" s="20"/>
      <c r="B474" s="20"/>
      <c r="C474" s="14"/>
      <c r="D474" s="14"/>
      <c r="E474" s="5"/>
      <c r="F474" s="54"/>
      <c r="G474" s="54"/>
      <c r="H474" s="7"/>
      <c r="I474" s="9"/>
      <c r="J474" s="21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2.75" customHeight="1" x14ac:dyDescent="0.25">
      <c r="A475" s="20"/>
      <c r="B475" s="20"/>
      <c r="C475" s="14"/>
      <c r="D475" s="14"/>
      <c r="E475" s="5"/>
      <c r="F475" s="54"/>
      <c r="G475" s="54"/>
      <c r="H475" s="7"/>
      <c r="I475" s="9"/>
      <c r="J475" s="21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2.75" customHeight="1" x14ac:dyDescent="0.25">
      <c r="A476" s="20"/>
      <c r="B476" s="20"/>
      <c r="C476" s="14"/>
      <c r="D476" s="14"/>
      <c r="E476" s="5"/>
      <c r="F476" s="54"/>
      <c r="G476" s="54"/>
      <c r="H476" s="7"/>
      <c r="I476" s="9"/>
      <c r="J476" s="21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2.75" customHeight="1" x14ac:dyDescent="0.25">
      <c r="A477" s="20"/>
      <c r="B477" s="20"/>
      <c r="C477" s="14"/>
      <c r="D477" s="14"/>
      <c r="E477" s="5"/>
      <c r="F477" s="54"/>
      <c r="G477" s="54"/>
      <c r="H477" s="7"/>
      <c r="I477" s="9"/>
      <c r="J477" s="21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2.75" customHeight="1" x14ac:dyDescent="0.25">
      <c r="A478" s="20"/>
      <c r="B478" s="20"/>
      <c r="C478" s="14"/>
      <c r="D478" s="14"/>
      <c r="E478" s="5"/>
      <c r="F478" s="54"/>
      <c r="G478" s="54"/>
      <c r="H478" s="7"/>
      <c r="I478" s="9"/>
      <c r="J478" s="21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2.75" customHeight="1" x14ac:dyDescent="0.25">
      <c r="A479" s="20"/>
      <c r="B479" s="20"/>
      <c r="C479" s="14"/>
      <c r="D479" s="14"/>
      <c r="E479" s="5"/>
      <c r="F479" s="54"/>
      <c r="G479" s="54"/>
      <c r="H479" s="7"/>
      <c r="I479" s="9"/>
      <c r="J479" s="21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2.75" customHeight="1" x14ac:dyDescent="0.25">
      <c r="A480" s="20"/>
      <c r="B480" s="20"/>
      <c r="C480" s="14"/>
      <c r="D480" s="14"/>
      <c r="E480" s="5"/>
      <c r="F480" s="54"/>
      <c r="G480" s="54"/>
      <c r="H480" s="7"/>
      <c r="I480" s="9"/>
      <c r="J480" s="21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2.75" customHeight="1" x14ac:dyDescent="0.25">
      <c r="A481" s="20"/>
      <c r="B481" s="20"/>
      <c r="C481" s="14"/>
      <c r="D481" s="14"/>
      <c r="E481" s="5"/>
      <c r="F481" s="54"/>
      <c r="G481" s="54"/>
      <c r="H481" s="7"/>
      <c r="I481" s="9"/>
      <c r="J481" s="21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2.75" customHeight="1" x14ac:dyDescent="0.25">
      <c r="A482" s="20"/>
      <c r="B482" s="20"/>
      <c r="C482" s="14"/>
      <c r="D482" s="14"/>
      <c r="E482" s="5"/>
      <c r="F482" s="54"/>
      <c r="G482" s="54"/>
      <c r="H482" s="7"/>
      <c r="I482" s="9"/>
      <c r="J482" s="21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2.75" customHeight="1" x14ac:dyDescent="0.25">
      <c r="A483" s="20"/>
      <c r="B483" s="20"/>
      <c r="C483" s="14"/>
      <c r="D483" s="14"/>
      <c r="E483" s="5"/>
      <c r="F483" s="54"/>
      <c r="G483" s="54"/>
      <c r="H483" s="7"/>
      <c r="I483" s="9"/>
      <c r="J483" s="21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2.75" customHeight="1" x14ac:dyDescent="0.25">
      <c r="A484" s="20"/>
      <c r="B484" s="20"/>
      <c r="C484" s="14"/>
      <c r="D484" s="14"/>
      <c r="E484" s="5"/>
      <c r="F484" s="54"/>
      <c r="G484" s="54"/>
      <c r="H484" s="7"/>
      <c r="I484" s="9"/>
      <c r="J484" s="21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2.75" customHeight="1" x14ac:dyDescent="0.25">
      <c r="A485" s="20"/>
      <c r="B485" s="20"/>
      <c r="C485" s="14"/>
      <c r="D485" s="14"/>
      <c r="E485" s="5"/>
      <c r="F485" s="54"/>
      <c r="G485" s="54"/>
      <c r="H485" s="7"/>
      <c r="I485" s="9"/>
      <c r="J485" s="21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2.75" customHeight="1" x14ac:dyDescent="0.25">
      <c r="A486" s="20"/>
      <c r="B486" s="20"/>
      <c r="C486" s="14"/>
      <c r="D486" s="14"/>
      <c r="E486" s="5"/>
      <c r="F486" s="54"/>
      <c r="G486" s="54"/>
      <c r="H486" s="7"/>
      <c r="I486" s="9"/>
      <c r="J486" s="21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2.75" customHeight="1" x14ac:dyDescent="0.25">
      <c r="A487" s="20"/>
      <c r="B487" s="20"/>
      <c r="C487" s="14"/>
      <c r="D487" s="14"/>
      <c r="E487" s="5"/>
      <c r="F487" s="54"/>
      <c r="G487" s="54"/>
      <c r="H487" s="7"/>
      <c r="I487" s="9"/>
      <c r="J487" s="21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2.75" customHeight="1" x14ac:dyDescent="0.25">
      <c r="A488" s="20"/>
      <c r="B488" s="20"/>
      <c r="C488" s="14"/>
      <c r="D488" s="14"/>
      <c r="E488" s="5"/>
      <c r="F488" s="54"/>
      <c r="G488" s="54"/>
      <c r="H488" s="7"/>
      <c r="I488" s="9"/>
      <c r="J488" s="21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2.75" customHeight="1" x14ac:dyDescent="0.25">
      <c r="A489" s="20"/>
      <c r="B489" s="20"/>
      <c r="C489" s="14"/>
      <c r="D489" s="14"/>
      <c r="E489" s="5"/>
      <c r="F489" s="54"/>
      <c r="G489" s="54"/>
      <c r="H489" s="7"/>
      <c r="I489" s="9"/>
      <c r="J489" s="21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2.75" customHeight="1" x14ac:dyDescent="0.25">
      <c r="A490" s="20"/>
      <c r="B490" s="20"/>
      <c r="C490" s="14"/>
      <c r="D490" s="14"/>
      <c r="E490" s="5"/>
      <c r="F490" s="54"/>
      <c r="G490" s="54"/>
      <c r="H490" s="7"/>
      <c r="I490" s="9"/>
      <c r="J490" s="21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2.75" customHeight="1" x14ac:dyDescent="0.25">
      <c r="A491" s="20"/>
      <c r="B491" s="20"/>
      <c r="C491" s="14"/>
      <c r="D491" s="14"/>
      <c r="E491" s="5"/>
      <c r="F491" s="54"/>
      <c r="G491" s="54"/>
      <c r="H491" s="7"/>
      <c r="I491" s="9"/>
      <c r="J491" s="21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2.75" customHeight="1" x14ac:dyDescent="0.25">
      <c r="A492" s="20"/>
      <c r="B492" s="20"/>
      <c r="C492" s="14"/>
      <c r="D492" s="14"/>
      <c r="E492" s="5"/>
      <c r="F492" s="54"/>
      <c r="G492" s="54"/>
      <c r="H492" s="7"/>
      <c r="I492" s="9"/>
      <c r="J492" s="21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2.75" customHeight="1" x14ac:dyDescent="0.25">
      <c r="A493" s="20"/>
      <c r="B493" s="20"/>
      <c r="C493" s="14"/>
      <c r="D493" s="14"/>
      <c r="E493" s="5"/>
      <c r="F493" s="54"/>
      <c r="G493" s="54"/>
      <c r="H493" s="7"/>
      <c r="I493" s="9"/>
      <c r="J493" s="21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2.75" customHeight="1" x14ac:dyDescent="0.25">
      <c r="A494" s="20"/>
      <c r="B494" s="20"/>
      <c r="C494" s="14"/>
      <c r="D494" s="14"/>
      <c r="E494" s="5"/>
      <c r="F494" s="54"/>
      <c r="G494" s="54"/>
      <c r="H494" s="7"/>
      <c r="I494" s="9"/>
      <c r="J494" s="21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2.75" customHeight="1" x14ac:dyDescent="0.25">
      <c r="A495" s="20"/>
      <c r="B495" s="20"/>
      <c r="C495" s="14"/>
      <c r="D495" s="14"/>
      <c r="E495" s="5"/>
      <c r="F495" s="54"/>
      <c r="G495" s="54"/>
      <c r="H495" s="7"/>
      <c r="I495" s="9"/>
      <c r="J495" s="21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2.75" customHeight="1" x14ac:dyDescent="0.25">
      <c r="A496" s="20"/>
      <c r="B496" s="20"/>
      <c r="C496" s="14"/>
      <c r="D496" s="14"/>
      <c r="E496" s="5"/>
      <c r="F496" s="54"/>
      <c r="G496" s="54"/>
      <c r="H496" s="7"/>
      <c r="I496" s="9"/>
      <c r="J496" s="21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2.75" customHeight="1" x14ac:dyDescent="0.25">
      <c r="A497" s="20"/>
      <c r="B497" s="20"/>
      <c r="C497" s="14"/>
      <c r="D497" s="14"/>
      <c r="E497" s="5"/>
      <c r="F497" s="54"/>
      <c r="G497" s="54"/>
      <c r="H497" s="7"/>
      <c r="I497" s="9"/>
      <c r="J497" s="21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2.75" customHeight="1" x14ac:dyDescent="0.25">
      <c r="A498" s="20"/>
      <c r="B498" s="20"/>
      <c r="C498" s="14"/>
      <c r="D498" s="14"/>
      <c r="E498" s="5"/>
      <c r="F498" s="54"/>
      <c r="G498" s="54"/>
      <c r="H498" s="7"/>
      <c r="I498" s="9"/>
      <c r="J498" s="21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2.75" customHeight="1" x14ac:dyDescent="0.25">
      <c r="A499" s="20"/>
      <c r="B499" s="20"/>
      <c r="C499" s="14"/>
      <c r="D499" s="14"/>
      <c r="E499" s="5"/>
      <c r="F499" s="54"/>
      <c r="G499" s="54"/>
      <c r="H499" s="7"/>
      <c r="I499" s="9"/>
      <c r="J499" s="21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2.75" customHeight="1" x14ac:dyDescent="0.25">
      <c r="A500" s="20"/>
      <c r="B500" s="20"/>
      <c r="C500" s="14"/>
      <c r="D500" s="14"/>
      <c r="E500" s="5"/>
      <c r="F500" s="54"/>
      <c r="G500" s="54"/>
      <c r="H500" s="7"/>
      <c r="I500" s="9"/>
      <c r="J500" s="21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2.75" customHeight="1" x14ac:dyDescent="0.25">
      <c r="A501" s="20"/>
      <c r="B501" s="20"/>
      <c r="C501" s="14"/>
      <c r="D501" s="14"/>
      <c r="E501" s="5"/>
      <c r="F501" s="54"/>
      <c r="G501" s="54"/>
      <c r="H501" s="7"/>
      <c r="I501" s="9"/>
      <c r="J501" s="21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2.75" customHeight="1" x14ac:dyDescent="0.25">
      <c r="A502" s="20"/>
      <c r="B502" s="20"/>
      <c r="C502" s="14"/>
      <c r="D502" s="14"/>
      <c r="E502" s="5"/>
      <c r="F502" s="54"/>
      <c r="G502" s="54"/>
      <c r="H502" s="7"/>
      <c r="I502" s="9"/>
      <c r="J502" s="21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2.75" customHeight="1" x14ac:dyDescent="0.25">
      <c r="A503" s="20"/>
      <c r="B503" s="20"/>
      <c r="C503" s="14"/>
      <c r="D503" s="14"/>
      <c r="E503" s="5"/>
      <c r="F503" s="54"/>
      <c r="G503" s="54"/>
      <c r="H503" s="7"/>
      <c r="I503" s="9"/>
      <c r="J503" s="21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2.75" customHeight="1" x14ac:dyDescent="0.25">
      <c r="A504" s="20"/>
      <c r="B504" s="20"/>
      <c r="C504" s="14"/>
      <c r="D504" s="14"/>
      <c r="E504" s="5"/>
      <c r="F504" s="54"/>
      <c r="G504" s="54"/>
      <c r="H504" s="7"/>
      <c r="I504" s="9"/>
      <c r="J504" s="21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2.75" customHeight="1" x14ac:dyDescent="0.25">
      <c r="A505" s="20"/>
      <c r="B505" s="20"/>
      <c r="C505" s="14"/>
      <c r="D505" s="14"/>
      <c r="E505" s="5"/>
      <c r="F505" s="54"/>
      <c r="G505" s="54"/>
      <c r="H505" s="7"/>
      <c r="I505" s="9"/>
      <c r="J505" s="21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2.75" customHeight="1" x14ac:dyDescent="0.25">
      <c r="A506" s="20"/>
      <c r="B506" s="20"/>
      <c r="C506" s="14"/>
      <c r="D506" s="14"/>
      <c r="E506" s="5"/>
      <c r="F506" s="54"/>
      <c r="G506" s="54"/>
      <c r="H506" s="7"/>
      <c r="I506" s="9"/>
      <c r="J506" s="21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2.75" customHeight="1" x14ac:dyDescent="0.25">
      <c r="A507" s="20"/>
      <c r="B507" s="20"/>
      <c r="C507" s="14"/>
      <c r="D507" s="14"/>
      <c r="E507" s="5"/>
      <c r="F507" s="54"/>
      <c r="G507" s="54"/>
      <c r="H507" s="7"/>
      <c r="I507" s="9"/>
      <c r="J507" s="21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2.75" customHeight="1" x14ac:dyDescent="0.25">
      <c r="A508" s="20"/>
      <c r="B508" s="20"/>
      <c r="C508" s="14"/>
      <c r="D508" s="14"/>
      <c r="E508" s="5"/>
      <c r="F508" s="54"/>
      <c r="G508" s="54"/>
      <c r="H508" s="7"/>
      <c r="I508" s="9"/>
      <c r="J508" s="21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2.75" customHeight="1" x14ac:dyDescent="0.25">
      <c r="A509" s="20"/>
      <c r="B509" s="20"/>
      <c r="C509" s="14"/>
      <c r="D509" s="14"/>
      <c r="E509" s="5"/>
      <c r="F509" s="54"/>
      <c r="G509" s="54"/>
      <c r="H509" s="7"/>
      <c r="I509" s="9"/>
      <c r="J509" s="21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2.75" customHeight="1" x14ac:dyDescent="0.25">
      <c r="A510" s="20"/>
      <c r="B510" s="20"/>
      <c r="C510" s="14"/>
      <c r="D510" s="14"/>
      <c r="E510" s="5"/>
      <c r="F510" s="54"/>
      <c r="G510" s="54"/>
      <c r="H510" s="7"/>
      <c r="I510" s="9"/>
      <c r="J510" s="21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2.75" customHeight="1" x14ac:dyDescent="0.25">
      <c r="A511" s="20"/>
      <c r="B511" s="20"/>
      <c r="C511" s="14"/>
      <c r="D511" s="14"/>
      <c r="E511" s="5"/>
      <c r="F511" s="54"/>
      <c r="G511" s="54"/>
      <c r="H511" s="7"/>
      <c r="I511" s="9"/>
      <c r="J511" s="21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2.75" customHeight="1" x14ac:dyDescent="0.25">
      <c r="A512" s="20"/>
      <c r="B512" s="20"/>
      <c r="C512" s="14"/>
      <c r="D512" s="14"/>
      <c r="E512" s="5"/>
      <c r="F512" s="54"/>
      <c r="G512" s="54"/>
      <c r="H512" s="7"/>
      <c r="I512" s="9"/>
      <c r="J512" s="21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2.75" customHeight="1" x14ac:dyDescent="0.25">
      <c r="A513" s="20"/>
      <c r="B513" s="20"/>
      <c r="C513" s="14"/>
      <c r="D513" s="14"/>
      <c r="E513" s="5"/>
      <c r="F513" s="54"/>
      <c r="G513" s="54"/>
      <c r="H513" s="7"/>
      <c r="I513" s="9"/>
      <c r="J513" s="21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2.75" customHeight="1" x14ac:dyDescent="0.25">
      <c r="A514" s="20"/>
      <c r="B514" s="20"/>
      <c r="C514" s="14"/>
      <c r="D514" s="14"/>
      <c r="E514" s="5"/>
      <c r="F514" s="54"/>
      <c r="G514" s="54"/>
      <c r="H514" s="7"/>
      <c r="I514" s="9"/>
      <c r="J514" s="21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2.75" customHeight="1" x14ac:dyDescent="0.25">
      <c r="A515" s="20"/>
      <c r="B515" s="20"/>
      <c r="C515" s="14"/>
      <c r="D515" s="14"/>
      <c r="E515" s="5"/>
      <c r="F515" s="54"/>
      <c r="G515" s="54"/>
      <c r="H515" s="7"/>
      <c r="I515" s="9"/>
      <c r="J515" s="21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2.75" customHeight="1" x14ac:dyDescent="0.25">
      <c r="A516" s="20"/>
      <c r="B516" s="20"/>
      <c r="C516" s="14"/>
      <c r="D516" s="14"/>
      <c r="E516" s="5"/>
      <c r="F516" s="54"/>
      <c r="G516" s="54"/>
      <c r="H516" s="7"/>
      <c r="I516" s="9"/>
      <c r="J516" s="21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2.75" customHeight="1" x14ac:dyDescent="0.25">
      <c r="A517" s="20"/>
      <c r="B517" s="20"/>
      <c r="C517" s="14"/>
      <c r="D517" s="14"/>
      <c r="E517" s="5"/>
      <c r="F517" s="54"/>
      <c r="G517" s="54"/>
      <c r="H517" s="7"/>
      <c r="I517" s="9"/>
      <c r="J517" s="21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2.75" customHeight="1" x14ac:dyDescent="0.25">
      <c r="A518" s="20"/>
      <c r="B518" s="20"/>
      <c r="C518" s="14"/>
      <c r="D518" s="14"/>
      <c r="E518" s="5"/>
      <c r="F518" s="54"/>
      <c r="G518" s="54"/>
      <c r="H518" s="7"/>
      <c r="I518" s="9"/>
      <c r="J518" s="21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2.75" customHeight="1" x14ac:dyDescent="0.25">
      <c r="A519" s="20"/>
      <c r="B519" s="20"/>
      <c r="C519" s="14"/>
      <c r="D519" s="14"/>
      <c r="E519" s="5"/>
      <c r="F519" s="54"/>
      <c r="G519" s="54"/>
      <c r="H519" s="7"/>
      <c r="I519" s="9"/>
      <c r="J519" s="21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2.75" customHeight="1" x14ac:dyDescent="0.25">
      <c r="A520" s="20"/>
      <c r="B520" s="20"/>
      <c r="C520" s="14"/>
      <c r="D520" s="14"/>
      <c r="E520" s="5"/>
      <c r="F520" s="54"/>
      <c r="G520" s="54"/>
      <c r="H520" s="7"/>
      <c r="I520" s="9"/>
      <c r="J520" s="21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2.75" customHeight="1" x14ac:dyDescent="0.25">
      <c r="A521" s="20"/>
      <c r="B521" s="20"/>
      <c r="C521" s="14"/>
      <c r="D521" s="14"/>
      <c r="E521" s="5"/>
      <c r="F521" s="54"/>
      <c r="G521" s="54"/>
      <c r="H521" s="7"/>
      <c r="I521" s="9"/>
      <c r="J521" s="21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2.75" customHeight="1" x14ac:dyDescent="0.25">
      <c r="A522" s="20"/>
      <c r="B522" s="20"/>
      <c r="C522" s="14"/>
      <c r="D522" s="14"/>
      <c r="E522" s="5"/>
      <c r="F522" s="54"/>
      <c r="G522" s="54"/>
      <c r="H522" s="7"/>
      <c r="I522" s="9"/>
      <c r="J522" s="21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2.75" customHeight="1" x14ac:dyDescent="0.25">
      <c r="A523" s="20"/>
      <c r="B523" s="20"/>
      <c r="C523" s="14"/>
      <c r="D523" s="14"/>
      <c r="E523" s="5"/>
      <c r="F523" s="54"/>
      <c r="G523" s="54"/>
      <c r="H523" s="7"/>
      <c r="I523" s="9"/>
      <c r="J523" s="21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2.75" customHeight="1" x14ac:dyDescent="0.25">
      <c r="A524" s="20"/>
      <c r="B524" s="20"/>
      <c r="C524" s="14"/>
      <c r="D524" s="14"/>
      <c r="E524" s="5"/>
      <c r="F524" s="54"/>
      <c r="G524" s="54"/>
      <c r="H524" s="7"/>
      <c r="I524" s="9"/>
      <c r="J524" s="21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2.75" customHeight="1" x14ac:dyDescent="0.25">
      <c r="A525" s="20"/>
      <c r="B525" s="20"/>
      <c r="C525" s="14"/>
      <c r="D525" s="14"/>
      <c r="E525" s="5"/>
      <c r="F525" s="54"/>
      <c r="G525" s="54"/>
      <c r="H525" s="7"/>
      <c r="I525" s="9"/>
      <c r="J525" s="21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2.75" customHeight="1" x14ac:dyDescent="0.25">
      <c r="A526" s="20"/>
      <c r="B526" s="20"/>
      <c r="C526" s="14"/>
      <c r="D526" s="14"/>
      <c r="E526" s="5"/>
      <c r="F526" s="54"/>
      <c r="G526" s="54"/>
      <c r="H526" s="7"/>
      <c r="I526" s="9"/>
      <c r="J526" s="21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2.75" customHeight="1" x14ac:dyDescent="0.25">
      <c r="A527" s="20"/>
      <c r="B527" s="20"/>
      <c r="C527" s="14"/>
      <c r="D527" s="14"/>
      <c r="E527" s="5"/>
      <c r="F527" s="54"/>
      <c r="G527" s="54"/>
      <c r="H527" s="7"/>
      <c r="I527" s="9"/>
      <c r="J527" s="21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2.75" customHeight="1" x14ac:dyDescent="0.25">
      <c r="A528" s="20"/>
      <c r="B528" s="20"/>
      <c r="C528" s="14"/>
      <c r="D528" s="14"/>
      <c r="E528" s="5"/>
      <c r="F528" s="54"/>
      <c r="G528" s="54"/>
      <c r="H528" s="7"/>
      <c r="I528" s="9"/>
      <c r="J528" s="21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2.75" customHeight="1" x14ac:dyDescent="0.25">
      <c r="A529" s="20"/>
      <c r="B529" s="20"/>
      <c r="C529" s="14"/>
      <c r="D529" s="14"/>
      <c r="E529" s="5"/>
      <c r="F529" s="54"/>
      <c r="G529" s="54"/>
      <c r="H529" s="7"/>
      <c r="I529" s="9"/>
      <c r="J529" s="21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2.75" customHeight="1" x14ac:dyDescent="0.25">
      <c r="A530" s="20"/>
      <c r="B530" s="20"/>
      <c r="C530" s="14"/>
      <c r="D530" s="14"/>
      <c r="E530" s="5"/>
      <c r="F530" s="54"/>
      <c r="G530" s="54"/>
      <c r="H530" s="7"/>
      <c r="I530" s="9"/>
      <c r="J530" s="21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2.75" customHeight="1" x14ac:dyDescent="0.25">
      <c r="A531" s="20"/>
      <c r="B531" s="20"/>
      <c r="C531" s="14"/>
      <c r="D531" s="14"/>
      <c r="E531" s="5"/>
      <c r="F531" s="54"/>
      <c r="G531" s="54"/>
      <c r="H531" s="7"/>
      <c r="I531" s="9"/>
      <c r="J531" s="21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2.75" customHeight="1" x14ac:dyDescent="0.25">
      <c r="A532" s="20"/>
      <c r="B532" s="20"/>
      <c r="C532" s="14"/>
      <c r="D532" s="14"/>
      <c r="E532" s="5"/>
      <c r="F532" s="54"/>
      <c r="G532" s="54"/>
      <c r="H532" s="7"/>
      <c r="I532" s="9"/>
      <c r="J532" s="21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2.75" customHeight="1" x14ac:dyDescent="0.25">
      <c r="A533" s="20"/>
      <c r="B533" s="20"/>
      <c r="C533" s="14"/>
      <c r="D533" s="14"/>
      <c r="E533" s="5"/>
      <c r="F533" s="54"/>
      <c r="G533" s="54"/>
      <c r="H533" s="7"/>
      <c r="I533" s="9"/>
      <c r="J533" s="21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2.75" customHeight="1" x14ac:dyDescent="0.25">
      <c r="A534" s="20"/>
      <c r="B534" s="20"/>
      <c r="C534" s="14"/>
      <c r="D534" s="14"/>
      <c r="E534" s="5"/>
      <c r="F534" s="54"/>
      <c r="G534" s="54"/>
      <c r="H534" s="7"/>
      <c r="I534" s="9"/>
      <c r="J534" s="21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2.75" customHeight="1" x14ac:dyDescent="0.25">
      <c r="A535" s="20"/>
      <c r="B535" s="20"/>
      <c r="C535" s="14"/>
      <c r="D535" s="14"/>
      <c r="E535" s="5"/>
      <c r="F535" s="54"/>
      <c r="G535" s="54"/>
      <c r="H535" s="7"/>
      <c r="I535" s="9"/>
      <c r="J535" s="21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2.75" customHeight="1" x14ac:dyDescent="0.25">
      <c r="A536" s="20"/>
      <c r="B536" s="20"/>
      <c r="C536" s="14"/>
      <c r="D536" s="14"/>
      <c r="E536" s="5"/>
      <c r="F536" s="54"/>
      <c r="G536" s="54"/>
      <c r="H536" s="7"/>
      <c r="I536" s="9"/>
      <c r="J536" s="21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2.75" customHeight="1" x14ac:dyDescent="0.25">
      <c r="A537" s="20"/>
      <c r="B537" s="20"/>
      <c r="C537" s="14"/>
      <c r="D537" s="14"/>
      <c r="E537" s="5"/>
      <c r="F537" s="54"/>
      <c r="G537" s="54"/>
      <c r="H537" s="7"/>
      <c r="I537" s="9"/>
      <c r="J537" s="21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2.75" customHeight="1" x14ac:dyDescent="0.25">
      <c r="A538" s="20"/>
      <c r="B538" s="20"/>
      <c r="C538" s="14"/>
      <c r="D538" s="14"/>
      <c r="E538" s="5"/>
      <c r="F538" s="54"/>
      <c r="G538" s="54"/>
      <c r="H538" s="7"/>
      <c r="I538" s="9"/>
      <c r="J538" s="21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2.75" customHeight="1" x14ac:dyDescent="0.25">
      <c r="A539" s="20"/>
      <c r="B539" s="20"/>
      <c r="C539" s="14"/>
      <c r="D539" s="14"/>
      <c r="E539" s="5"/>
      <c r="F539" s="54"/>
      <c r="G539" s="54"/>
      <c r="H539" s="7"/>
      <c r="I539" s="9"/>
      <c r="J539" s="21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2.75" customHeight="1" x14ac:dyDescent="0.25">
      <c r="A540" s="20"/>
      <c r="B540" s="20"/>
      <c r="C540" s="14"/>
      <c r="D540" s="14"/>
      <c r="E540" s="5"/>
      <c r="F540" s="54"/>
      <c r="G540" s="54"/>
      <c r="H540" s="7"/>
      <c r="I540" s="9"/>
      <c r="J540" s="21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2.75" customHeight="1" x14ac:dyDescent="0.25">
      <c r="A541" s="20"/>
      <c r="B541" s="20"/>
      <c r="C541" s="14"/>
      <c r="D541" s="14"/>
      <c r="E541" s="5"/>
      <c r="F541" s="54"/>
      <c r="G541" s="54"/>
      <c r="H541" s="7"/>
      <c r="I541" s="9"/>
      <c r="J541" s="21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2.75" customHeight="1" x14ac:dyDescent="0.25">
      <c r="A542" s="20"/>
      <c r="B542" s="20"/>
      <c r="C542" s="14"/>
      <c r="D542" s="14"/>
      <c r="E542" s="5"/>
      <c r="F542" s="54"/>
      <c r="G542" s="54"/>
      <c r="H542" s="7"/>
      <c r="I542" s="9"/>
      <c r="J542" s="21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2.75" customHeight="1" x14ac:dyDescent="0.25">
      <c r="A543" s="20"/>
      <c r="B543" s="20"/>
      <c r="C543" s="14"/>
      <c r="D543" s="14"/>
      <c r="E543" s="5"/>
      <c r="F543" s="54"/>
      <c r="G543" s="54"/>
      <c r="H543" s="7"/>
      <c r="I543" s="9"/>
      <c r="J543" s="21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2.75" customHeight="1" x14ac:dyDescent="0.25">
      <c r="A544" s="20"/>
      <c r="B544" s="20"/>
      <c r="C544" s="14"/>
      <c r="D544" s="14"/>
      <c r="E544" s="5"/>
      <c r="F544" s="54"/>
      <c r="G544" s="54"/>
      <c r="H544" s="7"/>
      <c r="I544" s="9"/>
      <c r="J544" s="21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2.75" customHeight="1" x14ac:dyDescent="0.25">
      <c r="A545" s="20"/>
      <c r="B545" s="20"/>
      <c r="C545" s="14"/>
      <c r="D545" s="14"/>
      <c r="E545" s="5"/>
      <c r="F545" s="54"/>
      <c r="G545" s="54"/>
      <c r="H545" s="7"/>
      <c r="I545" s="9"/>
      <c r="J545" s="21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2.75" customHeight="1" x14ac:dyDescent="0.25">
      <c r="A546" s="20"/>
      <c r="B546" s="20"/>
      <c r="C546" s="14"/>
      <c r="D546" s="14"/>
      <c r="E546" s="5"/>
      <c r="F546" s="54"/>
      <c r="G546" s="54"/>
      <c r="H546" s="7"/>
      <c r="I546" s="9"/>
      <c r="J546" s="21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2.75" customHeight="1" x14ac:dyDescent="0.25">
      <c r="A547" s="20"/>
      <c r="B547" s="20"/>
      <c r="C547" s="14"/>
      <c r="D547" s="14"/>
      <c r="E547" s="5"/>
      <c r="F547" s="54"/>
      <c r="G547" s="54"/>
      <c r="H547" s="7"/>
      <c r="I547" s="9"/>
      <c r="J547" s="21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2.75" customHeight="1" x14ac:dyDescent="0.25">
      <c r="A548" s="20"/>
      <c r="B548" s="20"/>
      <c r="C548" s="14"/>
      <c r="D548" s="14"/>
      <c r="E548" s="5"/>
      <c r="F548" s="54"/>
      <c r="G548" s="54"/>
      <c r="H548" s="7"/>
      <c r="I548" s="9"/>
      <c r="J548" s="21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2.75" customHeight="1" x14ac:dyDescent="0.25">
      <c r="A549" s="20"/>
      <c r="B549" s="20"/>
      <c r="C549" s="14"/>
      <c r="D549" s="14"/>
      <c r="E549" s="5"/>
      <c r="F549" s="54"/>
      <c r="G549" s="54"/>
      <c r="H549" s="7"/>
      <c r="I549" s="9"/>
      <c r="J549" s="21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2.75" customHeight="1" x14ac:dyDescent="0.25">
      <c r="A550" s="20"/>
      <c r="B550" s="20"/>
      <c r="C550" s="14"/>
      <c r="D550" s="14"/>
      <c r="E550" s="5"/>
      <c r="F550" s="54"/>
      <c r="G550" s="54"/>
      <c r="H550" s="7"/>
      <c r="I550" s="9"/>
      <c r="J550" s="21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2.75" customHeight="1" x14ac:dyDescent="0.25">
      <c r="A551" s="20"/>
      <c r="B551" s="20"/>
      <c r="C551" s="14"/>
      <c r="D551" s="14"/>
      <c r="E551" s="5"/>
      <c r="F551" s="54"/>
      <c r="G551" s="54"/>
      <c r="H551" s="7"/>
      <c r="I551" s="9"/>
      <c r="J551" s="21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2.75" customHeight="1" x14ac:dyDescent="0.25">
      <c r="A552" s="20"/>
      <c r="B552" s="20"/>
      <c r="C552" s="14"/>
      <c r="D552" s="14"/>
      <c r="E552" s="5"/>
      <c r="F552" s="54"/>
      <c r="G552" s="54"/>
      <c r="H552" s="7"/>
      <c r="I552" s="9"/>
      <c r="J552" s="21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2.75" customHeight="1" x14ac:dyDescent="0.25">
      <c r="A553" s="20"/>
      <c r="B553" s="20"/>
      <c r="C553" s="14"/>
      <c r="D553" s="14"/>
      <c r="E553" s="5"/>
      <c r="F553" s="54"/>
      <c r="G553" s="54"/>
      <c r="H553" s="7"/>
      <c r="I553" s="9"/>
      <c r="J553" s="21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2.75" customHeight="1" x14ac:dyDescent="0.25">
      <c r="A554" s="20"/>
      <c r="B554" s="20"/>
      <c r="C554" s="14"/>
      <c r="D554" s="14"/>
      <c r="E554" s="5"/>
      <c r="F554" s="54"/>
      <c r="G554" s="54"/>
      <c r="H554" s="7"/>
      <c r="I554" s="9"/>
      <c r="J554" s="21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2.75" customHeight="1" x14ac:dyDescent="0.25">
      <c r="A555" s="20"/>
      <c r="B555" s="20"/>
      <c r="C555" s="14"/>
      <c r="D555" s="14"/>
      <c r="E555" s="5"/>
      <c r="F555" s="54"/>
      <c r="G555" s="54"/>
      <c r="H555" s="7"/>
      <c r="I555" s="9"/>
      <c r="J555" s="21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2.75" customHeight="1" x14ac:dyDescent="0.25">
      <c r="A556" s="20"/>
      <c r="B556" s="20"/>
      <c r="C556" s="14"/>
      <c r="D556" s="14"/>
      <c r="E556" s="5"/>
      <c r="F556" s="54"/>
      <c r="G556" s="54"/>
      <c r="H556" s="7"/>
      <c r="I556" s="9"/>
      <c r="J556" s="21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2.75" customHeight="1" x14ac:dyDescent="0.25">
      <c r="A557" s="20"/>
      <c r="B557" s="20"/>
      <c r="C557" s="14"/>
      <c r="D557" s="14"/>
      <c r="E557" s="5"/>
      <c r="F557" s="54"/>
      <c r="G557" s="54"/>
      <c r="H557" s="7"/>
      <c r="I557" s="9"/>
      <c r="J557" s="21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2.75" customHeight="1" x14ac:dyDescent="0.25">
      <c r="A558" s="20"/>
      <c r="B558" s="20"/>
      <c r="C558" s="14"/>
      <c r="D558" s="14"/>
      <c r="E558" s="5"/>
      <c r="F558" s="54"/>
      <c r="G558" s="54"/>
      <c r="H558" s="7"/>
      <c r="I558" s="9"/>
      <c r="J558" s="21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2.75" customHeight="1" x14ac:dyDescent="0.25">
      <c r="A559" s="20"/>
      <c r="B559" s="20"/>
      <c r="C559" s="14"/>
      <c r="D559" s="14"/>
      <c r="E559" s="5"/>
      <c r="F559" s="54"/>
      <c r="G559" s="54"/>
      <c r="H559" s="7"/>
      <c r="I559" s="9"/>
      <c r="J559" s="21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2.75" customHeight="1" x14ac:dyDescent="0.25">
      <c r="A560" s="20"/>
      <c r="B560" s="20"/>
      <c r="C560" s="14"/>
      <c r="D560" s="14"/>
      <c r="E560" s="5"/>
      <c r="F560" s="54"/>
      <c r="G560" s="54"/>
      <c r="H560" s="7"/>
      <c r="I560" s="9"/>
      <c r="J560" s="21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2.75" customHeight="1" x14ac:dyDescent="0.25">
      <c r="A561" s="20"/>
      <c r="B561" s="20"/>
      <c r="C561" s="14"/>
      <c r="D561" s="14"/>
      <c r="E561" s="5"/>
      <c r="F561" s="54"/>
      <c r="G561" s="54"/>
      <c r="H561" s="7"/>
      <c r="I561" s="9"/>
      <c r="J561" s="21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2.75" customHeight="1" x14ac:dyDescent="0.25">
      <c r="A562" s="20"/>
      <c r="B562" s="20"/>
      <c r="C562" s="14"/>
      <c r="D562" s="14"/>
      <c r="E562" s="5"/>
      <c r="F562" s="54"/>
      <c r="G562" s="54"/>
      <c r="H562" s="7"/>
      <c r="I562" s="9"/>
      <c r="J562" s="21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2.75" customHeight="1" x14ac:dyDescent="0.25">
      <c r="A563" s="20"/>
      <c r="B563" s="20"/>
      <c r="C563" s="14"/>
      <c r="D563" s="14"/>
      <c r="E563" s="5"/>
      <c r="F563" s="54"/>
      <c r="G563" s="54"/>
      <c r="H563" s="7"/>
      <c r="I563" s="9"/>
      <c r="J563" s="21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2.75" customHeight="1" x14ac:dyDescent="0.25">
      <c r="A564" s="20"/>
      <c r="B564" s="20"/>
      <c r="C564" s="14"/>
      <c r="D564" s="14"/>
      <c r="E564" s="5"/>
      <c r="F564" s="54"/>
      <c r="G564" s="54"/>
      <c r="H564" s="7"/>
      <c r="I564" s="9"/>
      <c r="J564" s="21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2.75" customHeight="1" x14ac:dyDescent="0.25">
      <c r="A565" s="20"/>
      <c r="B565" s="20"/>
      <c r="C565" s="14"/>
      <c r="D565" s="14"/>
      <c r="E565" s="5"/>
      <c r="F565" s="54"/>
      <c r="G565" s="54"/>
      <c r="H565" s="7"/>
      <c r="I565" s="9"/>
      <c r="J565" s="21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2.75" customHeight="1" x14ac:dyDescent="0.25">
      <c r="A566" s="20"/>
      <c r="B566" s="20"/>
      <c r="C566" s="14"/>
      <c r="D566" s="14"/>
      <c r="E566" s="5"/>
      <c r="F566" s="54"/>
      <c r="G566" s="54"/>
      <c r="H566" s="7"/>
      <c r="I566" s="9"/>
      <c r="J566" s="21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2.75" customHeight="1" x14ac:dyDescent="0.25">
      <c r="A567" s="20"/>
      <c r="B567" s="20"/>
      <c r="C567" s="14"/>
      <c r="D567" s="14"/>
      <c r="E567" s="5"/>
      <c r="F567" s="54"/>
      <c r="G567" s="54"/>
      <c r="H567" s="7"/>
      <c r="I567" s="9"/>
      <c r="J567" s="21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2.75" customHeight="1" x14ac:dyDescent="0.25">
      <c r="A568" s="20"/>
      <c r="B568" s="20"/>
      <c r="C568" s="14"/>
      <c r="D568" s="14"/>
      <c r="E568" s="5"/>
      <c r="F568" s="54"/>
      <c r="G568" s="54"/>
      <c r="H568" s="7"/>
      <c r="I568" s="9"/>
      <c r="J568" s="21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2.75" customHeight="1" x14ac:dyDescent="0.25">
      <c r="A569" s="20"/>
      <c r="B569" s="20"/>
      <c r="C569" s="14"/>
      <c r="D569" s="14"/>
      <c r="E569" s="5"/>
      <c r="F569" s="54"/>
      <c r="G569" s="54"/>
      <c r="H569" s="7"/>
      <c r="I569" s="9"/>
      <c r="J569" s="21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2.75" customHeight="1" x14ac:dyDescent="0.25">
      <c r="A570" s="20"/>
      <c r="B570" s="20"/>
      <c r="C570" s="14"/>
      <c r="D570" s="14"/>
      <c r="E570" s="5"/>
      <c r="F570" s="54"/>
      <c r="G570" s="54"/>
      <c r="H570" s="7"/>
      <c r="I570" s="9"/>
      <c r="J570" s="21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2.75" customHeight="1" x14ac:dyDescent="0.25">
      <c r="A571" s="20"/>
      <c r="B571" s="20"/>
      <c r="C571" s="14"/>
      <c r="D571" s="14"/>
      <c r="E571" s="5"/>
      <c r="F571" s="54"/>
      <c r="G571" s="54"/>
      <c r="H571" s="7"/>
      <c r="I571" s="9"/>
      <c r="J571" s="21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2.75" customHeight="1" x14ac:dyDescent="0.25">
      <c r="A572" s="20"/>
      <c r="B572" s="20"/>
      <c r="C572" s="14"/>
      <c r="D572" s="14"/>
      <c r="E572" s="5"/>
      <c r="F572" s="54"/>
      <c r="G572" s="54"/>
      <c r="H572" s="7"/>
      <c r="I572" s="9"/>
      <c r="J572" s="21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2.75" customHeight="1" x14ac:dyDescent="0.25">
      <c r="A573" s="20"/>
      <c r="B573" s="20"/>
      <c r="C573" s="14"/>
      <c r="D573" s="14"/>
      <c r="E573" s="5"/>
      <c r="F573" s="54"/>
      <c r="G573" s="54"/>
      <c r="H573" s="7"/>
      <c r="I573" s="9"/>
      <c r="J573" s="21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2.75" customHeight="1" x14ac:dyDescent="0.25">
      <c r="A574" s="20"/>
      <c r="B574" s="20"/>
      <c r="C574" s="14"/>
      <c r="D574" s="14"/>
      <c r="E574" s="5"/>
      <c r="F574" s="54"/>
      <c r="G574" s="54"/>
      <c r="H574" s="7"/>
      <c r="I574" s="9"/>
      <c r="J574" s="21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2.75" customHeight="1" x14ac:dyDescent="0.25">
      <c r="A575" s="20"/>
      <c r="B575" s="20"/>
      <c r="C575" s="14"/>
      <c r="D575" s="14"/>
      <c r="E575" s="5"/>
      <c r="F575" s="54"/>
      <c r="G575" s="54"/>
      <c r="H575" s="7"/>
      <c r="I575" s="9"/>
      <c r="J575" s="21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2.75" customHeight="1" x14ac:dyDescent="0.25">
      <c r="A576" s="20"/>
      <c r="B576" s="20"/>
      <c r="C576" s="14"/>
      <c r="D576" s="14"/>
      <c r="E576" s="5"/>
      <c r="F576" s="54"/>
      <c r="G576" s="54"/>
      <c r="H576" s="7"/>
      <c r="I576" s="9"/>
      <c r="J576" s="21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2.75" customHeight="1" x14ac:dyDescent="0.25">
      <c r="A577" s="20"/>
      <c r="B577" s="20"/>
      <c r="C577" s="14"/>
      <c r="D577" s="14"/>
      <c r="E577" s="5"/>
      <c r="F577" s="54"/>
      <c r="G577" s="54"/>
      <c r="H577" s="7"/>
      <c r="I577" s="9"/>
      <c r="J577" s="21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2.75" customHeight="1" x14ac:dyDescent="0.25">
      <c r="A578" s="20"/>
      <c r="B578" s="20"/>
      <c r="C578" s="14"/>
      <c r="D578" s="14"/>
      <c r="E578" s="5"/>
      <c r="F578" s="54"/>
      <c r="G578" s="54"/>
      <c r="H578" s="7"/>
      <c r="I578" s="9"/>
      <c r="J578" s="21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2.75" customHeight="1" x14ac:dyDescent="0.25">
      <c r="A579" s="20"/>
      <c r="B579" s="20"/>
      <c r="C579" s="14"/>
      <c r="D579" s="14"/>
      <c r="E579" s="5"/>
      <c r="F579" s="54"/>
      <c r="G579" s="54"/>
      <c r="H579" s="7"/>
      <c r="I579" s="9"/>
      <c r="J579" s="21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2.75" customHeight="1" x14ac:dyDescent="0.25">
      <c r="A580" s="20"/>
      <c r="B580" s="20"/>
      <c r="C580" s="14"/>
      <c r="D580" s="14"/>
      <c r="E580" s="5"/>
      <c r="F580" s="54"/>
      <c r="G580" s="54"/>
      <c r="H580" s="7"/>
      <c r="I580" s="9"/>
      <c r="J580" s="21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2.75" customHeight="1" x14ac:dyDescent="0.25">
      <c r="A581" s="20"/>
      <c r="B581" s="20"/>
      <c r="C581" s="14"/>
      <c r="D581" s="14"/>
      <c r="E581" s="5"/>
      <c r="F581" s="54"/>
      <c r="G581" s="54"/>
      <c r="H581" s="7"/>
      <c r="I581" s="9"/>
      <c r="J581" s="21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2.75" customHeight="1" x14ac:dyDescent="0.25">
      <c r="A582" s="20"/>
      <c r="B582" s="20"/>
      <c r="C582" s="14"/>
      <c r="D582" s="14"/>
      <c r="E582" s="5"/>
      <c r="F582" s="54"/>
      <c r="G582" s="54"/>
      <c r="H582" s="7"/>
      <c r="I582" s="9"/>
      <c r="J582" s="21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2.75" customHeight="1" x14ac:dyDescent="0.25">
      <c r="A583" s="20"/>
      <c r="B583" s="20"/>
      <c r="C583" s="14"/>
      <c r="D583" s="14"/>
      <c r="E583" s="5"/>
      <c r="F583" s="54"/>
      <c r="G583" s="54"/>
      <c r="H583" s="7"/>
      <c r="I583" s="9"/>
      <c r="J583" s="21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2.75" customHeight="1" x14ac:dyDescent="0.25">
      <c r="A584" s="20"/>
      <c r="B584" s="20"/>
      <c r="C584" s="14"/>
      <c r="D584" s="14"/>
      <c r="E584" s="5"/>
      <c r="F584" s="54"/>
      <c r="G584" s="54"/>
      <c r="H584" s="7"/>
      <c r="I584" s="9"/>
      <c r="J584" s="21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2.75" customHeight="1" x14ac:dyDescent="0.25">
      <c r="A585" s="20"/>
      <c r="B585" s="20"/>
      <c r="C585" s="14"/>
      <c r="D585" s="14"/>
      <c r="E585" s="5"/>
      <c r="F585" s="54"/>
      <c r="G585" s="54"/>
      <c r="H585" s="7"/>
      <c r="I585" s="9"/>
      <c r="J585" s="21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2.75" customHeight="1" x14ac:dyDescent="0.25">
      <c r="A586" s="20"/>
      <c r="B586" s="20"/>
      <c r="C586" s="14"/>
      <c r="D586" s="14"/>
      <c r="E586" s="5"/>
      <c r="F586" s="54"/>
      <c r="G586" s="54"/>
      <c r="H586" s="7"/>
      <c r="I586" s="9"/>
      <c r="J586" s="21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2.75" customHeight="1" x14ac:dyDescent="0.25">
      <c r="A587" s="20"/>
      <c r="B587" s="20"/>
      <c r="C587" s="14"/>
      <c r="D587" s="14"/>
      <c r="E587" s="5"/>
      <c r="F587" s="54"/>
      <c r="G587" s="54"/>
      <c r="H587" s="7"/>
      <c r="I587" s="9"/>
      <c r="J587" s="21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2.75" customHeight="1" x14ac:dyDescent="0.25">
      <c r="A588" s="20"/>
      <c r="B588" s="20"/>
      <c r="C588" s="14"/>
      <c r="D588" s="14"/>
      <c r="E588" s="5"/>
      <c r="F588" s="54"/>
      <c r="G588" s="54"/>
      <c r="H588" s="7"/>
      <c r="I588" s="9"/>
      <c r="J588" s="21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2.75" customHeight="1" x14ac:dyDescent="0.25">
      <c r="A589" s="20"/>
      <c r="B589" s="20"/>
      <c r="C589" s="14"/>
      <c r="D589" s="14"/>
      <c r="E589" s="5"/>
      <c r="F589" s="54"/>
      <c r="G589" s="54"/>
      <c r="H589" s="7"/>
      <c r="I589" s="9"/>
      <c r="J589" s="21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2.75" customHeight="1" x14ac:dyDescent="0.25">
      <c r="A590" s="20"/>
      <c r="B590" s="20"/>
      <c r="C590" s="14"/>
      <c r="D590" s="14"/>
      <c r="E590" s="5"/>
      <c r="F590" s="54"/>
      <c r="G590" s="54"/>
      <c r="H590" s="7"/>
      <c r="I590" s="9"/>
      <c r="J590" s="21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2.75" customHeight="1" x14ac:dyDescent="0.25">
      <c r="A591" s="20"/>
      <c r="B591" s="20"/>
      <c r="C591" s="14"/>
      <c r="D591" s="14"/>
      <c r="E591" s="5"/>
      <c r="F591" s="54"/>
      <c r="G591" s="54"/>
      <c r="H591" s="7"/>
      <c r="I591" s="9"/>
      <c r="J591" s="21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2.75" customHeight="1" x14ac:dyDescent="0.25">
      <c r="A592" s="20"/>
      <c r="B592" s="20"/>
      <c r="C592" s="14"/>
      <c r="D592" s="14"/>
      <c r="E592" s="5"/>
      <c r="F592" s="54"/>
      <c r="G592" s="54"/>
      <c r="H592" s="7"/>
      <c r="I592" s="9"/>
      <c r="J592" s="21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2.75" customHeight="1" x14ac:dyDescent="0.25">
      <c r="A593" s="20"/>
      <c r="B593" s="20"/>
      <c r="C593" s="14"/>
      <c r="D593" s="14"/>
      <c r="E593" s="5"/>
      <c r="F593" s="54"/>
      <c r="G593" s="54"/>
      <c r="H593" s="7"/>
      <c r="I593" s="9"/>
      <c r="J593" s="21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2.75" customHeight="1" x14ac:dyDescent="0.25">
      <c r="A594" s="20"/>
      <c r="B594" s="20"/>
      <c r="C594" s="14"/>
      <c r="D594" s="14"/>
      <c r="E594" s="5"/>
      <c r="F594" s="54"/>
      <c r="G594" s="54"/>
      <c r="H594" s="7"/>
      <c r="I594" s="9"/>
      <c r="J594" s="21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2.75" customHeight="1" x14ac:dyDescent="0.25">
      <c r="A595" s="20"/>
      <c r="B595" s="20"/>
      <c r="C595" s="14"/>
      <c r="D595" s="14"/>
      <c r="E595" s="5"/>
      <c r="F595" s="54"/>
      <c r="G595" s="54"/>
      <c r="H595" s="7"/>
      <c r="I595" s="9"/>
      <c r="J595" s="21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2.75" customHeight="1" x14ac:dyDescent="0.25">
      <c r="A596" s="20"/>
      <c r="B596" s="20"/>
      <c r="C596" s="14"/>
      <c r="D596" s="14"/>
      <c r="E596" s="5"/>
      <c r="F596" s="54"/>
      <c r="G596" s="54"/>
      <c r="H596" s="7"/>
      <c r="I596" s="9"/>
      <c r="J596" s="21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2.75" customHeight="1" x14ac:dyDescent="0.25">
      <c r="A597" s="20"/>
      <c r="B597" s="20"/>
      <c r="C597" s="14"/>
      <c r="D597" s="14"/>
      <c r="E597" s="5"/>
      <c r="F597" s="54"/>
      <c r="G597" s="54"/>
      <c r="H597" s="7"/>
      <c r="I597" s="9"/>
      <c r="J597" s="21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2.75" customHeight="1" x14ac:dyDescent="0.25">
      <c r="A598" s="20"/>
      <c r="B598" s="20"/>
      <c r="C598" s="14"/>
      <c r="D598" s="14"/>
      <c r="E598" s="5"/>
      <c r="F598" s="54"/>
      <c r="G598" s="54"/>
      <c r="H598" s="7"/>
      <c r="I598" s="9"/>
      <c r="J598" s="21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2.75" customHeight="1" x14ac:dyDescent="0.25">
      <c r="A599" s="20"/>
      <c r="B599" s="20"/>
      <c r="C599" s="14"/>
      <c r="D599" s="14"/>
      <c r="E599" s="5"/>
      <c r="F599" s="54"/>
      <c r="G599" s="54"/>
      <c r="H599" s="7"/>
      <c r="I599" s="9"/>
      <c r="J599" s="21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2.75" customHeight="1" x14ac:dyDescent="0.25">
      <c r="A600" s="20"/>
      <c r="B600" s="20"/>
      <c r="C600" s="14"/>
      <c r="D600" s="14"/>
      <c r="E600" s="5"/>
      <c r="F600" s="54"/>
      <c r="G600" s="54"/>
      <c r="H600" s="7"/>
      <c r="I600" s="9"/>
      <c r="J600" s="21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2.75" customHeight="1" x14ac:dyDescent="0.25">
      <c r="A601" s="20"/>
      <c r="B601" s="20"/>
      <c r="C601" s="14"/>
      <c r="D601" s="14"/>
      <c r="E601" s="5"/>
      <c r="F601" s="54"/>
      <c r="G601" s="54"/>
      <c r="H601" s="7"/>
      <c r="I601" s="9"/>
      <c r="J601" s="21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2.75" customHeight="1" x14ac:dyDescent="0.25">
      <c r="A602" s="20"/>
      <c r="B602" s="20"/>
      <c r="C602" s="14"/>
      <c r="D602" s="14"/>
      <c r="E602" s="5"/>
      <c r="F602" s="54"/>
      <c r="G602" s="54"/>
      <c r="H602" s="7"/>
      <c r="I602" s="9"/>
      <c r="J602" s="21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2.75" customHeight="1" x14ac:dyDescent="0.25">
      <c r="A603" s="20"/>
      <c r="B603" s="20"/>
      <c r="C603" s="14"/>
      <c r="D603" s="14"/>
      <c r="E603" s="5"/>
      <c r="F603" s="54"/>
      <c r="G603" s="54"/>
      <c r="H603" s="7"/>
      <c r="I603" s="9"/>
      <c r="J603" s="21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2.75" customHeight="1" x14ac:dyDescent="0.25">
      <c r="A604" s="20"/>
      <c r="B604" s="20"/>
      <c r="C604" s="14"/>
      <c r="D604" s="14"/>
      <c r="E604" s="5"/>
      <c r="F604" s="54"/>
      <c r="G604" s="54"/>
      <c r="H604" s="7"/>
      <c r="I604" s="9"/>
      <c r="J604" s="21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2.75" customHeight="1" x14ac:dyDescent="0.25">
      <c r="A605" s="20"/>
      <c r="B605" s="20"/>
      <c r="C605" s="14"/>
      <c r="D605" s="14"/>
      <c r="E605" s="5"/>
      <c r="F605" s="54"/>
      <c r="G605" s="54"/>
      <c r="H605" s="7"/>
      <c r="I605" s="9"/>
      <c r="J605" s="21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2.75" customHeight="1" x14ac:dyDescent="0.25">
      <c r="A606" s="20"/>
      <c r="B606" s="20"/>
      <c r="C606" s="14"/>
      <c r="D606" s="14"/>
      <c r="E606" s="5"/>
      <c r="F606" s="54"/>
      <c r="G606" s="54"/>
      <c r="H606" s="7"/>
      <c r="I606" s="9"/>
      <c r="J606" s="21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2.75" customHeight="1" x14ac:dyDescent="0.25">
      <c r="A607" s="20"/>
      <c r="B607" s="20"/>
      <c r="C607" s="14"/>
      <c r="D607" s="14"/>
      <c r="E607" s="5"/>
      <c r="F607" s="54"/>
      <c r="G607" s="54"/>
      <c r="H607" s="7"/>
      <c r="I607" s="9"/>
      <c r="J607" s="21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2.75" customHeight="1" x14ac:dyDescent="0.25">
      <c r="A608" s="20"/>
      <c r="B608" s="20"/>
      <c r="C608" s="14"/>
      <c r="D608" s="14"/>
      <c r="E608" s="5"/>
      <c r="F608" s="54"/>
      <c r="G608" s="54"/>
      <c r="H608" s="7"/>
      <c r="I608" s="9"/>
      <c r="J608" s="21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2.75" customHeight="1" x14ac:dyDescent="0.25">
      <c r="A609" s="20"/>
      <c r="B609" s="20"/>
      <c r="C609" s="14"/>
      <c r="D609" s="14"/>
      <c r="E609" s="5"/>
      <c r="F609" s="54"/>
      <c r="G609" s="54"/>
      <c r="H609" s="7"/>
      <c r="I609" s="9"/>
      <c r="J609" s="21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2.75" customHeight="1" x14ac:dyDescent="0.25">
      <c r="A610" s="20"/>
      <c r="B610" s="20"/>
      <c r="C610" s="14"/>
      <c r="D610" s="14"/>
      <c r="E610" s="5"/>
      <c r="F610" s="54"/>
      <c r="G610" s="54"/>
      <c r="H610" s="7"/>
      <c r="I610" s="9"/>
      <c r="J610" s="21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2.75" customHeight="1" x14ac:dyDescent="0.25">
      <c r="A611" s="20"/>
      <c r="B611" s="20"/>
      <c r="C611" s="14"/>
      <c r="D611" s="14"/>
      <c r="E611" s="5"/>
      <c r="F611" s="54"/>
      <c r="G611" s="54"/>
      <c r="H611" s="7"/>
      <c r="I611" s="9"/>
      <c r="J611" s="21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2.75" customHeight="1" x14ac:dyDescent="0.25">
      <c r="A612" s="20"/>
      <c r="B612" s="20"/>
      <c r="C612" s="14"/>
      <c r="D612" s="14"/>
      <c r="E612" s="5"/>
      <c r="F612" s="54"/>
      <c r="G612" s="54"/>
      <c r="H612" s="7"/>
      <c r="I612" s="9"/>
      <c r="J612" s="21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2.75" customHeight="1" x14ac:dyDescent="0.25">
      <c r="A613" s="20"/>
      <c r="B613" s="20"/>
      <c r="C613" s="14"/>
      <c r="D613" s="14"/>
      <c r="E613" s="5"/>
      <c r="F613" s="54"/>
      <c r="G613" s="54"/>
      <c r="H613" s="7"/>
      <c r="I613" s="9"/>
      <c r="J613" s="21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2.75" customHeight="1" x14ac:dyDescent="0.25">
      <c r="A614" s="20"/>
      <c r="B614" s="20"/>
      <c r="C614" s="14"/>
      <c r="D614" s="14"/>
      <c r="E614" s="5"/>
      <c r="F614" s="54"/>
      <c r="G614" s="54"/>
      <c r="H614" s="7"/>
      <c r="I614" s="9"/>
      <c r="J614" s="21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2.75" customHeight="1" x14ac:dyDescent="0.25">
      <c r="A615" s="20"/>
      <c r="B615" s="20"/>
      <c r="C615" s="14"/>
      <c r="D615" s="14"/>
      <c r="E615" s="5"/>
      <c r="F615" s="54"/>
      <c r="G615" s="54"/>
      <c r="H615" s="7"/>
      <c r="I615" s="9"/>
      <c r="J615" s="21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2.75" customHeight="1" x14ac:dyDescent="0.25">
      <c r="A616" s="20"/>
      <c r="B616" s="20"/>
      <c r="C616" s="14"/>
      <c r="D616" s="14"/>
      <c r="E616" s="5"/>
      <c r="F616" s="54"/>
      <c r="G616" s="54"/>
      <c r="H616" s="7"/>
      <c r="I616" s="9"/>
      <c r="J616" s="21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2.75" customHeight="1" x14ac:dyDescent="0.25">
      <c r="A617" s="20"/>
      <c r="B617" s="20"/>
      <c r="C617" s="14"/>
      <c r="D617" s="14"/>
      <c r="E617" s="5"/>
      <c r="F617" s="54"/>
      <c r="G617" s="54"/>
      <c r="H617" s="7"/>
      <c r="I617" s="9"/>
      <c r="J617" s="21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2.75" customHeight="1" x14ac:dyDescent="0.25">
      <c r="A618" s="20"/>
      <c r="B618" s="20"/>
      <c r="C618" s="14"/>
      <c r="D618" s="14"/>
      <c r="E618" s="5"/>
      <c r="F618" s="54"/>
      <c r="G618" s="54"/>
      <c r="H618" s="7"/>
      <c r="I618" s="9"/>
      <c r="J618" s="21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2.75" customHeight="1" x14ac:dyDescent="0.25">
      <c r="A619" s="20"/>
      <c r="B619" s="20"/>
      <c r="C619" s="14"/>
      <c r="D619" s="14"/>
      <c r="E619" s="5"/>
      <c r="F619" s="54"/>
      <c r="G619" s="54"/>
      <c r="H619" s="7"/>
      <c r="I619" s="9"/>
      <c r="J619" s="21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2.75" customHeight="1" x14ac:dyDescent="0.25">
      <c r="A620" s="20"/>
      <c r="B620" s="20"/>
      <c r="C620" s="14"/>
      <c r="D620" s="14"/>
      <c r="E620" s="5"/>
      <c r="F620" s="54"/>
      <c r="G620" s="54"/>
      <c r="H620" s="7"/>
      <c r="I620" s="9"/>
      <c r="J620" s="21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2.75" customHeight="1" x14ac:dyDescent="0.25">
      <c r="A621" s="20"/>
      <c r="B621" s="20"/>
      <c r="C621" s="14"/>
      <c r="D621" s="14"/>
      <c r="E621" s="5"/>
      <c r="F621" s="54"/>
      <c r="G621" s="54"/>
      <c r="H621" s="7"/>
      <c r="I621" s="9"/>
      <c r="J621" s="21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2.75" customHeight="1" x14ac:dyDescent="0.25">
      <c r="A622" s="20"/>
      <c r="B622" s="20"/>
      <c r="C622" s="14"/>
      <c r="D622" s="14"/>
      <c r="E622" s="5"/>
      <c r="F622" s="54"/>
      <c r="G622" s="54"/>
      <c r="H622" s="7"/>
      <c r="I622" s="9"/>
      <c r="J622" s="21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2.75" customHeight="1" x14ac:dyDescent="0.25">
      <c r="A623" s="20"/>
      <c r="B623" s="20"/>
      <c r="C623" s="14"/>
      <c r="D623" s="14"/>
      <c r="E623" s="5"/>
      <c r="F623" s="54"/>
      <c r="G623" s="54"/>
      <c r="H623" s="7"/>
      <c r="I623" s="9"/>
      <c r="J623" s="21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2.75" customHeight="1" x14ac:dyDescent="0.25">
      <c r="A624" s="20"/>
      <c r="B624" s="20"/>
      <c r="C624" s="14"/>
      <c r="D624" s="14"/>
      <c r="E624" s="5"/>
      <c r="F624" s="54"/>
      <c r="G624" s="54"/>
      <c r="H624" s="7"/>
      <c r="I624" s="9"/>
      <c r="J624" s="21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2.75" customHeight="1" x14ac:dyDescent="0.25">
      <c r="A625" s="20"/>
      <c r="B625" s="20"/>
      <c r="C625" s="14"/>
      <c r="D625" s="14"/>
      <c r="E625" s="5"/>
      <c r="F625" s="54"/>
      <c r="G625" s="54"/>
      <c r="H625" s="7"/>
      <c r="I625" s="9"/>
      <c r="J625" s="21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2.75" customHeight="1" x14ac:dyDescent="0.25">
      <c r="A626" s="20"/>
      <c r="B626" s="20"/>
      <c r="C626" s="14"/>
      <c r="D626" s="14"/>
      <c r="E626" s="5"/>
      <c r="F626" s="54"/>
      <c r="G626" s="54"/>
      <c r="H626" s="7"/>
      <c r="I626" s="9"/>
      <c r="J626" s="21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2.75" customHeight="1" x14ac:dyDescent="0.25">
      <c r="A627" s="20"/>
      <c r="B627" s="20"/>
      <c r="C627" s="14"/>
      <c r="D627" s="14"/>
      <c r="E627" s="5"/>
      <c r="F627" s="54"/>
      <c r="G627" s="54"/>
      <c r="H627" s="7"/>
      <c r="I627" s="9"/>
      <c r="J627" s="21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2.75" customHeight="1" x14ac:dyDescent="0.25">
      <c r="A628" s="20"/>
      <c r="B628" s="20"/>
      <c r="C628" s="14"/>
      <c r="D628" s="14"/>
      <c r="E628" s="5"/>
      <c r="F628" s="54"/>
      <c r="G628" s="54"/>
      <c r="H628" s="7"/>
      <c r="I628" s="9"/>
      <c r="J628" s="21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2.75" customHeight="1" x14ac:dyDescent="0.25">
      <c r="A629" s="20"/>
      <c r="B629" s="20"/>
      <c r="C629" s="14"/>
      <c r="D629" s="14"/>
      <c r="E629" s="5"/>
      <c r="F629" s="54"/>
      <c r="G629" s="54"/>
      <c r="H629" s="7"/>
      <c r="I629" s="9"/>
      <c r="J629" s="21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2.75" customHeight="1" x14ac:dyDescent="0.25">
      <c r="A630" s="20"/>
      <c r="B630" s="20"/>
      <c r="C630" s="14"/>
      <c r="D630" s="14"/>
      <c r="E630" s="5"/>
      <c r="F630" s="54"/>
      <c r="G630" s="54"/>
      <c r="H630" s="7"/>
      <c r="I630" s="9"/>
      <c r="J630" s="21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2.75" customHeight="1" x14ac:dyDescent="0.25">
      <c r="A631" s="20"/>
      <c r="B631" s="20"/>
      <c r="C631" s="14"/>
      <c r="D631" s="14"/>
      <c r="E631" s="5"/>
      <c r="F631" s="54"/>
      <c r="G631" s="54"/>
      <c r="H631" s="7"/>
      <c r="I631" s="9"/>
      <c r="J631" s="21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2.75" customHeight="1" x14ac:dyDescent="0.25">
      <c r="A632" s="20"/>
      <c r="B632" s="20"/>
      <c r="C632" s="14"/>
      <c r="D632" s="14"/>
      <c r="E632" s="5"/>
      <c r="F632" s="54"/>
      <c r="G632" s="54"/>
      <c r="H632" s="7"/>
      <c r="I632" s="9"/>
      <c r="J632" s="21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2.75" customHeight="1" x14ac:dyDescent="0.25">
      <c r="A633" s="20"/>
      <c r="B633" s="20"/>
      <c r="C633" s="14"/>
      <c r="D633" s="14"/>
      <c r="E633" s="5"/>
      <c r="F633" s="54"/>
      <c r="G633" s="54"/>
      <c r="H633" s="7"/>
      <c r="I633" s="9"/>
      <c r="J633" s="21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2.75" customHeight="1" x14ac:dyDescent="0.25">
      <c r="A634" s="20"/>
      <c r="B634" s="20"/>
      <c r="C634" s="14"/>
      <c r="D634" s="14"/>
      <c r="E634" s="5"/>
      <c r="F634" s="54"/>
      <c r="G634" s="54"/>
      <c r="H634" s="7"/>
      <c r="I634" s="9"/>
      <c r="J634" s="21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2.75" customHeight="1" x14ac:dyDescent="0.25">
      <c r="A635" s="20"/>
      <c r="B635" s="20"/>
      <c r="C635" s="14"/>
      <c r="D635" s="14"/>
      <c r="E635" s="5"/>
      <c r="F635" s="54"/>
      <c r="G635" s="54"/>
      <c r="H635" s="7"/>
      <c r="I635" s="9"/>
      <c r="J635" s="21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2.75" customHeight="1" x14ac:dyDescent="0.25">
      <c r="A636" s="20"/>
      <c r="B636" s="20"/>
      <c r="C636" s="14"/>
      <c r="D636" s="14"/>
      <c r="E636" s="5"/>
      <c r="F636" s="54"/>
      <c r="G636" s="54"/>
      <c r="H636" s="7"/>
      <c r="I636" s="9"/>
      <c r="J636" s="21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2.75" customHeight="1" x14ac:dyDescent="0.25">
      <c r="A637" s="20"/>
      <c r="B637" s="20"/>
      <c r="C637" s="14"/>
      <c r="D637" s="14"/>
      <c r="E637" s="5"/>
      <c r="F637" s="54"/>
      <c r="G637" s="54"/>
      <c r="H637" s="7"/>
      <c r="I637" s="9"/>
      <c r="J637" s="21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2.75" customHeight="1" x14ac:dyDescent="0.25">
      <c r="A638" s="20"/>
      <c r="B638" s="20"/>
      <c r="C638" s="14"/>
      <c r="D638" s="14"/>
      <c r="E638" s="5"/>
      <c r="F638" s="54"/>
      <c r="G638" s="54"/>
      <c r="H638" s="7"/>
      <c r="I638" s="9"/>
      <c r="J638" s="21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2.75" customHeight="1" x14ac:dyDescent="0.25">
      <c r="A639" s="20"/>
      <c r="B639" s="20"/>
      <c r="C639" s="14"/>
      <c r="D639" s="14"/>
      <c r="E639" s="5"/>
      <c r="F639" s="54"/>
      <c r="G639" s="54"/>
      <c r="H639" s="7"/>
      <c r="I639" s="9"/>
      <c r="J639" s="21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2.75" customHeight="1" x14ac:dyDescent="0.25">
      <c r="A640" s="20"/>
      <c r="B640" s="20"/>
      <c r="C640" s="14"/>
      <c r="D640" s="14"/>
      <c r="E640" s="5"/>
      <c r="F640" s="54"/>
      <c r="G640" s="54"/>
      <c r="H640" s="7"/>
      <c r="I640" s="9"/>
      <c r="J640" s="21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2.75" customHeight="1" x14ac:dyDescent="0.25">
      <c r="A641" s="20"/>
      <c r="B641" s="20"/>
      <c r="C641" s="14"/>
      <c r="D641" s="14"/>
      <c r="E641" s="5"/>
      <c r="F641" s="54"/>
      <c r="G641" s="54"/>
      <c r="H641" s="7"/>
      <c r="I641" s="9"/>
      <c r="J641" s="21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2.75" customHeight="1" x14ac:dyDescent="0.25">
      <c r="A642" s="20"/>
      <c r="B642" s="20"/>
      <c r="C642" s="14"/>
      <c r="D642" s="14"/>
      <c r="E642" s="5"/>
      <c r="F642" s="54"/>
      <c r="G642" s="54"/>
      <c r="H642" s="7"/>
      <c r="I642" s="9"/>
      <c r="J642" s="21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2.75" customHeight="1" x14ac:dyDescent="0.25">
      <c r="A643" s="20"/>
      <c r="B643" s="20"/>
      <c r="C643" s="14"/>
      <c r="D643" s="14"/>
      <c r="E643" s="5"/>
      <c r="F643" s="54"/>
      <c r="G643" s="54"/>
      <c r="H643" s="7"/>
      <c r="I643" s="9"/>
      <c r="J643" s="21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2.75" customHeight="1" x14ac:dyDescent="0.25">
      <c r="A644" s="20"/>
      <c r="B644" s="20"/>
      <c r="C644" s="14"/>
      <c r="D644" s="14"/>
      <c r="E644" s="5"/>
      <c r="F644" s="54"/>
      <c r="G644" s="54"/>
      <c r="H644" s="7"/>
      <c r="I644" s="9"/>
      <c r="J644" s="21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2.75" customHeight="1" x14ac:dyDescent="0.25">
      <c r="A645" s="20"/>
      <c r="B645" s="20"/>
      <c r="C645" s="14"/>
      <c r="D645" s="14"/>
      <c r="E645" s="5"/>
      <c r="F645" s="54"/>
      <c r="G645" s="54"/>
      <c r="H645" s="7"/>
      <c r="I645" s="9"/>
      <c r="J645" s="21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2.75" customHeight="1" x14ac:dyDescent="0.25">
      <c r="A646" s="20"/>
      <c r="B646" s="20"/>
      <c r="C646" s="14"/>
      <c r="D646" s="14"/>
      <c r="E646" s="5"/>
      <c r="F646" s="54"/>
      <c r="G646" s="54"/>
      <c r="H646" s="7"/>
      <c r="I646" s="9"/>
      <c r="J646" s="21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2.75" customHeight="1" x14ac:dyDescent="0.25">
      <c r="A647" s="20"/>
      <c r="B647" s="20"/>
      <c r="C647" s="14"/>
      <c r="D647" s="14"/>
      <c r="E647" s="5"/>
      <c r="F647" s="54"/>
      <c r="G647" s="54"/>
      <c r="H647" s="7"/>
      <c r="I647" s="9"/>
      <c r="J647" s="21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2.75" customHeight="1" x14ac:dyDescent="0.25">
      <c r="A648" s="20"/>
      <c r="B648" s="20"/>
      <c r="C648" s="14"/>
      <c r="D648" s="14"/>
      <c r="E648" s="5"/>
      <c r="F648" s="54"/>
      <c r="G648" s="54"/>
      <c r="H648" s="7"/>
      <c r="I648" s="9"/>
      <c r="J648" s="21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2.75" customHeight="1" x14ac:dyDescent="0.25">
      <c r="A649" s="20"/>
      <c r="B649" s="20"/>
      <c r="C649" s="14"/>
      <c r="D649" s="14"/>
      <c r="E649" s="5"/>
      <c r="F649" s="54"/>
      <c r="G649" s="54"/>
      <c r="H649" s="7"/>
      <c r="I649" s="9"/>
      <c r="J649" s="21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2.75" customHeight="1" x14ac:dyDescent="0.25">
      <c r="A650" s="20"/>
      <c r="B650" s="20"/>
      <c r="C650" s="14"/>
      <c r="D650" s="14"/>
      <c r="E650" s="5"/>
      <c r="F650" s="54"/>
      <c r="G650" s="54"/>
      <c r="H650" s="7"/>
      <c r="I650" s="9"/>
      <c r="J650" s="21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2.75" customHeight="1" x14ac:dyDescent="0.25">
      <c r="A651" s="20"/>
      <c r="B651" s="20"/>
      <c r="C651" s="14"/>
      <c r="D651" s="14"/>
      <c r="E651" s="5"/>
      <c r="F651" s="54"/>
      <c r="G651" s="54"/>
      <c r="H651" s="7"/>
      <c r="I651" s="9"/>
      <c r="J651" s="21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2.75" customHeight="1" x14ac:dyDescent="0.25">
      <c r="A652" s="20"/>
      <c r="B652" s="20"/>
      <c r="C652" s="14"/>
      <c r="D652" s="14"/>
      <c r="E652" s="5"/>
      <c r="F652" s="54"/>
      <c r="G652" s="54"/>
      <c r="H652" s="7"/>
      <c r="I652" s="9"/>
      <c r="J652" s="21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2.75" customHeight="1" x14ac:dyDescent="0.25">
      <c r="A653" s="20"/>
      <c r="B653" s="20"/>
      <c r="C653" s="14"/>
      <c r="D653" s="14"/>
      <c r="E653" s="5"/>
      <c r="F653" s="54"/>
      <c r="G653" s="54"/>
      <c r="H653" s="7"/>
      <c r="I653" s="9"/>
      <c r="J653" s="21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2.75" customHeight="1" x14ac:dyDescent="0.25">
      <c r="A654" s="20"/>
      <c r="B654" s="20"/>
      <c r="C654" s="14"/>
      <c r="D654" s="14"/>
      <c r="E654" s="5"/>
      <c r="F654" s="54"/>
      <c r="G654" s="54"/>
      <c r="H654" s="7"/>
      <c r="I654" s="9"/>
      <c r="J654" s="21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2.75" customHeight="1" x14ac:dyDescent="0.25">
      <c r="A655" s="20"/>
      <c r="B655" s="20"/>
      <c r="C655" s="14"/>
      <c r="D655" s="14"/>
      <c r="E655" s="5"/>
      <c r="F655" s="54"/>
      <c r="G655" s="54"/>
      <c r="H655" s="7"/>
      <c r="I655" s="9"/>
      <c r="J655" s="21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2.75" customHeight="1" x14ac:dyDescent="0.25">
      <c r="A656" s="20"/>
      <c r="B656" s="20"/>
      <c r="C656" s="14"/>
      <c r="D656" s="14"/>
      <c r="E656" s="5"/>
      <c r="F656" s="54"/>
      <c r="G656" s="54"/>
      <c r="H656" s="7"/>
      <c r="I656" s="9"/>
      <c r="J656" s="21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2.75" customHeight="1" x14ac:dyDescent="0.25">
      <c r="A657" s="20"/>
      <c r="B657" s="20"/>
      <c r="C657" s="14"/>
      <c r="D657" s="14"/>
      <c r="E657" s="5"/>
      <c r="F657" s="54"/>
      <c r="G657" s="54"/>
      <c r="H657" s="7"/>
      <c r="I657" s="9"/>
      <c r="J657" s="21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2.75" customHeight="1" x14ac:dyDescent="0.25">
      <c r="A658" s="20"/>
      <c r="B658" s="20"/>
      <c r="C658" s="14"/>
      <c r="D658" s="14"/>
      <c r="E658" s="5"/>
      <c r="F658" s="54"/>
      <c r="G658" s="54"/>
      <c r="H658" s="7"/>
      <c r="I658" s="9"/>
      <c r="J658" s="21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2.75" customHeight="1" x14ac:dyDescent="0.25">
      <c r="A659" s="20"/>
      <c r="B659" s="20"/>
      <c r="C659" s="14"/>
      <c r="D659" s="14"/>
      <c r="E659" s="5"/>
      <c r="F659" s="54"/>
      <c r="G659" s="54"/>
      <c r="H659" s="7"/>
      <c r="I659" s="9"/>
      <c r="J659" s="21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2.75" customHeight="1" x14ac:dyDescent="0.25">
      <c r="A660" s="20"/>
      <c r="B660" s="20"/>
      <c r="C660" s="14"/>
      <c r="D660" s="14"/>
      <c r="E660" s="5"/>
      <c r="F660" s="54"/>
      <c r="G660" s="54"/>
      <c r="H660" s="7"/>
      <c r="I660" s="9"/>
      <c r="J660" s="21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2.75" customHeight="1" x14ac:dyDescent="0.25">
      <c r="A661" s="20"/>
      <c r="B661" s="20"/>
      <c r="C661" s="14"/>
      <c r="D661" s="14"/>
      <c r="E661" s="5"/>
      <c r="F661" s="54"/>
      <c r="G661" s="54"/>
      <c r="H661" s="7"/>
      <c r="I661" s="9"/>
      <c r="J661" s="21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2.75" customHeight="1" x14ac:dyDescent="0.25">
      <c r="A662" s="20"/>
      <c r="B662" s="20"/>
      <c r="C662" s="14"/>
      <c r="D662" s="14"/>
      <c r="E662" s="5"/>
      <c r="F662" s="54"/>
      <c r="G662" s="54"/>
      <c r="H662" s="7"/>
      <c r="I662" s="9"/>
      <c r="J662" s="21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2.75" customHeight="1" x14ac:dyDescent="0.25">
      <c r="A663" s="20"/>
      <c r="B663" s="20"/>
      <c r="C663" s="14"/>
      <c r="D663" s="14"/>
      <c r="E663" s="5"/>
      <c r="F663" s="54"/>
      <c r="G663" s="54"/>
      <c r="H663" s="7"/>
      <c r="I663" s="9"/>
      <c r="J663" s="21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2.75" customHeight="1" x14ac:dyDescent="0.25">
      <c r="A664" s="20"/>
      <c r="B664" s="20"/>
      <c r="C664" s="14"/>
      <c r="D664" s="14"/>
      <c r="E664" s="5"/>
      <c r="F664" s="54"/>
      <c r="G664" s="54"/>
      <c r="H664" s="7"/>
      <c r="I664" s="9"/>
      <c r="J664" s="21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2.75" customHeight="1" x14ac:dyDescent="0.25">
      <c r="A665" s="20"/>
      <c r="B665" s="20"/>
      <c r="C665" s="14"/>
      <c r="D665" s="14"/>
      <c r="E665" s="5"/>
      <c r="F665" s="54"/>
      <c r="G665" s="54"/>
      <c r="H665" s="7"/>
      <c r="I665" s="9"/>
      <c r="J665" s="21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2.75" customHeight="1" x14ac:dyDescent="0.25">
      <c r="A666" s="20"/>
      <c r="B666" s="20"/>
      <c r="C666" s="14"/>
      <c r="D666" s="14"/>
      <c r="E666" s="5"/>
      <c r="F666" s="54"/>
      <c r="G666" s="54"/>
      <c r="H666" s="7"/>
      <c r="I666" s="9"/>
      <c r="J666" s="21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2.75" customHeight="1" x14ac:dyDescent="0.25">
      <c r="A667" s="20"/>
      <c r="B667" s="20"/>
      <c r="C667" s="14"/>
      <c r="D667" s="14"/>
      <c r="E667" s="5"/>
      <c r="F667" s="54"/>
      <c r="G667" s="54"/>
      <c r="H667" s="7"/>
      <c r="I667" s="9"/>
      <c r="J667" s="21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2.75" customHeight="1" x14ac:dyDescent="0.25">
      <c r="A668" s="20"/>
      <c r="B668" s="20"/>
      <c r="C668" s="14"/>
      <c r="D668" s="14"/>
      <c r="E668" s="5"/>
      <c r="F668" s="54"/>
      <c r="G668" s="54"/>
      <c r="H668" s="7"/>
      <c r="I668" s="9"/>
      <c r="J668" s="21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2.75" customHeight="1" x14ac:dyDescent="0.25">
      <c r="A669" s="20"/>
      <c r="B669" s="20"/>
      <c r="C669" s="14"/>
      <c r="D669" s="14"/>
      <c r="E669" s="5"/>
      <c r="F669" s="54"/>
      <c r="G669" s="54"/>
      <c r="H669" s="7"/>
      <c r="I669" s="9"/>
      <c r="J669" s="21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2.75" customHeight="1" x14ac:dyDescent="0.25">
      <c r="A670" s="20"/>
      <c r="B670" s="20"/>
      <c r="C670" s="14"/>
      <c r="D670" s="14"/>
      <c r="E670" s="5"/>
      <c r="F670" s="54"/>
      <c r="G670" s="54"/>
      <c r="H670" s="7"/>
      <c r="I670" s="9"/>
      <c r="J670" s="21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2.75" customHeight="1" x14ac:dyDescent="0.25">
      <c r="A671" s="20"/>
      <c r="B671" s="20"/>
      <c r="C671" s="14"/>
      <c r="D671" s="14"/>
      <c r="E671" s="5"/>
      <c r="F671" s="54"/>
      <c r="G671" s="54"/>
      <c r="H671" s="7"/>
      <c r="I671" s="9"/>
      <c r="J671" s="21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2.75" customHeight="1" x14ac:dyDescent="0.25">
      <c r="A672" s="20"/>
      <c r="B672" s="20"/>
      <c r="C672" s="14"/>
      <c r="D672" s="14"/>
      <c r="E672" s="5"/>
      <c r="F672" s="54"/>
      <c r="G672" s="54"/>
      <c r="H672" s="7"/>
      <c r="I672" s="9"/>
      <c r="J672" s="21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2.75" customHeight="1" x14ac:dyDescent="0.25">
      <c r="A673" s="20"/>
      <c r="B673" s="20"/>
      <c r="C673" s="14"/>
      <c r="D673" s="14"/>
      <c r="E673" s="5"/>
      <c r="F673" s="54"/>
      <c r="G673" s="54"/>
      <c r="H673" s="7"/>
      <c r="I673" s="9"/>
      <c r="J673" s="21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2.75" customHeight="1" x14ac:dyDescent="0.25">
      <c r="A674" s="20"/>
      <c r="B674" s="20"/>
      <c r="C674" s="14"/>
      <c r="D674" s="14"/>
      <c r="E674" s="5"/>
      <c r="F674" s="54"/>
      <c r="G674" s="54"/>
      <c r="H674" s="7"/>
      <c r="I674" s="9"/>
      <c r="J674" s="21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2.75" customHeight="1" x14ac:dyDescent="0.25">
      <c r="A675" s="20"/>
      <c r="B675" s="20"/>
      <c r="C675" s="14"/>
      <c r="D675" s="14"/>
      <c r="E675" s="5"/>
      <c r="F675" s="54"/>
      <c r="G675" s="54"/>
      <c r="H675" s="7"/>
      <c r="I675" s="9"/>
      <c r="J675" s="21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2.75" customHeight="1" x14ac:dyDescent="0.25">
      <c r="A676" s="20"/>
      <c r="B676" s="20"/>
      <c r="C676" s="14"/>
      <c r="D676" s="14"/>
      <c r="E676" s="5"/>
      <c r="F676" s="54"/>
      <c r="G676" s="54"/>
      <c r="H676" s="7"/>
      <c r="I676" s="9"/>
      <c r="J676" s="21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2.75" customHeight="1" x14ac:dyDescent="0.25">
      <c r="A677" s="20"/>
      <c r="B677" s="20"/>
      <c r="C677" s="14"/>
      <c r="D677" s="14"/>
      <c r="E677" s="5"/>
      <c r="F677" s="54"/>
      <c r="G677" s="54"/>
      <c r="H677" s="7"/>
      <c r="I677" s="9"/>
      <c r="J677" s="21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2.75" customHeight="1" x14ac:dyDescent="0.25">
      <c r="A678" s="20"/>
      <c r="B678" s="20"/>
      <c r="C678" s="14"/>
      <c r="D678" s="14"/>
      <c r="E678" s="5"/>
      <c r="F678" s="54"/>
      <c r="G678" s="54"/>
      <c r="H678" s="7"/>
      <c r="I678" s="9"/>
      <c r="J678" s="21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2.75" customHeight="1" x14ac:dyDescent="0.25">
      <c r="A679" s="20"/>
      <c r="B679" s="20"/>
      <c r="C679" s="14"/>
      <c r="D679" s="14"/>
      <c r="E679" s="5"/>
      <c r="F679" s="54"/>
      <c r="G679" s="54"/>
      <c r="H679" s="7"/>
      <c r="I679" s="9"/>
      <c r="J679" s="21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 customHeight="1" x14ac:dyDescent="0.25">
      <c r="A680" s="20"/>
      <c r="B680" s="20"/>
      <c r="C680" s="14"/>
      <c r="D680" s="14"/>
      <c r="E680" s="5"/>
      <c r="F680" s="54"/>
      <c r="G680" s="54"/>
      <c r="H680" s="7"/>
      <c r="I680" s="9"/>
      <c r="J680" s="21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 customHeight="1" x14ac:dyDescent="0.25">
      <c r="A681" s="20"/>
      <c r="B681" s="20"/>
      <c r="C681" s="14"/>
      <c r="D681" s="14"/>
      <c r="E681" s="5"/>
      <c r="F681" s="54"/>
      <c r="G681" s="54"/>
      <c r="H681" s="7"/>
      <c r="I681" s="9"/>
      <c r="J681" s="21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2.75" customHeight="1" x14ac:dyDescent="0.25">
      <c r="A682" s="20"/>
      <c r="B682" s="20"/>
      <c r="C682" s="14"/>
      <c r="D682" s="14"/>
      <c r="E682" s="5"/>
      <c r="F682" s="54"/>
      <c r="G682" s="54"/>
      <c r="H682" s="7"/>
      <c r="I682" s="9"/>
      <c r="J682" s="21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2.75" customHeight="1" x14ac:dyDescent="0.25">
      <c r="A683" s="20"/>
      <c r="B683" s="20"/>
      <c r="C683" s="14"/>
      <c r="D683" s="14"/>
      <c r="E683" s="5"/>
      <c r="F683" s="54"/>
      <c r="G683" s="54"/>
      <c r="H683" s="7"/>
      <c r="I683" s="9"/>
      <c r="J683" s="21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2.75" customHeight="1" x14ac:dyDescent="0.25">
      <c r="A684" s="20"/>
      <c r="B684" s="20"/>
      <c r="C684" s="14"/>
      <c r="D684" s="14"/>
      <c r="E684" s="5"/>
      <c r="F684" s="54"/>
      <c r="G684" s="54"/>
      <c r="H684" s="7"/>
      <c r="I684" s="9"/>
      <c r="J684" s="21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2.75" customHeight="1" x14ac:dyDescent="0.25">
      <c r="A685" s="20"/>
      <c r="B685" s="20"/>
      <c r="C685" s="14"/>
      <c r="D685" s="14"/>
      <c r="E685" s="5"/>
      <c r="F685" s="54"/>
      <c r="G685" s="54"/>
      <c r="H685" s="7"/>
      <c r="I685" s="9"/>
      <c r="J685" s="21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2.75" customHeight="1" x14ac:dyDescent="0.25">
      <c r="A686" s="20"/>
      <c r="B686" s="20"/>
      <c r="C686" s="14"/>
      <c r="D686" s="14"/>
      <c r="E686" s="5"/>
      <c r="F686" s="54"/>
      <c r="G686" s="54"/>
      <c r="H686" s="7"/>
      <c r="I686" s="9"/>
      <c r="J686" s="21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2.75" customHeight="1" x14ac:dyDescent="0.25">
      <c r="A687" s="20"/>
      <c r="B687" s="20"/>
      <c r="C687" s="14"/>
      <c r="D687" s="14"/>
      <c r="E687" s="5"/>
      <c r="F687" s="54"/>
      <c r="G687" s="54"/>
      <c r="H687" s="7"/>
      <c r="I687" s="9"/>
      <c r="J687" s="21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 customHeight="1" x14ac:dyDescent="0.25">
      <c r="A688" s="20"/>
      <c r="B688" s="20"/>
      <c r="C688" s="14"/>
      <c r="D688" s="14"/>
      <c r="E688" s="5"/>
      <c r="F688" s="54"/>
      <c r="G688" s="54"/>
      <c r="H688" s="7"/>
      <c r="I688" s="9"/>
      <c r="J688" s="21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 customHeight="1" x14ac:dyDescent="0.25">
      <c r="A689" s="20"/>
      <c r="B689" s="20"/>
      <c r="C689" s="14"/>
      <c r="D689" s="14"/>
      <c r="E689" s="5"/>
      <c r="F689" s="54"/>
      <c r="G689" s="54"/>
      <c r="H689" s="7"/>
      <c r="I689" s="9"/>
      <c r="J689" s="21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2.75" customHeight="1" x14ac:dyDescent="0.25">
      <c r="A690" s="20"/>
      <c r="B690" s="20"/>
      <c r="C690" s="14"/>
      <c r="D690" s="14"/>
      <c r="E690" s="5"/>
      <c r="F690" s="54"/>
      <c r="G690" s="54"/>
      <c r="H690" s="7"/>
      <c r="I690" s="9"/>
      <c r="J690" s="21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2.75" customHeight="1" x14ac:dyDescent="0.25">
      <c r="A691" s="20"/>
      <c r="B691" s="20"/>
      <c r="C691" s="14"/>
      <c r="D691" s="14"/>
      <c r="E691" s="5"/>
      <c r="F691" s="54"/>
      <c r="G691" s="54"/>
      <c r="H691" s="7"/>
      <c r="I691" s="9"/>
      <c r="J691" s="21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2.75" customHeight="1" x14ac:dyDescent="0.25">
      <c r="A692" s="20"/>
      <c r="B692" s="20"/>
      <c r="C692" s="14"/>
      <c r="D692" s="14"/>
      <c r="E692" s="5"/>
      <c r="F692" s="54"/>
      <c r="G692" s="54"/>
      <c r="H692" s="7"/>
      <c r="I692" s="9"/>
      <c r="J692" s="21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2.75" customHeight="1" x14ac:dyDescent="0.25">
      <c r="A693" s="20"/>
      <c r="B693" s="20"/>
      <c r="C693" s="14"/>
      <c r="D693" s="14"/>
      <c r="E693" s="5"/>
      <c r="F693" s="54"/>
      <c r="G693" s="54"/>
      <c r="H693" s="7"/>
      <c r="I693" s="9"/>
      <c r="J693" s="21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 customHeight="1" x14ac:dyDescent="0.25">
      <c r="A694" s="20"/>
      <c r="B694" s="20"/>
      <c r="C694" s="14"/>
      <c r="D694" s="14"/>
      <c r="E694" s="5"/>
      <c r="F694" s="54"/>
      <c r="G694" s="54"/>
      <c r="H694" s="7"/>
      <c r="I694" s="9"/>
      <c r="J694" s="21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2.75" customHeight="1" x14ac:dyDescent="0.25">
      <c r="A695" s="20"/>
      <c r="B695" s="20"/>
      <c r="C695" s="14"/>
      <c r="D695" s="14"/>
      <c r="E695" s="5"/>
      <c r="F695" s="54"/>
      <c r="G695" s="54"/>
      <c r="H695" s="7"/>
      <c r="I695" s="9"/>
      <c r="J695" s="21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2.75" customHeight="1" x14ac:dyDescent="0.25">
      <c r="A696" s="20"/>
      <c r="B696" s="20"/>
      <c r="C696" s="14"/>
      <c r="D696" s="14"/>
      <c r="E696" s="5"/>
      <c r="F696" s="54"/>
      <c r="G696" s="54"/>
      <c r="H696" s="7"/>
      <c r="I696" s="9"/>
      <c r="J696" s="21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2.75" customHeight="1" x14ac:dyDescent="0.25">
      <c r="A697" s="20"/>
      <c r="B697" s="20"/>
      <c r="C697" s="14"/>
      <c r="D697" s="14"/>
      <c r="E697" s="5"/>
      <c r="F697" s="54"/>
      <c r="G697" s="54"/>
      <c r="H697" s="7"/>
      <c r="I697" s="9"/>
      <c r="J697" s="21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2.75" customHeight="1" x14ac:dyDescent="0.25">
      <c r="A698" s="20"/>
      <c r="B698" s="20"/>
      <c r="C698" s="14"/>
      <c r="D698" s="14"/>
      <c r="E698" s="5"/>
      <c r="F698" s="54"/>
      <c r="G698" s="54"/>
      <c r="H698" s="7"/>
      <c r="I698" s="9"/>
      <c r="J698" s="21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2.75" customHeight="1" x14ac:dyDescent="0.25">
      <c r="A699" s="20"/>
      <c r="B699" s="20"/>
      <c r="C699" s="14"/>
      <c r="D699" s="14"/>
      <c r="E699" s="5"/>
      <c r="F699" s="54"/>
      <c r="G699" s="54"/>
      <c r="H699" s="7"/>
      <c r="I699" s="9"/>
      <c r="J699" s="21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 customHeight="1" x14ac:dyDescent="0.25">
      <c r="A700" s="20"/>
      <c r="B700" s="20"/>
      <c r="C700" s="14"/>
      <c r="D700" s="14"/>
      <c r="E700" s="5"/>
      <c r="F700" s="54"/>
      <c r="G700" s="54"/>
      <c r="H700" s="7"/>
      <c r="I700" s="9"/>
      <c r="J700" s="21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 customHeight="1" x14ac:dyDescent="0.25">
      <c r="A701" s="20"/>
      <c r="B701" s="20"/>
      <c r="C701" s="14"/>
      <c r="D701" s="14"/>
      <c r="E701" s="5"/>
      <c r="F701" s="54"/>
      <c r="G701" s="54"/>
      <c r="H701" s="7"/>
      <c r="I701" s="9"/>
      <c r="J701" s="21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2.75" customHeight="1" x14ac:dyDescent="0.25">
      <c r="A702" s="20"/>
      <c r="B702" s="20"/>
      <c r="C702" s="14"/>
      <c r="D702" s="14"/>
      <c r="E702" s="5"/>
      <c r="F702" s="54"/>
      <c r="G702" s="54"/>
      <c r="H702" s="7"/>
      <c r="I702" s="9"/>
      <c r="J702" s="21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2.75" customHeight="1" x14ac:dyDescent="0.25">
      <c r="A703" s="20"/>
      <c r="B703" s="20"/>
      <c r="C703" s="14"/>
      <c r="D703" s="14"/>
      <c r="E703" s="5"/>
      <c r="F703" s="54"/>
      <c r="G703" s="54"/>
      <c r="H703" s="7"/>
      <c r="I703" s="9"/>
      <c r="J703" s="21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2.75" customHeight="1" x14ac:dyDescent="0.25">
      <c r="A704" s="20"/>
      <c r="B704" s="20"/>
      <c r="C704" s="14"/>
      <c r="D704" s="14"/>
      <c r="E704" s="5"/>
      <c r="F704" s="54"/>
      <c r="G704" s="54"/>
      <c r="H704" s="7"/>
      <c r="I704" s="9"/>
      <c r="J704" s="21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2.75" customHeight="1" x14ac:dyDescent="0.25">
      <c r="A705" s="20"/>
      <c r="B705" s="20"/>
      <c r="C705" s="14"/>
      <c r="D705" s="14"/>
      <c r="E705" s="5"/>
      <c r="F705" s="54"/>
      <c r="G705" s="54"/>
      <c r="H705" s="7"/>
      <c r="I705" s="9"/>
      <c r="J705" s="21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2.75" customHeight="1" x14ac:dyDescent="0.25">
      <c r="A706" s="20"/>
      <c r="B706" s="20"/>
      <c r="C706" s="14"/>
      <c r="D706" s="14"/>
      <c r="E706" s="5"/>
      <c r="F706" s="54"/>
      <c r="G706" s="54"/>
      <c r="H706" s="7"/>
      <c r="I706" s="9"/>
      <c r="J706" s="21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2.75" customHeight="1" x14ac:dyDescent="0.25">
      <c r="A707" s="20"/>
      <c r="B707" s="20"/>
      <c r="C707" s="14"/>
      <c r="D707" s="14"/>
      <c r="E707" s="5"/>
      <c r="F707" s="54"/>
      <c r="G707" s="54"/>
      <c r="H707" s="7"/>
      <c r="I707" s="9"/>
      <c r="J707" s="21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2.75" customHeight="1" x14ac:dyDescent="0.25">
      <c r="A708" s="20"/>
      <c r="B708" s="20"/>
      <c r="C708" s="14"/>
      <c r="D708" s="14"/>
      <c r="E708" s="5"/>
      <c r="F708" s="54"/>
      <c r="G708" s="54"/>
      <c r="H708" s="7"/>
      <c r="I708" s="9"/>
      <c r="J708" s="21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2.75" customHeight="1" x14ac:dyDescent="0.25">
      <c r="A709" s="20"/>
      <c r="B709" s="20"/>
      <c r="C709" s="14"/>
      <c r="D709" s="14"/>
      <c r="E709" s="5"/>
      <c r="F709" s="54"/>
      <c r="G709" s="54"/>
      <c r="H709" s="7"/>
      <c r="I709" s="9"/>
      <c r="J709" s="21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 customHeight="1" x14ac:dyDescent="0.25">
      <c r="A710" s="20"/>
      <c r="B710" s="20"/>
      <c r="C710" s="14"/>
      <c r="D710" s="14"/>
      <c r="E710" s="5"/>
      <c r="F710" s="54"/>
      <c r="G710" s="54"/>
      <c r="H710" s="7"/>
      <c r="I710" s="9"/>
      <c r="J710" s="21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 customHeight="1" x14ac:dyDescent="0.25">
      <c r="A711" s="20"/>
      <c r="B711" s="20"/>
      <c r="C711" s="14"/>
      <c r="D711" s="14"/>
      <c r="E711" s="5"/>
      <c r="F711" s="54"/>
      <c r="G711" s="54"/>
      <c r="H711" s="7"/>
      <c r="I711" s="9"/>
      <c r="J711" s="21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 customHeight="1" x14ac:dyDescent="0.25">
      <c r="A712" s="20"/>
      <c r="B712" s="20"/>
      <c r="C712" s="14"/>
      <c r="D712" s="14"/>
      <c r="E712" s="5"/>
      <c r="F712" s="54"/>
      <c r="G712" s="54"/>
      <c r="H712" s="7"/>
      <c r="I712" s="9"/>
      <c r="J712" s="21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 customHeight="1" x14ac:dyDescent="0.25">
      <c r="A713" s="20"/>
      <c r="B713" s="20"/>
      <c r="C713" s="14"/>
      <c r="D713" s="14"/>
      <c r="E713" s="5"/>
      <c r="F713" s="54"/>
      <c r="G713" s="54"/>
      <c r="H713" s="7"/>
      <c r="I713" s="9"/>
      <c r="J713" s="21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2.75" customHeight="1" x14ac:dyDescent="0.25">
      <c r="A714" s="20"/>
      <c r="B714" s="20"/>
      <c r="C714" s="14"/>
      <c r="D714" s="14"/>
      <c r="E714" s="5"/>
      <c r="F714" s="54"/>
      <c r="G714" s="54"/>
      <c r="H714" s="7"/>
      <c r="I714" s="9"/>
      <c r="J714" s="21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2.75" customHeight="1" x14ac:dyDescent="0.25">
      <c r="A715" s="20"/>
      <c r="B715" s="20"/>
      <c r="C715" s="14"/>
      <c r="D715" s="14"/>
      <c r="E715" s="5"/>
      <c r="F715" s="54"/>
      <c r="G715" s="54"/>
      <c r="H715" s="7"/>
      <c r="I715" s="9"/>
      <c r="J715" s="21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2.75" customHeight="1" x14ac:dyDescent="0.25">
      <c r="A716" s="20"/>
      <c r="B716" s="20"/>
      <c r="C716" s="14"/>
      <c r="D716" s="14"/>
      <c r="E716" s="5"/>
      <c r="F716" s="54"/>
      <c r="G716" s="54"/>
      <c r="H716" s="7"/>
      <c r="I716" s="9"/>
      <c r="J716" s="21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 customHeight="1" x14ac:dyDescent="0.25">
      <c r="A717" s="20"/>
      <c r="B717" s="20"/>
      <c r="C717" s="14"/>
      <c r="D717" s="14"/>
      <c r="E717" s="5"/>
      <c r="F717" s="54"/>
      <c r="G717" s="54"/>
      <c r="H717" s="7"/>
      <c r="I717" s="9"/>
      <c r="J717" s="21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 customHeight="1" x14ac:dyDescent="0.25">
      <c r="A718" s="20"/>
      <c r="B718" s="20"/>
      <c r="C718" s="14"/>
      <c r="D718" s="14"/>
      <c r="E718" s="5"/>
      <c r="F718" s="54"/>
      <c r="G718" s="54"/>
      <c r="H718" s="7"/>
      <c r="I718" s="9"/>
      <c r="J718" s="21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 customHeight="1" x14ac:dyDescent="0.25">
      <c r="A719" s="20"/>
      <c r="B719" s="20"/>
      <c r="C719" s="14"/>
      <c r="D719" s="14"/>
      <c r="E719" s="5"/>
      <c r="F719" s="54"/>
      <c r="G719" s="54"/>
      <c r="H719" s="7"/>
      <c r="I719" s="9"/>
      <c r="J719" s="21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 customHeight="1" x14ac:dyDescent="0.25">
      <c r="A720" s="20"/>
      <c r="B720" s="20"/>
      <c r="C720" s="14"/>
      <c r="D720" s="14"/>
      <c r="E720" s="5"/>
      <c r="F720" s="54"/>
      <c r="G720" s="54"/>
      <c r="H720" s="7"/>
      <c r="I720" s="9"/>
      <c r="J720" s="21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 customHeight="1" x14ac:dyDescent="0.25">
      <c r="A721" s="20"/>
      <c r="B721" s="20"/>
      <c r="C721" s="14"/>
      <c r="D721" s="14"/>
      <c r="E721" s="5"/>
      <c r="F721" s="54"/>
      <c r="G721" s="54"/>
      <c r="H721" s="7"/>
      <c r="I721" s="9"/>
      <c r="J721" s="21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 customHeight="1" x14ac:dyDescent="0.25">
      <c r="A722" s="20"/>
      <c r="B722" s="20"/>
      <c r="C722" s="14"/>
      <c r="D722" s="14"/>
      <c r="E722" s="5"/>
      <c r="F722" s="54"/>
      <c r="G722" s="54"/>
      <c r="H722" s="7"/>
      <c r="I722" s="9"/>
      <c r="J722" s="21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 customHeight="1" x14ac:dyDescent="0.25">
      <c r="A723" s="20"/>
      <c r="B723" s="20"/>
      <c r="C723" s="14"/>
      <c r="D723" s="14"/>
      <c r="E723" s="5"/>
      <c r="F723" s="54"/>
      <c r="G723" s="54"/>
      <c r="H723" s="7"/>
      <c r="I723" s="9"/>
      <c r="J723" s="21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 customHeight="1" x14ac:dyDescent="0.25">
      <c r="A724" s="20"/>
      <c r="B724" s="20"/>
      <c r="C724" s="14"/>
      <c r="D724" s="14"/>
      <c r="E724" s="5"/>
      <c r="F724" s="54"/>
      <c r="G724" s="54"/>
      <c r="H724" s="7"/>
      <c r="I724" s="9"/>
      <c r="J724" s="21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 customHeight="1" x14ac:dyDescent="0.25">
      <c r="A725" s="20"/>
      <c r="B725" s="20"/>
      <c r="C725" s="14"/>
      <c r="D725" s="14"/>
      <c r="E725" s="5"/>
      <c r="F725" s="54"/>
      <c r="G725" s="54"/>
      <c r="H725" s="7"/>
      <c r="I725" s="9"/>
      <c r="J725" s="21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 customHeight="1" x14ac:dyDescent="0.25">
      <c r="A726" s="20"/>
      <c r="B726" s="20"/>
      <c r="C726" s="14"/>
      <c r="D726" s="14"/>
      <c r="E726" s="5"/>
      <c r="F726" s="54"/>
      <c r="G726" s="54"/>
      <c r="H726" s="7"/>
      <c r="I726" s="9"/>
      <c r="J726" s="21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 customHeight="1" x14ac:dyDescent="0.25">
      <c r="A727" s="20"/>
      <c r="B727" s="20"/>
      <c r="C727" s="14"/>
      <c r="D727" s="14"/>
      <c r="E727" s="5"/>
      <c r="F727" s="54"/>
      <c r="G727" s="54"/>
      <c r="H727" s="7"/>
      <c r="I727" s="9"/>
      <c r="J727" s="21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 customHeight="1" x14ac:dyDescent="0.25">
      <c r="A728" s="20"/>
      <c r="B728" s="20"/>
      <c r="C728" s="14"/>
      <c r="D728" s="14"/>
      <c r="E728" s="5"/>
      <c r="F728" s="54"/>
      <c r="G728" s="54"/>
      <c r="H728" s="7"/>
      <c r="I728" s="9"/>
      <c r="J728" s="21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 customHeight="1" x14ac:dyDescent="0.25">
      <c r="A729" s="20"/>
      <c r="B729" s="20"/>
      <c r="C729" s="14"/>
      <c r="D729" s="14"/>
      <c r="E729" s="5"/>
      <c r="F729" s="54"/>
      <c r="G729" s="54"/>
      <c r="H729" s="7"/>
      <c r="I729" s="9"/>
      <c r="J729" s="21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 customHeight="1" x14ac:dyDescent="0.25">
      <c r="A730" s="20"/>
      <c r="B730" s="20"/>
      <c r="C730" s="14"/>
      <c r="D730" s="14"/>
      <c r="E730" s="5"/>
      <c r="F730" s="54"/>
      <c r="G730" s="54"/>
      <c r="H730" s="7"/>
      <c r="I730" s="9"/>
      <c r="J730" s="21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 customHeight="1" x14ac:dyDescent="0.25">
      <c r="A731" s="20"/>
      <c r="B731" s="20"/>
      <c r="C731" s="14"/>
      <c r="D731" s="14"/>
      <c r="E731" s="5"/>
      <c r="F731" s="54"/>
      <c r="G731" s="54"/>
      <c r="H731" s="7"/>
      <c r="I731" s="9"/>
      <c r="J731" s="21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 customHeight="1" x14ac:dyDescent="0.25">
      <c r="A732" s="20"/>
      <c r="B732" s="20"/>
      <c r="C732" s="14"/>
      <c r="D732" s="14"/>
      <c r="E732" s="5"/>
      <c r="F732" s="54"/>
      <c r="G732" s="54"/>
      <c r="H732" s="7"/>
      <c r="I732" s="9"/>
      <c r="J732" s="21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 customHeight="1" x14ac:dyDescent="0.25">
      <c r="A733" s="20"/>
      <c r="B733" s="20"/>
      <c r="C733" s="14"/>
      <c r="D733" s="14"/>
      <c r="E733" s="5"/>
      <c r="F733" s="54"/>
      <c r="G733" s="54"/>
      <c r="H733" s="7"/>
      <c r="I733" s="9"/>
      <c r="J733" s="21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 customHeight="1" x14ac:dyDescent="0.25">
      <c r="A734" s="20"/>
      <c r="B734" s="20"/>
      <c r="C734" s="14"/>
      <c r="D734" s="14"/>
      <c r="E734" s="5"/>
      <c r="F734" s="54"/>
      <c r="G734" s="54"/>
      <c r="H734" s="7"/>
      <c r="I734" s="9"/>
      <c r="J734" s="21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 customHeight="1" x14ac:dyDescent="0.25">
      <c r="A735" s="20"/>
      <c r="B735" s="20"/>
      <c r="C735" s="14"/>
      <c r="D735" s="14"/>
      <c r="E735" s="5"/>
      <c r="F735" s="54"/>
      <c r="G735" s="54"/>
      <c r="H735" s="7"/>
      <c r="I735" s="9"/>
      <c r="J735" s="21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 customHeight="1" x14ac:dyDescent="0.25">
      <c r="A736" s="20"/>
      <c r="B736" s="20"/>
      <c r="C736" s="14"/>
      <c r="D736" s="14"/>
      <c r="E736" s="5"/>
      <c r="F736" s="54"/>
      <c r="G736" s="54"/>
      <c r="H736" s="7"/>
      <c r="I736" s="9"/>
      <c r="J736" s="21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 customHeight="1" x14ac:dyDescent="0.25">
      <c r="A737" s="20"/>
      <c r="B737" s="20"/>
      <c r="C737" s="14"/>
      <c r="D737" s="14"/>
      <c r="E737" s="5"/>
      <c r="F737" s="54"/>
      <c r="G737" s="54"/>
      <c r="H737" s="7"/>
      <c r="I737" s="9"/>
      <c r="J737" s="21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 customHeight="1" x14ac:dyDescent="0.25">
      <c r="A738" s="20"/>
      <c r="B738" s="20"/>
      <c r="C738" s="14"/>
      <c r="D738" s="14"/>
      <c r="E738" s="5"/>
      <c r="F738" s="54"/>
      <c r="G738" s="54"/>
      <c r="H738" s="7"/>
      <c r="I738" s="9"/>
      <c r="J738" s="21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 customHeight="1" x14ac:dyDescent="0.25">
      <c r="A739" s="20"/>
      <c r="B739" s="20"/>
      <c r="C739" s="14"/>
      <c r="D739" s="14"/>
      <c r="E739" s="5"/>
      <c r="F739" s="54"/>
      <c r="G739" s="54"/>
      <c r="H739" s="7"/>
      <c r="I739" s="9"/>
      <c r="J739" s="21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 customHeight="1" x14ac:dyDescent="0.25">
      <c r="A740" s="20"/>
      <c r="B740" s="20"/>
      <c r="C740" s="14"/>
      <c r="D740" s="14"/>
      <c r="E740" s="5"/>
      <c r="F740" s="54"/>
      <c r="G740" s="54"/>
      <c r="H740" s="7"/>
      <c r="I740" s="9"/>
      <c r="J740" s="21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 customHeight="1" x14ac:dyDescent="0.25">
      <c r="A741" s="20"/>
      <c r="B741" s="20"/>
      <c r="C741" s="14"/>
      <c r="D741" s="14"/>
      <c r="E741" s="5"/>
      <c r="F741" s="54"/>
      <c r="G741" s="54"/>
      <c r="H741" s="7"/>
      <c r="I741" s="9"/>
      <c r="J741" s="21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 customHeight="1" x14ac:dyDescent="0.25">
      <c r="A742" s="20"/>
      <c r="B742" s="20"/>
      <c r="C742" s="14"/>
      <c r="D742" s="14"/>
      <c r="E742" s="5"/>
      <c r="F742" s="54"/>
      <c r="G742" s="54"/>
      <c r="H742" s="7"/>
      <c r="I742" s="9"/>
      <c r="J742" s="21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 customHeight="1" x14ac:dyDescent="0.25">
      <c r="A743" s="20"/>
      <c r="B743" s="20"/>
      <c r="C743" s="14"/>
      <c r="D743" s="14"/>
      <c r="E743" s="5"/>
      <c r="F743" s="54"/>
      <c r="G743" s="54"/>
      <c r="H743" s="7"/>
      <c r="I743" s="9"/>
      <c r="J743" s="21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 customHeight="1" x14ac:dyDescent="0.25">
      <c r="A744" s="20"/>
      <c r="B744" s="20"/>
      <c r="C744" s="14"/>
      <c r="D744" s="14"/>
      <c r="E744" s="5"/>
      <c r="F744" s="54"/>
      <c r="G744" s="54"/>
      <c r="H744" s="7"/>
      <c r="I744" s="9"/>
      <c r="J744" s="21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 customHeight="1" x14ac:dyDescent="0.25">
      <c r="A745" s="20"/>
      <c r="B745" s="20"/>
      <c r="C745" s="14"/>
      <c r="D745" s="14"/>
      <c r="E745" s="5"/>
      <c r="F745" s="54"/>
      <c r="G745" s="54"/>
      <c r="H745" s="7"/>
      <c r="I745" s="9"/>
      <c r="J745" s="21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 customHeight="1" x14ac:dyDescent="0.25">
      <c r="A746" s="20"/>
      <c r="B746" s="20"/>
      <c r="C746" s="14"/>
      <c r="D746" s="14"/>
      <c r="E746" s="5"/>
      <c r="F746" s="54"/>
      <c r="G746" s="54"/>
      <c r="H746" s="7"/>
      <c r="I746" s="9"/>
      <c r="J746" s="21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 customHeight="1" x14ac:dyDescent="0.25">
      <c r="A747" s="20"/>
      <c r="B747" s="20"/>
      <c r="C747" s="14"/>
      <c r="D747" s="14"/>
      <c r="E747" s="5"/>
      <c r="F747" s="54"/>
      <c r="G747" s="54"/>
      <c r="H747" s="7"/>
      <c r="I747" s="9"/>
      <c r="J747" s="21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2.75" customHeight="1" x14ac:dyDescent="0.25">
      <c r="A748" s="20"/>
      <c r="B748" s="20"/>
      <c r="C748" s="14"/>
      <c r="D748" s="14"/>
      <c r="E748" s="5"/>
      <c r="F748" s="54"/>
      <c r="G748" s="54"/>
      <c r="H748" s="7"/>
      <c r="I748" s="9"/>
      <c r="J748" s="21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2.75" customHeight="1" x14ac:dyDescent="0.25">
      <c r="A749" s="20"/>
      <c r="B749" s="20"/>
      <c r="C749" s="14"/>
      <c r="D749" s="14"/>
      <c r="E749" s="5"/>
      <c r="F749" s="54"/>
      <c r="G749" s="54"/>
      <c r="H749" s="7"/>
      <c r="I749" s="9"/>
      <c r="J749" s="21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2.75" customHeight="1" x14ac:dyDescent="0.25">
      <c r="A750" s="20"/>
      <c r="B750" s="20"/>
      <c r="C750" s="14"/>
      <c r="D750" s="14"/>
      <c r="E750" s="5"/>
      <c r="F750" s="54"/>
      <c r="G750" s="54"/>
      <c r="H750" s="7"/>
      <c r="I750" s="9"/>
      <c r="J750" s="21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2.75" customHeight="1" x14ac:dyDescent="0.25">
      <c r="A751" s="20"/>
      <c r="B751" s="20"/>
      <c r="C751" s="14"/>
      <c r="D751" s="14"/>
      <c r="E751" s="5"/>
      <c r="F751" s="54"/>
      <c r="G751" s="54"/>
      <c r="H751" s="7"/>
      <c r="I751" s="9"/>
      <c r="J751" s="21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2.75" customHeight="1" x14ac:dyDescent="0.25">
      <c r="A752" s="20"/>
      <c r="B752" s="20"/>
      <c r="C752" s="14"/>
      <c r="D752" s="14"/>
      <c r="E752" s="5"/>
      <c r="F752" s="54"/>
      <c r="G752" s="54"/>
      <c r="H752" s="7"/>
      <c r="I752" s="9"/>
      <c r="J752" s="21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2.75" customHeight="1" x14ac:dyDescent="0.25">
      <c r="A753" s="20"/>
      <c r="B753" s="20"/>
      <c r="C753" s="14"/>
      <c r="D753" s="14"/>
      <c r="E753" s="5"/>
      <c r="F753" s="54"/>
      <c r="G753" s="54"/>
      <c r="H753" s="7"/>
      <c r="I753" s="9"/>
      <c r="J753" s="21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2.75" customHeight="1" x14ac:dyDescent="0.25">
      <c r="A754" s="20"/>
      <c r="B754" s="20"/>
      <c r="C754" s="14"/>
      <c r="D754" s="14"/>
      <c r="E754" s="5"/>
      <c r="F754" s="54"/>
      <c r="G754" s="54"/>
      <c r="H754" s="7"/>
      <c r="I754" s="9"/>
      <c r="J754" s="21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2.75" customHeight="1" x14ac:dyDescent="0.25">
      <c r="A755" s="20"/>
      <c r="B755" s="20"/>
      <c r="C755" s="14"/>
      <c r="D755" s="14"/>
      <c r="E755" s="5"/>
      <c r="F755" s="54"/>
      <c r="G755" s="54"/>
      <c r="H755" s="7"/>
      <c r="I755" s="9"/>
      <c r="J755" s="21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2.75" customHeight="1" x14ac:dyDescent="0.25">
      <c r="A756" s="20"/>
      <c r="B756" s="20"/>
      <c r="C756" s="14"/>
      <c r="D756" s="14"/>
      <c r="E756" s="5"/>
      <c r="F756" s="54"/>
      <c r="G756" s="54"/>
      <c r="H756" s="7"/>
      <c r="I756" s="9"/>
      <c r="J756" s="21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2.75" customHeight="1" x14ac:dyDescent="0.25">
      <c r="A757" s="20"/>
      <c r="B757" s="20"/>
      <c r="C757" s="14"/>
      <c r="D757" s="14"/>
      <c r="E757" s="5"/>
      <c r="F757" s="54"/>
      <c r="G757" s="54"/>
      <c r="H757" s="7"/>
      <c r="I757" s="9"/>
      <c r="J757" s="21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2.75" customHeight="1" x14ac:dyDescent="0.25">
      <c r="A758" s="20"/>
      <c r="B758" s="20"/>
      <c r="C758" s="14"/>
      <c r="D758" s="14"/>
      <c r="E758" s="5"/>
      <c r="F758" s="54"/>
      <c r="G758" s="54"/>
      <c r="H758" s="7"/>
      <c r="I758" s="9"/>
      <c r="J758" s="21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2.75" customHeight="1" x14ac:dyDescent="0.25">
      <c r="A759" s="20"/>
      <c r="B759" s="20"/>
      <c r="C759" s="14"/>
      <c r="D759" s="14"/>
      <c r="E759" s="5"/>
      <c r="F759" s="54"/>
      <c r="G759" s="54"/>
      <c r="H759" s="7"/>
      <c r="I759" s="9"/>
      <c r="J759" s="21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2.75" customHeight="1" x14ac:dyDescent="0.25">
      <c r="A760" s="20"/>
      <c r="B760" s="20"/>
      <c r="C760" s="14"/>
      <c r="D760" s="14"/>
      <c r="E760" s="5"/>
      <c r="F760" s="54"/>
      <c r="G760" s="54"/>
      <c r="H760" s="7"/>
      <c r="I760" s="9"/>
      <c r="J760" s="21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2.75" customHeight="1" x14ac:dyDescent="0.25">
      <c r="A761" s="20"/>
      <c r="B761" s="20"/>
      <c r="C761" s="14"/>
      <c r="D761" s="14"/>
      <c r="E761" s="5"/>
      <c r="F761" s="54"/>
      <c r="G761" s="54"/>
      <c r="H761" s="7"/>
      <c r="I761" s="9"/>
      <c r="J761" s="21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2.75" customHeight="1" x14ac:dyDescent="0.25">
      <c r="A762" s="20"/>
      <c r="B762" s="20"/>
      <c r="C762" s="14"/>
      <c r="D762" s="14"/>
      <c r="E762" s="5"/>
      <c r="F762" s="54"/>
      <c r="G762" s="54"/>
      <c r="H762" s="7"/>
      <c r="I762" s="9"/>
      <c r="J762" s="21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2.75" customHeight="1" x14ac:dyDescent="0.25">
      <c r="A763" s="20"/>
      <c r="B763" s="20"/>
      <c r="C763" s="14"/>
      <c r="D763" s="14"/>
      <c r="E763" s="5"/>
      <c r="F763" s="54"/>
      <c r="G763" s="54"/>
      <c r="H763" s="7"/>
      <c r="I763" s="9"/>
      <c r="J763" s="21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2.75" customHeight="1" x14ac:dyDescent="0.25">
      <c r="A764" s="20"/>
      <c r="B764" s="20"/>
      <c r="C764" s="14"/>
      <c r="D764" s="14"/>
      <c r="E764" s="5"/>
      <c r="F764" s="54"/>
      <c r="G764" s="54"/>
      <c r="H764" s="7"/>
      <c r="I764" s="9"/>
      <c r="J764" s="21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2.75" customHeight="1" x14ac:dyDescent="0.25">
      <c r="A765" s="20"/>
      <c r="B765" s="20"/>
      <c r="C765" s="14"/>
      <c r="D765" s="14"/>
      <c r="E765" s="5"/>
      <c r="F765" s="54"/>
      <c r="G765" s="54"/>
      <c r="H765" s="7"/>
      <c r="I765" s="9"/>
      <c r="J765" s="21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2.75" customHeight="1" x14ac:dyDescent="0.25">
      <c r="A766" s="20"/>
      <c r="B766" s="20"/>
      <c r="C766" s="14"/>
      <c r="D766" s="14"/>
      <c r="E766" s="5"/>
      <c r="F766" s="54"/>
      <c r="G766" s="54"/>
      <c r="H766" s="7"/>
      <c r="I766" s="9"/>
      <c r="J766" s="21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2.75" customHeight="1" x14ac:dyDescent="0.25">
      <c r="A767" s="20"/>
      <c r="B767" s="20"/>
      <c r="C767" s="14"/>
      <c r="D767" s="14"/>
      <c r="E767" s="5"/>
      <c r="F767" s="54"/>
      <c r="G767" s="54"/>
      <c r="H767" s="7"/>
      <c r="I767" s="9"/>
      <c r="J767" s="21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2.75" customHeight="1" x14ac:dyDescent="0.25">
      <c r="A768" s="20"/>
      <c r="B768" s="20"/>
      <c r="C768" s="14"/>
      <c r="D768" s="14"/>
      <c r="E768" s="5"/>
      <c r="F768" s="54"/>
      <c r="G768" s="54"/>
      <c r="H768" s="7"/>
      <c r="I768" s="9"/>
      <c r="J768" s="21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2.75" customHeight="1" x14ac:dyDescent="0.25">
      <c r="A769" s="20"/>
      <c r="B769" s="20"/>
      <c r="C769" s="14"/>
      <c r="D769" s="14"/>
      <c r="E769" s="5"/>
      <c r="F769" s="54"/>
      <c r="G769" s="54"/>
      <c r="H769" s="7"/>
      <c r="I769" s="9"/>
      <c r="J769" s="21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2.75" customHeight="1" x14ac:dyDescent="0.25">
      <c r="A770" s="20"/>
      <c r="B770" s="20"/>
      <c r="C770" s="14"/>
      <c r="D770" s="14"/>
      <c r="E770" s="5"/>
      <c r="F770" s="54"/>
      <c r="G770" s="54"/>
      <c r="H770" s="7"/>
      <c r="I770" s="9"/>
      <c r="J770" s="21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2.75" customHeight="1" x14ac:dyDescent="0.25">
      <c r="A771" s="20"/>
      <c r="B771" s="20"/>
      <c r="C771" s="14"/>
      <c r="D771" s="14"/>
      <c r="E771" s="5"/>
      <c r="F771" s="54"/>
      <c r="G771" s="54"/>
      <c r="H771" s="7"/>
      <c r="I771" s="9"/>
      <c r="J771" s="21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2.75" customHeight="1" x14ac:dyDescent="0.25">
      <c r="A772" s="20"/>
      <c r="B772" s="20"/>
      <c r="C772" s="14"/>
      <c r="D772" s="14"/>
      <c r="E772" s="5"/>
      <c r="F772" s="54"/>
      <c r="G772" s="54"/>
      <c r="H772" s="7"/>
      <c r="I772" s="9"/>
      <c r="J772" s="21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 customHeight="1" x14ac:dyDescent="0.25">
      <c r="A773" s="20"/>
      <c r="B773" s="20"/>
      <c r="C773" s="14"/>
      <c r="D773" s="14"/>
      <c r="E773" s="5"/>
      <c r="F773" s="54"/>
      <c r="G773" s="54"/>
      <c r="H773" s="7"/>
      <c r="I773" s="9"/>
      <c r="J773" s="21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 customHeight="1" x14ac:dyDescent="0.25">
      <c r="A774" s="20"/>
      <c r="B774" s="20"/>
      <c r="C774" s="14"/>
      <c r="D774" s="14"/>
      <c r="E774" s="5"/>
      <c r="F774" s="54"/>
      <c r="G774" s="54"/>
      <c r="H774" s="7"/>
      <c r="I774" s="9"/>
      <c r="J774" s="21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2.75" customHeight="1" x14ac:dyDescent="0.25">
      <c r="A775" s="20"/>
      <c r="B775" s="20"/>
      <c r="C775" s="14"/>
      <c r="D775" s="14"/>
      <c r="E775" s="5"/>
      <c r="F775" s="54"/>
      <c r="G775" s="54"/>
      <c r="H775" s="7"/>
      <c r="I775" s="9"/>
      <c r="J775" s="21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2.75" customHeight="1" x14ac:dyDescent="0.25">
      <c r="A776" s="20"/>
      <c r="B776" s="20"/>
      <c r="C776" s="14"/>
      <c r="D776" s="14"/>
      <c r="E776" s="5"/>
      <c r="F776" s="54"/>
      <c r="G776" s="54"/>
      <c r="H776" s="7"/>
      <c r="I776" s="9"/>
      <c r="J776" s="21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2.75" customHeight="1" x14ac:dyDescent="0.25">
      <c r="A777" s="20"/>
      <c r="B777" s="20"/>
      <c r="C777" s="14"/>
      <c r="D777" s="14"/>
      <c r="E777" s="5"/>
      <c r="F777" s="54"/>
      <c r="G777" s="54"/>
      <c r="H777" s="7"/>
      <c r="I777" s="9"/>
      <c r="J777" s="21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2.75" customHeight="1" x14ac:dyDescent="0.25">
      <c r="A778" s="20"/>
      <c r="B778" s="20"/>
      <c r="C778" s="14"/>
      <c r="D778" s="14"/>
      <c r="E778" s="5"/>
      <c r="F778" s="54"/>
      <c r="G778" s="54"/>
      <c r="H778" s="7"/>
      <c r="I778" s="9"/>
      <c r="J778" s="21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2.75" customHeight="1" x14ac:dyDescent="0.25">
      <c r="A779" s="20"/>
      <c r="B779" s="20"/>
      <c r="C779" s="14"/>
      <c r="D779" s="14"/>
      <c r="E779" s="5"/>
      <c r="F779" s="54"/>
      <c r="G779" s="54"/>
      <c r="H779" s="7"/>
      <c r="I779" s="9"/>
      <c r="J779" s="21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2.75" customHeight="1" x14ac:dyDescent="0.25">
      <c r="A780" s="20"/>
      <c r="B780" s="20"/>
      <c r="C780" s="14"/>
      <c r="D780" s="14"/>
      <c r="E780" s="5"/>
      <c r="F780" s="54"/>
      <c r="G780" s="54"/>
      <c r="H780" s="7"/>
      <c r="I780" s="9"/>
      <c r="J780" s="21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 customHeight="1" x14ac:dyDescent="0.25">
      <c r="A781" s="20"/>
      <c r="B781" s="20"/>
      <c r="C781" s="14"/>
      <c r="D781" s="14"/>
      <c r="E781" s="5"/>
      <c r="F781" s="54"/>
      <c r="G781" s="54"/>
      <c r="H781" s="7"/>
      <c r="I781" s="9"/>
      <c r="J781" s="21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 customHeight="1" x14ac:dyDescent="0.25">
      <c r="A782" s="20"/>
      <c r="B782" s="20"/>
      <c r="C782" s="14"/>
      <c r="D782" s="14"/>
      <c r="E782" s="5"/>
      <c r="F782" s="54"/>
      <c r="G782" s="54"/>
      <c r="H782" s="7"/>
      <c r="I782" s="9"/>
      <c r="J782" s="21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2.75" customHeight="1" x14ac:dyDescent="0.25">
      <c r="A783" s="20"/>
      <c r="B783" s="20"/>
      <c r="C783" s="14"/>
      <c r="D783" s="14"/>
      <c r="E783" s="5"/>
      <c r="F783" s="54"/>
      <c r="G783" s="54"/>
      <c r="H783" s="7"/>
      <c r="I783" s="9"/>
      <c r="J783" s="21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2.75" customHeight="1" x14ac:dyDescent="0.25">
      <c r="A784" s="20"/>
      <c r="B784" s="20"/>
      <c r="C784" s="14"/>
      <c r="D784" s="14"/>
      <c r="E784" s="5"/>
      <c r="F784" s="54"/>
      <c r="G784" s="54"/>
      <c r="H784" s="7"/>
      <c r="I784" s="9"/>
      <c r="J784" s="21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2.75" customHeight="1" x14ac:dyDescent="0.25">
      <c r="A785" s="20"/>
      <c r="B785" s="20"/>
      <c r="C785" s="14"/>
      <c r="D785" s="14"/>
      <c r="E785" s="5"/>
      <c r="F785" s="54"/>
      <c r="G785" s="54"/>
      <c r="H785" s="7"/>
      <c r="I785" s="9"/>
      <c r="J785" s="21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2.75" customHeight="1" x14ac:dyDescent="0.25">
      <c r="A786" s="20"/>
      <c r="B786" s="20"/>
      <c r="C786" s="14"/>
      <c r="D786" s="14"/>
      <c r="E786" s="5"/>
      <c r="F786" s="54"/>
      <c r="G786" s="54"/>
      <c r="H786" s="7"/>
      <c r="I786" s="9"/>
      <c r="J786" s="21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 customHeight="1" x14ac:dyDescent="0.25">
      <c r="A787" s="20"/>
      <c r="B787" s="20"/>
      <c r="C787" s="14"/>
      <c r="D787" s="14"/>
      <c r="E787" s="5"/>
      <c r="F787" s="54"/>
      <c r="G787" s="54"/>
      <c r="H787" s="7"/>
      <c r="I787" s="9"/>
      <c r="J787" s="21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2.75" customHeight="1" x14ac:dyDescent="0.25">
      <c r="A788" s="20"/>
      <c r="B788" s="20"/>
      <c r="C788" s="14"/>
      <c r="D788" s="14"/>
      <c r="E788" s="5"/>
      <c r="F788" s="54"/>
      <c r="G788" s="54"/>
      <c r="H788" s="7"/>
      <c r="I788" s="9"/>
      <c r="J788" s="21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2.75" customHeight="1" x14ac:dyDescent="0.25">
      <c r="A789" s="20"/>
      <c r="B789" s="20"/>
      <c r="C789" s="14"/>
      <c r="D789" s="14"/>
      <c r="E789" s="5"/>
      <c r="F789" s="54"/>
      <c r="G789" s="54"/>
      <c r="H789" s="7"/>
      <c r="I789" s="9"/>
      <c r="J789" s="21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2.75" customHeight="1" x14ac:dyDescent="0.25">
      <c r="A790" s="20"/>
      <c r="B790" s="20"/>
      <c r="C790" s="14"/>
      <c r="D790" s="14"/>
      <c r="E790" s="5"/>
      <c r="F790" s="54"/>
      <c r="G790" s="54"/>
      <c r="H790" s="7"/>
      <c r="I790" s="9"/>
      <c r="J790" s="21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2.75" customHeight="1" x14ac:dyDescent="0.25">
      <c r="A791" s="20"/>
      <c r="B791" s="20"/>
      <c r="C791" s="14"/>
      <c r="D791" s="14"/>
      <c r="E791" s="5"/>
      <c r="F791" s="54"/>
      <c r="G791" s="54"/>
      <c r="H791" s="7"/>
      <c r="I791" s="9"/>
      <c r="J791" s="21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2.75" customHeight="1" x14ac:dyDescent="0.25">
      <c r="A792" s="20"/>
      <c r="B792" s="20"/>
      <c r="C792" s="14"/>
      <c r="D792" s="14"/>
      <c r="E792" s="5"/>
      <c r="F792" s="54"/>
      <c r="G792" s="54"/>
      <c r="H792" s="7"/>
      <c r="I792" s="9"/>
      <c r="J792" s="21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 customHeight="1" x14ac:dyDescent="0.25">
      <c r="A793" s="20"/>
      <c r="B793" s="20"/>
      <c r="C793" s="14"/>
      <c r="D793" s="14"/>
      <c r="E793" s="5"/>
      <c r="F793" s="54"/>
      <c r="G793" s="54"/>
      <c r="H793" s="7"/>
      <c r="I793" s="9"/>
      <c r="J793" s="21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 customHeight="1" x14ac:dyDescent="0.25">
      <c r="A794" s="20"/>
      <c r="B794" s="20"/>
      <c r="C794" s="14"/>
      <c r="D794" s="14"/>
      <c r="E794" s="5"/>
      <c r="F794" s="54"/>
      <c r="G794" s="54"/>
      <c r="H794" s="7"/>
      <c r="I794" s="9"/>
      <c r="J794" s="21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2.75" customHeight="1" x14ac:dyDescent="0.25">
      <c r="A795" s="20"/>
      <c r="B795" s="20"/>
      <c r="C795" s="14"/>
      <c r="D795" s="14"/>
      <c r="E795" s="5"/>
      <c r="F795" s="54"/>
      <c r="G795" s="54"/>
      <c r="H795" s="7"/>
      <c r="I795" s="9"/>
      <c r="J795" s="21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2.75" customHeight="1" x14ac:dyDescent="0.25">
      <c r="A796" s="20"/>
      <c r="B796" s="20"/>
      <c r="C796" s="14"/>
      <c r="D796" s="14"/>
      <c r="E796" s="5"/>
      <c r="F796" s="54"/>
      <c r="G796" s="54"/>
      <c r="H796" s="7"/>
      <c r="I796" s="9"/>
      <c r="J796" s="21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2.75" customHeight="1" x14ac:dyDescent="0.25">
      <c r="A797" s="20"/>
      <c r="B797" s="20"/>
      <c r="C797" s="14"/>
      <c r="D797" s="14"/>
      <c r="E797" s="5"/>
      <c r="F797" s="54"/>
      <c r="G797" s="54"/>
      <c r="H797" s="7"/>
      <c r="I797" s="9"/>
      <c r="J797" s="21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2.75" customHeight="1" x14ac:dyDescent="0.25">
      <c r="A798" s="20"/>
      <c r="B798" s="20"/>
      <c r="C798" s="14"/>
      <c r="D798" s="14"/>
      <c r="E798" s="5"/>
      <c r="F798" s="54"/>
      <c r="G798" s="54"/>
      <c r="H798" s="7"/>
      <c r="I798" s="9"/>
      <c r="J798" s="21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2.75" customHeight="1" x14ac:dyDescent="0.25">
      <c r="A799" s="20"/>
      <c r="B799" s="20"/>
      <c r="C799" s="14"/>
      <c r="D799" s="14"/>
      <c r="E799" s="5"/>
      <c r="F799" s="54"/>
      <c r="G799" s="54"/>
      <c r="H799" s="7"/>
      <c r="I799" s="9"/>
      <c r="J799" s="21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2.75" customHeight="1" x14ac:dyDescent="0.25">
      <c r="A800" s="20"/>
      <c r="B800" s="20"/>
      <c r="C800" s="14"/>
      <c r="D800" s="14"/>
      <c r="E800" s="5"/>
      <c r="F800" s="54"/>
      <c r="G800" s="54"/>
      <c r="H800" s="7"/>
      <c r="I800" s="9"/>
      <c r="J800" s="21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2.75" customHeight="1" x14ac:dyDescent="0.25">
      <c r="A801" s="20"/>
      <c r="B801" s="20"/>
      <c r="C801" s="14"/>
      <c r="D801" s="14"/>
      <c r="E801" s="5"/>
      <c r="F801" s="54"/>
      <c r="G801" s="54"/>
      <c r="H801" s="7"/>
      <c r="I801" s="9"/>
      <c r="J801" s="21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2.75" customHeight="1" x14ac:dyDescent="0.25">
      <c r="A802" s="20"/>
      <c r="B802" s="20"/>
      <c r="C802" s="14"/>
      <c r="D802" s="14"/>
      <c r="E802" s="5"/>
      <c r="F802" s="54"/>
      <c r="G802" s="54"/>
      <c r="H802" s="7"/>
      <c r="I802" s="9"/>
      <c r="J802" s="21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2.75" customHeight="1" x14ac:dyDescent="0.25">
      <c r="A803" s="20"/>
      <c r="B803" s="20"/>
      <c r="C803" s="14"/>
      <c r="D803" s="14"/>
      <c r="E803" s="5"/>
      <c r="F803" s="54"/>
      <c r="G803" s="54"/>
      <c r="H803" s="7"/>
      <c r="I803" s="9"/>
      <c r="J803" s="21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2.75" customHeight="1" x14ac:dyDescent="0.25">
      <c r="A804" s="20"/>
      <c r="B804" s="20"/>
      <c r="C804" s="14"/>
      <c r="D804" s="14"/>
      <c r="E804" s="5"/>
      <c r="F804" s="54"/>
      <c r="G804" s="54"/>
      <c r="H804" s="7"/>
      <c r="I804" s="9"/>
      <c r="J804" s="21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2.75" customHeight="1" x14ac:dyDescent="0.25">
      <c r="A805" s="20"/>
      <c r="B805" s="20"/>
      <c r="C805" s="14"/>
      <c r="D805" s="14"/>
      <c r="E805" s="5"/>
      <c r="F805" s="54"/>
      <c r="G805" s="54"/>
      <c r="H805" s="7"/>
      <c r="I805" s="9"/>
      <c r="J805" s="21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2.75" customHeight="1" x14ac:dyDescent="0.25">
      <c r="A806" s="20"/>
      <c r="B806" s="20"/>
      <c r="C806" s="14"/>
      <c r="D806" s="14"/>
      <c r="E806" s="5"/>
      <c r="F806" s="54"/>
      <c r="G806" s="54"/>
      <c r="H806" s="7"/>
      <c r="I806" s="9"/>
      <c r="J806" s="21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2.75" customHeight="1" x14ac:dyDescent="0.25">
      <c r="A807" s="20"/>
      <c r="B807" s="20"/>
      <c r="C807" s="14"/>
      <c r="D807" s="14"/>
      <c r="E807" s="5"/>
      <c r="F807" s="54"/>
      <c r="G807" s="54"/>
      <c r="H807" s="7"/>
      <c r="I807" s="9"/>
      <c r="J807" s="21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2.75" customHeight="1" x14ac:dyDescent="0.25">
      <c r="A808" s="20"/>
      <c r="B808" s="20"/>
      <c r="C808" s="14"/>
      <c r="D808" s="14"/>
      <c r="E808" s="5"/>
      <c r="F808" s="54"/>
      <c r="G808" s="54"/>
      <c r="H808" s="7"/>
      <c r="I808" s="9"/>
      <c r="J808" s="21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2.75" customHeight="1" x14ac:dyDescent="0.25">
      <c r="A809" s="20"/>
      <c r="B809" s="20"/>
      <c r="C809" s="14"/>
      <c r="D809" s="14"/>
      <c r="E809" s="5"/>
      <c r="F809" s="54"/>
      <c r="G809" s="54"/>
      <c r="H809" s="7"/>
      <c r="I809" s="9"/>
      <c r="J809" s="21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2.75" customHeight="1" x14ac:dyDescent="0.25">
      <c r="A810" s="20"/>
      <c r="B810" s="20"/>
      <c r="C810" s="14"/>
      <c r="D810" s="14"/>
      <c r="E810" s="5"/>
      <c r="F810" s="54"/>
      <c r="G810" s="54"/>
      <c r="H810" s="7"/>
      <c r="I810" s="9"/>
      <c r="J810" s="21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2.75" customHeight="1" x14ac:dyDescent="0.25">
      <c r="A811" s="20"/>
      <c r="B811" s="20"/>
      <c r="C811" s="14"/>
      <c r="D811" s="14"/>
      <c r="E811" s="5"/>
      <c r="F811" s="54"/>
      <c r="G811" s="54"/>
      <c r="H811" s="7"/>
      <c r="I811" s="9"/>
      <c r="J811" s="21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2.75" customHeight="1" x14ac:dyDescent="0.25">
      <c r="A812" s="20"/>
      <c r="B812" s="20"/>
      <c r="C812" s="14"/>
      <c r="D812" s="14"/>
      <c r="E812" s="5"/>
      <c r="F812" s="54"/>
      <c r="G812" s="54"/>
      <c r="H812" s="7"/>
      <c r="I812" s="9"/>
      <c r="J812" s="21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2.75" customHeight="1" x14ac:dyDescent="0.25">
      <c r="A813" s="20"/>
      <c r="B813" s="20"/>
      <c r="C813" s="14"/>
      <c r="D813" s="14"/>
      <c r="E813" s="5"/>
      <c r="F813" s="54"/>
      <c r="G813" s="54"/>
      <c r="H813" s="7"/>
      <c r="I813" s="9"/>
      <c r="J813" s="21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2.75" customHeight="1" x14ac:dyDescent="0.25">
      <c r="A814" s="20"/>
      <c r="B814" s="20"/>
      <c r="C814" s="14"/>
      <c r="D814" s="14"/>
      <c r="E814" s="5"/>
      <c r="F814" s="54"/>
      <c r="G814" s="54"/>
      <c r="H814" s="7"/>
      <c r="I814" s="9"/>
      <c r="J814" s="21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2.75" customHeight="1" x14ac:dyDescent="0.25">
      <c r="A815" s="20"/>
      <c r="B815" s="20"/>
      <c r="C815" s="14"/>
      <c r="D815" s="14"/>
      <c r="E815" s="5"/>
      <c r="F815" s="54"/>
      <c r="G815" s="54"/>
      <c r="H815" s="7"/>
      <c r="I815" s="9"/>
      <c r="J815" s="21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2.75" customHeight="1" x14ac:dyDescent="0.25">
      <c r="A816" s="20"/>
      <c r="B816" s="20"/>
      <c r="C816" s="14"/>
      <c r="D816" s="14"/>
      <c r="E816" s="5"/>
      <c r="F816" s="54"/>
      <c r="G816" s="54"/>
      <c r="H816" s="7"/>
      <c r="I816" s="9"/>
      <c r="J816" s="21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2.75" customHeight="1" x14ac:dyDescent="0.25">
      <c r="A817" s="20"/>
      <c r="B817" s="20"/>
      <c r="C817" s="14"/>
      <c r="D817" s="14"/>
      <c r="E817" s="5"/>
      <c r="F817" s="54"/>
      <c r="G817" s="54"/>
      <c r="H817" s="7"/>
      <c r="I817" s="9"/>
      <c r="J817" s="21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2.75" customHeight="1" x14ac:dyDescent="0.25">
      <c r="A818" s="20"/>
      <c r="B818" s="20"/>
      <c r="C818" s="14"/>
      <c r="D818" s="14"/>
      <c r="E818" s="5"/>
      <c r="F818" s="54"/>
      <c r="G818" s="54"/>
      <c r="H818" s="7"/>
      <c r="I818" s="9"/>
      <c r="J818" s="21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2.75" customHeight="1" x14ac:dyDescent="0.25">
      <c r="A819" s="20"/>
      <c r="B819" s="20"/>
      <c r="C819" s="14"/>
      <c r="D819" s="14"/>
      <c r="E819" s="5"/>
      <c r="F819" s="54"/>
      <c r="G819" s="54"/>
      <c r="H819" s="7"/>
      <c r="I819" s="9"/>
      <c r="J819" s="21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2.75" customHeight="1" x14ac:dyDescent="0.25">
      <c r="A820" s="20"/>
      <c r="B820" s="20"/>
      <c r="C820" s="14"/>
      <c r="D820" s="14"/>
      <c r="E820" s="5"/>
      <c r="F820" s="54"/>
      <c r="G820" s="54"/>
      <c r="H820" s="7"/>
      <c r="I820" s="9"/>
      <c r="J820" s="21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2.75" customHeight="1" x14ac:dyDescent="0.25">
      <c r="A821" s="20"/>
      <c r="B821" s="20"/>
      <c r="C821" s="14"/>
      <c r="D821" s="14"/>
      <c r="E821" s="5"/>
      <c r="F821" s="54"/>
      <c r="G821" s="54"/>
      <c r="H821" s="7"/>
      <c r="I821" s="9"/>
      <c r="J821" s="21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2.75" customHeight="1" x14ac:dyDescent="0.25">
      <c r="A822" s="20"/>
      <c r="B822" s="20"/>
      <c r="C822" s="14"/>
      <c r="D822" s="14"/>
      <c r="E822" s="5"/>
      <c r="F822" s="54"/>
      <c r="G822" s="54"/>
      <c r="H822" s="7"/>
      <c r="I822" s="9"/>
      <c r="J822" s="21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2.75" customHeight="1" x14ac:dyDescent="0.25">
      <c r="A823" s="20"/>
      <c r="B823" s="20"/>
      <c r="C823" s="14"/>
      <c r="D823" s="14"/>
      <c r="E823" s="5"/>
      <c r="F823" s="54"/>
      <c r="G823" s="54"/>
      <c r="H823" s="7"/>
      <c r="I823" s="9"/>
      <c r="J823" s="21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2.75" customHeight="1" x14ac:dyDescent="0.25">
      <c r="A824" s="20"/>
      <c r="B824" s="20"/>
      <c r="C824" s="14"/>
      <c r="D824" s="14"/>
      <c r="E824" s="5"/>
      <c r="F824" s="54"/>
      <c r="G824" s="54"/>
      <c r="H824" s="7"/>
      <c r="I824" s="9"/>
      <c r="J824" s="21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2.75" customHeight="1" x14ac:dyDescent="0.25">
      <c r="A825" s="20"/>
      <c r="B825" s="20"/>
      <c r="C825" s="14"/>
      <c r="D825" s="14"/>
      <c r="E825" s="5"/>
      <c r="F825" s="54"/>
      <c r="G825" s="54"/>
      <c r="H825" s="7"/>
      <c r="I825" s="9"/>
      <c r="J825" s="21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2.75" customHeight="1" x14ac:dyDescent="0.25">
      <c r="A826" s="20"/>
      <c r="B826" s="20"/>
      <c r="C826" s="14"/>
      <c r="D826" s="14"/>
      <c r="E826" s="5"/>
      <c r="F826" s="54"/>
      <c r="G826" s="54"/>
      <c r="H826" s="7"/>
      <c r="I826" s="9"/>
      <c r="J826" s="21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2.75" customHeight="1" x14ac:dyDescent="0.25">
      <c r="A827" s="20"/>
      <c r="B827" s="20"/>
      <c r="C827" s="14"/>
      <c r="D827" s="14"/>
      <c r="E827" s="5"/>
      <c r="F827" s="54"/>
      <c r="G827" s="54"/>
      <c r="H827" s="7"/>
      <c r="I827" s="9"/>
      <c r="J827" s="21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 customHeight="1" x14ac:dyDescent="0.25">
      <c r="A828" s="20"/>
      <c r="B828" s="20"/>
      <c r="C828" s="14"/>
      <c r="D828" s="14"/>
      <c r="E828" s="5"/>
      <c r="F828" s="54"/>
      <c r="G828" s="54"/>
      <c r="H828" s="7"/>
      <c r="I828" s="9"/>
      <c r="J828" s="21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 customHeight="1" x14ac:dyDescent="0.25">
      <c r="A829" s="20"/>
      <c r="B829" s="20"/>
      <c r="C829" s="14"/>
      <c r="D829" s="14"/>
      <c r="E829" s="5"/>
      <c r="F829" s="54"/>
      <c r="G829" s="54"/>
      <c r="H829" s="7"/>
      <c r="I829" s="9"/>
      <c r="J829" s="21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2.75" customHeight="1" x14ac:dyDescent="0.25">
      <c r="A830" s="20"/>
      <c r="B830" s="20"/>
      <c r="C830" s="14"/>
      <c r="D830" s="14"/>
      <c r="E830" s="5"/>
      <c r="F830" s="54"/>
      <c r="G830" s="54"/>
      <c r="H830" s="7"/>
      <c r="I830" s="9"/>
      <c r="J830" s="21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2.75" customHeight="1" x14ac:dyDescent="0.25">
      <c r="A831" s="20"/>
      <c r="B831" s="20"/>
      <c r="C831" s="14"/>
      <c r="D831" s="14"/>
      <c r="E831" s="5"/>
      <c r="F831" s="54"/>
      <c r="G831" s="54"/>
      <c r="H831" s="7"/>
      <c r="I831" s="9"/>
      <c r="J831" s="21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2.75" customHeight="1" x14ac:dyDescent="0.25">
      <c r="A832" s="20"/>
      <c r="B832" s="20"/>
      <c r="C832" s="14"/>
      <c r="D832" s="14"/>
      <c r="E832" s="5"/>
      <c r="F832" s="54"/>
      <c r="G832" s="54"/>
      <c r="H832" s="7"/>
      <c r="I832" s="9"/>
      <c r="J832" s="21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2.75" customHeight="1" x14ac:dyDescent="0.25">
      <c r="A833" s="20"/>
      <c r="B833" s="20"/>
      <c r="C833" s="14"/>
      <c r="D833" s="14"/>
      <c r="E833" s="5"/>
      <c r="F833" s="54"/>
      <c r="G833" s="54"/>
      <c r="H833" s="7"/>
      <c r="I833" s="9"/>
      <c r="J833" s="21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2.75" customHeight="1" x14ac:dyDescent="0.25">
      <c r="A834" s="20"/>
      <c r="B834" s="20"/>
      <c r="C834" s="14"/>
      <c r="D834" s="14"/>
      <c r="E834" s="5"/>
      <c r="F834" s="54"/>
      <c r="G834" s="54"/>
      <c r="H834" s="7"/>
      <c r="I834" s="9"/>
      <c r="J834" s="21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2.75" customHeight="1" x14ac:dyDescent="0.25">
      <c r="A835" s="20"/>
      <c r="B835" s="20"/>
      <c r="C835" s="14"/>
      <c r="D835" s="14"/>
      <c r="E835" s="5"/>
      <c r="F835" s="54"/>
      <c r="G835" s="54"/>
      <c r="H835" s="7"/>
      <c r="I835" s="9"/>
      <c r="J835" s="21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 customHeight="1" x14ac:dyDescent="0.25">
      <c r="A836" s="20"/>
      <c r="B836" s="20"/>
      <c r="C836" s="14"/>
      <c r="D836" s="14"/>
      <c r="E836" s="5"/>
      <c r="F836" s="54"/>
      <c r="G836" s="54"/>
      <c r="H836" s="7"/>
      <c r="I836" s="9"/>
      <c r="J836" s="21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 customHeight="1" x14ac:dyDescent="0.25">
      <c r="A837" s="20"/>
      <c r="B837" s="20"/>
      <c r="C837" s="14"/>
      <c r="D837" s="14"/>
      <c r="E837" s="5"/>
      <c r="F837" s="54"/>
      <c r="G837" s="54"/>
      <c r="H837" s="7"/>
      <c r="I837" s="9"/>
      <c r="J837" s="21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2.75" customHeight="1" x14ac:dyDescent="0.25">
      <c r="A838" s="20"/>
      <c r="B838" s="20"/>
      <c r="C838" s="14"/>
      <c r="D838" s="14"/>
      <c r="E838" s="5"/>
      <c r="F838" s="54"/>
      <c r="G838" s="54"/>
      <c r="H838" s="7"/>
      <c r="I838" s="9"/>
      <c r="J838" s="21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2.75" customHeight="1" x14ac:dyDescent="0.25">
      <c r="A839" s="20"/>
      <c r="B839" s="20"/>
      <c r="C839" s="14"/>
      <c r="D839" s="14"/>
      <c r="E839" s="5"/>
      <c r="F839" s="54"/>
      <c r="G839" s="54"/>
      <c r="H839" s="7"/>
      <c r="I839" s="9"/>
      <c r="J839" s="21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2.75" customHeight="1" x14ac:dyDescent="0.25">
      <c r="A840" s="20"/>
      <c r="B840" s="20"/>
      <c r="C840" s="14"/>
      <c r="D840" s="14"/>
      <c r="E840" s="5"/>
      <c r="F840" s="54"/>
      <c r="G840" s="54"/>
      <c r="H840" s="7"/>
      <c r="I840" s="9"/>
      <c r="J840" s="21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2.75" customHeight="1" x14ac:dyDescent="0.25">
      <c r="A841" s="20"/>
      <c r="B841" s="20"/>
      <c r="C841" s="14"/>
      <c r="D841" s="14"/>
      <c r="E841" s="5"/>
      <c r="F841" s="54"/>
      <c r="G841" s="54"/>
      <c r="H841" s="7"/>
      <c r="I841" s="9"/>
      <c r="J841" s="21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 customHeight="1" x14ac:dyDescent="0.25">
      <c r="A842" s="20"/>
      <c r="B842" s="20"/>
      <c r="C842" s="14"/>
      <c r="D842" s="14"/>
      <c r="E842" s="5"/>
      <c r="F842" s="54"/>
      <c r="G842" s="54"/>
      <c r="H842" s="7"/>
      <c r="I842" s="9"/>
      <c r="J842" s="21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2.75" customHeight="1" x14ac:dyDescent="0.25">
      <c r="A843" s="20"/>
      <c r="B843" s="20"/>
      <c r="C843" s="14"/>
      <c r="D843" s="14"/>
      <c r="E843" s="5"/>
      <c r="F843" s="54"/>
      <c r="G843" s="54"/>
      <c r="H843" s="7"/>
      <c r="I843" s="9"/>
      <c r="J843" s="21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2.75" customHeight="1" x14ac:dyDescent="0.25">
      <c r="A844" s="20"/>
      <c r="B844" s="20"/>
      <c r="C844" s="14"/>
      <c r="D844" s="14"/>
      <c r="E844" s="5"/>
      <c r="F844" s="54"/>
      <c r="G844" s="54"/>
      <c r="H844" s="7"/>
      <c r="I844" s="9"/>
      <c r="J844" s="21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2.75" customHeight="1" x14ac:dyDescent="0.25">
      <c r="A845" s="20"/>
      <c r="B845" s="20"/>
      <c r="C845" s="14"/>
      <c r="D845" s="14"/>
      <c r="E845" s="5"/>
      <c r="F845" s="54"/>
      <c r="G845" s="54"/>
      <c r="H845" s="7"/>
      <c r="I845" s="9"/>
      <c r="J845" s="21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2.75" customHeight="1" x14ac:dyDescent="0.25">
      <c r="A846" s="20"/>
      <c r="B846" s="20"/>
      <c r="C846" s="14"/>
      <c r="D846" s="14"/>
      <c r="E846" s="5"/>
      <c r="F846" s="54"/>
      <c r="G846" s="54"/>
      <c r="H846" s="7"/>
      <c r="I846" s="9"/>
      <c r="J846" s="21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2.75" customHeight="1" x14ac:dyDescent="0.25">
      <c r="A847" s="20"/>
      <c r="B847" s="20"/>
      <c r="C847" s="14"/>
      <c r="D847" s="14"/>
      <c r="E847" s="5"/>
      <c r="F847" s="54"/>
      <c r="G847" s="54"/>
      <c r="H847" s="7"/>
      <c r="I847" s="9"/>
      <c r="J847" s="21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 customHeight="1" x14ac:dyDescent="0.25">
      <c r="A848" s="20"/>
      <c r="B848" s="20"/>
      <c r="C848" s="14"/>
      <c r="D848" s="14"/>
      <c r="E848" s="5"/>
      <c r="F848" s="54"/>
      <c r="G848" s="54"/>
      <c r="H848" s="7"/>
      <c r="I848" s="9"/>
      <c r="J848" s="21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 customHeight="1" x14ac:dyDescent="0.25">
      <c r="A849" s="20"/>
      <c r="B849" s="20"/>
      <c r="C849" s="14"/>
      <c r="D849" s="14"/>
      <c r="E849" s="5"/>
      <c r="F849" s="54"/>
      <c r="G849" s="54"/>
      <c r="H849" s="7"/>
      <c r="I849" s="9"/>
      <c r="J849" s="21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2.75" customHeight="1" x14ac:dyDescent="0.25">
      <c r="A850" s="20"/>
      <c r="B850" s="20"/>
      <c r="C850" s="14"/>
      <c r="D850" s="14"/>
      <c r="E850" s="5"/>
      <c r="F850" s="54"/>
      <c r="G850" s="54"/>
      <c r="H850" s="7"/>
      <c r="I850" s="9"/>
      <c r="J850" s="21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2.75" customHeight="1" x14ac:dyDescent="0.25">
      <c r="A851" s="20"/>
      <c r="B851" s="20"/>
      <c r="C851" s="14"/>
      <c r="D851" s="14"/>
      <c r="E851" s="5"/>
      <c r="F851" s="54"/>
      <c r="G851" s="54"/>
      <c r="H851" s="7"/>
      <c r="I851" s="9"/>
      <c r="J851" s="21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2.75" customHeight="1" x14ac:dyDescent="0.25">
      <c r="A852" s="20"/>
      <c r="B852" s="20"/>
      <c r="C852" s="14"/>
      <c r="D852" s="14"/>
      <c r="E852" s="5"/>
      <c r="F852" s="54"/>
      <c r="G852" s="54"/>
      <c r="H852" s="7"/>
      <c r="I852" s="9"/>
      <c r="J852" s="21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2.75" customHeight="1" x14ac:dyDescent="0.25">
      <c r="A853" s="20"/>
      <c r="B853" s="20"/>
      <c r="C853" s="14"/>
      <c r="D853" s="14"/>
      <c r="E853" s="5"/>
      <c r="F853" s="54"/>
      <c r="G853" s="54"/>
      <c r="H853" s="7"/>
      <c r="I853" s="9"/>
      <c r="J853" s="21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2.75" customHeight="1" x14ac:dyDescent="0.25">
      <c r="A854" s="20"/>
      <c r="B854" s="20"/>
      <c r="C854" s="14"/>
      <c r="D854" s="14"/>
      <c r="E854" s="5"/>
      <c r="F854" s="54"/>
      <c r="G854" s="54"/>
      <c r="H854" s="7"/>
      <c r="I854" s="9"/>
      <c r="J854" s="21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2.75" customHeight="1" x14ac:dyDescent="0.25">
      <c r="A855" s="20"/>
      <c r="B855" s="20"/>
      <c r="C855" s="14"/>
      <c r="D855" s="14"/>
      <c r="E855" s="5"/>
      <c r="F855" s="54"/>
      <c r="G855" s="54"/>
      <c r="H855" s="7"/>
      <c r="I855" s="9"/>
      <c r="J855" s="21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2.75" customHeight="1" x14ac:dyDescent="0.25">
      <c r="A856" s="20"/>
      <c r="B856" s="20"/>
      <c r="C856" s="14"/>
      <c r="D856" s="14"/>
      <c r="E856" s="5"/>
      <c r="F856" s="54"/>
      <c r="G856" s="54"/>
      <c r="H856" s="7"/>
      <c r="I856" s="9"/>
      <c r="J856" s="21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2.75" customHeight="1" x14ac:dyDescent="0.25">
      <c r="A857" s="20"/>
      <c r="B857" s="20"/>
      <c r="C857" s="14"/>
      <c r="D857" s="14"/>
      <c r="E857" s="5"/>
      <c r="F857" s="54"/>
      <c r="G857" s="54"/>
      <c r="H857" s="7"/>
      <c r="I857" s="9"/>
      <c r="J857" s="21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 customHeight="1" x14ac:dyDescent="0.25">
      <c r="A858" s="20"/>
      <c r="B858" s="20"/>
      <c r="C858" s="14"/>
      <c r="D858" s="14"/>
      <c r="E858" s="5"/>
      <c r="F858" s="54"/>
      <c r="G858" s="54"/>
      <c r="H858" s="7"/>
      <c r="I858" s="9"/>
      <c r="J858" s="21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 customHeight="1" x14ac:dyDescent="0.25">
      <c r="A859" s="20"/>
      <c r="B859" s="20"/>
      <c r="C859" s="14"/>
      <c r="D859" s="14"/>
      <c r="E859" s="5"/>
      <c r="F859" s="54"/>
      <c r="G859" s="54"/>
      <c r="H859" s="7"/>
      <c r="I859" s="9"/>
      <c r="J859" s="21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 customHeight="1" x14ac:dyDescent="0.25">
      <c r="A860" s="20"/>
      <c r="B860" s="20"/>
      <c r="C860" s="14"/>
      <c r="D860" s="14"/>
      <c r="E860" s="5"/>
      <c r="F860" s="54"/>
      <c r="G860" s="54"/>
      <c r="H860" s="7"/>
      <c r="I860" s="9"/>
      <c r="J860" s="21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 customHeight="1" x14ac:dyDescent="0.25">
      <c r="A861" s="20"/>
      <c r="B861" s="20"/>
      <c r="C861" s="14"/>
      <c r="D861" s="14"/>
      <c r="E861" s="5"/>
      <c r="F861" s="54"/>
      <c r="G861" s="54"/>
      <c r="H861" s="7"/>
      <c r="I861" s="9"/>
      <c r="J861" s="21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2.75" customHeight="1" x14ac:dyDescent="0.25">
      <c r="A862" s="20"/>
      <c r="B862" s="20"/>
      <c r="C862" s="14"/>
      <c r="D862" s="14"/>
      <c r="E862" s="5"/>
      <c r="F862" s="54"/>
      <c r="G862" s="54"/>
      <c r="H862" s="7"/>
      <c r="I862" s="9"/>
      <c r="J862" s="21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2.75" customHeight="1" x14ac:dyDescent="0.25">
      <c r="A863" s="20"/>
      <c r="B863" s="20"/>
      <c r="C863" s="14"/>
      <c r="D863" s="14"/>
      <c r="E863" s="5"/>
      <c r="F863" s="54"/>
      <c r="G863" s="54"/>
      <c r="H863" s="7"/>
      <c r="I863" s="9"/>
      <c r="J863" s="21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2.75" customHeight="1" x14ac:dyDescent="0.25">
      <c r="A864" s="20"/>
      <c r="B864" s="20"/>
      <c r="C864" s="14"/>
      <c r="D864" s="14"/>
      <c r="E864" s="5"/>
      <c r="F864" s="54"/>
      <c r="G864" s="54"/>
      <c r="H864" s="7"/>
      <c r="I864" s="9"/>
      <c r="J864" s="21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 customHeight="1" x14ac:dyDescent="0.25">
      <c r="A865" s="20"/>
      <c r="B865" s="20"/>
      <c r="C865" s="14"/>
      <c r="D865" s="14"/>
      <c r="E865" s="5"/>
      <c r="F865" s="54"/>
      <c r="G865" s="54"/>
      <c r="H865" s="7"/>
      <c r="I865" s="9"/>
      <c r="J865" s="21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 customHeight="1" x14ac:dyDescent="0.25">
      <c r="A866" s="20"/>
      <c r="B866" s="20"/>
      <c r="C866" s="14"/>
      <c r="D866" s="14"/>
      <c r="E866" s="5"/>
      <c r="F866" s="54"/>
      <c r="G866" s="54"/>
      <c r="H866" s="7"/>
      <c r="I866" s="9"/>
      <c r="J866" s="21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 customHeight="1" x14ac:dyDescent="0.25">
      <c r="A867" s="20"/>
      <c r="B867" s="20"/>
      <c r="C867" s="14"/>
      <c r="D867" s="14"/>
      <c r="E867" s="5"/>
      <c r="F867" s="54"/>
      <c r="G867" s="54"/>
      <c r="H867" s="7"/>
      <c r="I867" s="9"/>
      <c r="J867" s="21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 customHeight="1" x14ac:dyDescent="0.25">
      <c r="A868" s="20"/>
      <c r="B868" s="20"/>
      <c r="C868" s="14"/>
      <c r="D868" s="14"/>
      <c r="E868" s="5"/>
      <c r="F868" s="54"/>
      <c r="G868" s="54"/>
      <c r="H868" s="7"/>
      <c r="I868" s="9"/>
      <c r="J868" s="21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 customHeight="1" x14ac:dyDescent="0.25">
      <c r="A869" s="20"/>
      <c r="B869" s="20"/>
      <c r="C869" s="14"/>
      <c r="D869" s="14"/>
      <c r="E869" s="5"/>
      <c r="F869" s="54"/>
      <c r="G869" s="54"/>
      <c r="H869" s="7"/>
      <c r="I869" s="9"/>
      <c r="J869" s="21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 customHeight="1" x14ac:dyDescent="0.25">
      <c r="A870" s="20"/>
      <c r="B870" s="20"/>
      <c r="C870" s="14"/>
      <c r="D870" s="14"/>
      <c r="E870" s="5"/>
      <c r="F870" s="54"/>
      <c r="G870" s="54"/>
      <c r="H870" s="7"/>
      <c r="I870" s="9"/>
      <c r="J870" s="21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 customHeight="1" x14ac:dyDescent="0.25">
      <c r="A871" s="20"/>
      <c r="B871" s="20"/>
      <c r="C871" s="14"/>
      <c r="D871" s="14"/>
      <c r="E871" s="5"/>
      <c r="F871" s="54"/>
      <c r="G871" s="54"/>
      <c r="H871" s="7"/>
      <c r="I871" s="9"/>
      <c r="J871" s="21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 customHeight="1" x14ac:dyDescent="0.25">
      <c r="A872" s="20"/>
      <c r="B872" s="20"/>
      <c r="C872" s="14"/>
      <c r="D872" s="14"/>
      <c r="E872" s="5"/>
      <c r="F872" s="54"/>
      <c r="G872" s="54"/>
      <c r="H872" s="7"/>
      <c r="I872" s="9"/>
      <c r="J872" s="21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2.75" customHeight="1" x14ac:dyDescent="0.25">
      <c r="A873" s="20"/>
      <c r="B873" s="20"/>
      <c r="C873" s="14"/>
      <c r="D873" s="14"/>
      <c r="E873" s="5"/>
      <c r="F873" s="54"/>
      <c r="G873" s="54"/>
      <c r="H873" s="7"/>
      <c r="I873" s="9"/>
      <c r="J873" s="21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2.75" customHeight="1" x14ac:dyDescent="0.25">
      <c r="A874" s="20"/>
      <c r="B874" s="20"/>
      <c r="C874" s="14"/>
      <c r="D874" s="14"/>
      <c r="E874" s="5"/>
      <c r="F874" s="54"/>
      <c r="G874" s="54"/>
      <c r="H874" s="7"/>
      <c r="I874" s="9"/>
      <c r="J874" s="21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2.75" customHeight="1" x14ac:dyDescent="0.25">
      <c r="A875" s="20"/>
      <c r="B875" s="20"/>
      <c r="C875" s="14"/>
      <c r="D875" s="14"/>
      <c r="E875" s="5"/>
      <c r="F875" s="54"/>
      <c r="G875" s="54"/>
      <c r="H875" s="7"/>
      <c r="I875" s="9"/>
      <c r="J875" s="21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2.75" customHeight="1" x14ac:dyDescent="0.25">
      <c r="A876" s="20"/>
      <c r="B876" s="20"/>
      <c r="C876" s="14"/>
      <c r="D876" s="14"/>
      <c r="E876" s="5"/>
      <c r="F876" s="54"/>
      <c r="G876" s="54"/>
      <c r="H876" s="7"/>
      <c r="I876" s="9"/>
      <c r="J876" s="21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2.75" customHeight="1" x14ac:dyDescent="0.25">
      <c r="A877" s="20"/>
      <c r="B877" s="20"/>
      <c r="C877" s="14"/>
      <c r="D877" s="14"/>
      <c r="E877" s="5"/>
      <c r="F877" s="54"/>
      <c r="G877" s="54"/>
      <c r="H877" s="7"/>
      <c r="I877" s="9"/>
      <c r="J877" s="21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2.75" customHeight="1" x14ac:dyDescent="0.25">
      <c r="A878" s="20"/>
      <c r="B878" s="20"/>
      <c r="C878" s="14"/>
      <c r="D878" s="14"/>
      <c r="E878" s="5"/>
      <c r="F878" s="54"/>
      <c r="G878" s="54"/>
      <c r="H878" s="7"/>
      <c r="I878" s="9"/>
      <c r="J878" s="21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2.75" customHeight="1" x14ac:dyDescent="0.25">
      <c r="A879" s="20"/>
      <c r="B879" s="20"/>
      <c r="C879" s="14"/>
      <c r="D879" s="14"/>
      <c r="E879" s="5"/>
      <c r="F879" s="54"/>
      <c r="G879" s="54"/>
      <c r="H879" s="7"/>
      <c r="I879" s="9"/>
      <c r="J879" s="21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2.75" customHeight="1" x14ac:dyDescent="0.25">
      <c r="A880" s="20"/>
      <c r="B880" s="20"/>
      <c r="C880" s="14"/>
      <c r="D880" s="14"/>
      <c r="E880" s="5"/>
      <c r="F880" s="54"/>
      <c r="G880" s="54"/>
      <c r="H880" s="7"/>
      <c r="I880" s="9"/>
      <c r="J880" s="21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2.75" customHeight="1" x14ac:dyDescent="0.25">
      <c r="A881" s="20"/>
      <c r="B881" s="20"/>
      <c r="C881" s="14"/>
      <c r="D881" s="14"/>
      <c r="E881" s="5"/>
      <c r="F881" s="54"/>
      <c r="G881" s="54"/>
      <c r="H881" s="7"/>
      <c r="I881" s="9"/>
      <c r="J881" s="21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2.75" customHeight="1" x14ac:dyDescent="0.25">
      <c r="A882" s="20"/>
      <c r="B882" s="20"/>
      <c r="C882" s="14"/>
      <c r="D882" s="14"/>
      <c r="E882" s="5"/>
      <c r="F882" s="54"/>
      <c r="G882" s="54"/>
      <c r="H882" s="7"/>
      <c r="I882" s="9"/>
      <c r="J882" s="21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2.75" customHeight="1" x14ac:dyDescent="0.25">
      <c r="A883" s="20"/>
      <c r="B883" s="20"/>
      <c r="C883" s="14"/>
      <c r="D883" s="14"/>
      <c r="E883" s="5"/>
      <c r="F883" s="54"/>
      <c r="G883" s="54"/>
      <c r="H883" s="7"/>
      <c r="I883" s="9"/>
      <c r="J883" s="21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2.75" customHeight="1" x14ac:dyDescent="0.25">
      <c r="A884" s="20"/>
      <c r="B884" s="20"/>
      <c r="C884" s="14"/>
      <c r="D884" s="14"/>
      <c r="E884" s="5"/>
      <c r="F884" s="54"/>
      <c r="G884" s="54"/>
      <c r="H884" s="7"/>
      <c r="I884" s="9"/>
      <c r="J884" s="21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2.75" customHeight="1" x14ac:dyDescent="0.25">
      <c r="A885" s="20"/>
      <c r="B885" s="20"/>
      <c r="C885" s="14"/>
      <c r="D885" s="14"/>
      <c r="E885" s="5"/>
      <c r="F885" s="54"/>
      <c r="G885" s="54"/>
      <c r="H885" s="7"/>
      <c r="I885" s="9"/>
      <c r="J885" s="21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2.75" customHeight="1" x14ac:dyDescent="0.25">
      <c r="A886" s="20"/>
      <c r="B886" s="20"/>
      <c r="C886" s="14"/>
      <c r="D886" s="14"/>
      <c r="E886" s="5"/>
      <c r="F886" s="54"/>
      <c r="G886" s="54"/>
      <c r="H886" s="7"/>
      <c r="I886" s="9"/>
      <c r="J886" s="21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2.75" customHeight="1" x14ac:dyDescent="0.25">
      <c r="A887" s="20"/>
      <c r="B887" s="20"/>
      <c r="C887" s="14"/>
      <c r="D887" s="14"/>
      <c r="E887" s="5"/>
      <c r="F887" s="54"/>
      <c r="G887" s="54"/>
      <c r="H887" s="7"/>
      <c r="I887" s="9"/>
      <c r="J887" s="21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2.75" customHeight="1" x14ac:dyDescent="0.25">
      <c r="A888" s="20"/>
      <c r="B888" s="20"/>
      <c r="C888" s="14"/>
      <c r="D888" s="14"/>
      <c r="E888" s="5"/>
      <c r="F888" s="54"/>
      <c r="G888" s="54"/>
      <c r="H888" s="7"/>
      <c r="I888" s="9"/>
      <c r="J888" s="21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2.75" customHeight="1" x14ac:dyDescent="0.25">
      <c r="A889" s="20"/>
      <c r="B889" s="20"/>
      <c r="C889" s="14"/>
      <c r="D889" s="14"/>
      <c r="E889" s="5"/>
      <c r="F889" s="54"/>
      <c r="G889" s="54"/>
      <c r="H889" s="7"/>
      <c r="I889" s="9"/>
      <c r="J889" s="21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2.75" customHeight="1" x14ac:dyDescent="0.25">
      <c r="A890" s="20"/>
      <c r="B890" s="20"/>
      <c r="C890" s="14"/>
      <c r="D890" s="14"/>
      <c r="E890" s="5"/>
      <c r="F890" s="54"/>
      <c r="G890" s="54"/>
      <c r="H890" s="7"/>
      <c r="I890" s="9"/>
      <c r="J890" s="21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2.75" customHeight="1" x14ac:dyDescent="0.25">
      <c r="A891" s="20"/>
      <c r="B891" s="20"/>
      <c r="C891" s="14"/>
      <c r="D891" s="14"/>
      <c r="E891" s="5"/>
      <c r="F891" s="54"/>
      <c r="G891" s="54"/>
      <c r="H891" s="7"/>
      <c r="I891" s="9"/>
      <c r="J891" s="21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2.75" customHeight="1" x14ac:dyDescent="0.25">
      <c r="A892" s="20"/>
      <c r="B892" s="20"/>
      <c r="C892" s="14"/>
      <c r="D892" s="14"/>
      <c r="E892" s="5"/>
      <c r="F892" s="54"/>
      <c r="G892" s="54"/>
      <c r="H892" s="7"/>
      <c r="I892" s="9"/>
      <c r="J892" s="21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2.75" customHeight="1" x14ac:dyDescent="0.25">
      <c r="A893" s="20"/>
      <c r="B893" s="20"/>
      <c r="C893" s="14"/>
      <c r="D893" s="14"/>
      <c r="E893" s="5"/>
      <c r="F893" s="54"/>
      <c r="G893" s="54"/>
      <c r="H893" s="7"/>
      <c r="I893" s="9"/>
      <c r="J893" s="21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2.75" customHeight="1" x14ac:dyDescent="0.25">
      <c r="A894" s="20"/>
      <c r="B894" s="20"/>
      <c r="C894" s="14"/>
      <c r="D894" s="14"/>
      <c r="E894" s="5"/>
      <c r="F894" s="54"/>
      <c r="G894" s="54"/>
      <c r="H894" s="7"/>
      <c r="I894" s="9"/>
      <c r="J894" s="21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2.75" customHeight="1" x14ac:dyDescent="0.25">
      <c r="A895" s="20"/>
      <c r="B895" s="20"/>
      <c r="C895" s="14"/>
      <c r="D895" s="14"/>
      <c r="E895" s="5"/>
      <c r="F895" s="54"/>
      <c r="G895" s="54"/>
      <c r="H895" s="7"/>
      <c r="I895" s="9"/>
      <c r="J895" s="21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2.75" customHeight="1" x14ac:dyDescent="0.25">
      <c r="A896" s="20"/>
      <c r="B896" s="20"/>
      <c r="C896" s="14"/>
      <c r="D896" s="14"/>
      <c r="E896" s="5"/>
      <c r="F896" s="54"/>
      <c r="G896" s="54"/>
      <c r="H896" s="7"/>
      <c r="I896" s="9"/>
      <c r="J896" s="21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2.75" customHeight="1" x14ac:dyDescent="0.25">
      <c r="A897" s="20"/>
      <c r="B897" s="20"/>
      <c r="C897" s="14"/>
      <c r="D897" s="14"/>
      <c r="E897" s="5"/>
      <c r="F897" s="54"/>
      <c r="G897" s="54"/>
      <c r="H897" s="7"/>
      <c r="I897" s="9"/>
      <c r="J897" s="21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 customHeight="1" x14ac:dyDescent="0.25">
      <c r="A898" s="20"/>
      <c r="B898" s="20"/>
      <c r="C898" s="14"/>
      <c r="D898" s="14"/>
      <c r="E898" s="5"/>
      <c r="F898" s="54"/>
      <c r="G898" s="54"/>
      <c r="H898" s="7"/>
      <c r="I898" s="9"/>
      <c r="J898" s="21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 customHeight="1" x14ac:dyDescent="0.25">
      <c r="A899" s="20"/>
      <c r="B899" s="20"/>
      <c r="C899" s="14"/>
      <c r="D899" s="14"/>
      <c r="E899" s="5"/>
      <c r="F899" s="54"/>
      <c r="G899" s="54"/>
      <c r="H899" s="7"/>
      <c r="I899" s="9"/>
      <c r="J899" s="21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2.75" customHeight="1" x14ac:dyDescent="0.25">
      <c r="A900" s="20"/>
      <c r="B900" s="20"/>
      <c r="C900" s="14"/>
      <c r="D900" s="14"/>
      <c r="E900" s="5"/>
      <c r="F900" s="54"/>
      <c r="G900" s="54"/>
      <c r="H900" s="7"/>
      <c r="I900" s="9"/>
      <c r="J900" s="21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2.75" customHeight="1" x14ac:dyDescent="0.25">
      <c r="A901" s="20"/>
      <c r="B901" s="20"/>
      <c r="C901" s="14"/>
      <c r="D901" s="14"/>
      <c r="E901" s="5"/>
      <c r="F901" s="54"/>
      <c r="G901" s="54"/>
      <c r="H901" s="7"/>
      <c r="I901" s="9"/>
      <c r="J901" s="21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2.75" customHeight="1" x14ac:dyDescent="0.25">
      <c r="A902" s="20"/>
      <c r="B902" s="20"/>
      <c r="C902" s="14"/>
      <c r="D902" s="14"/>
      <c r="E902" s="5"/>
      <c r="F902" s="54"/>
      <c r="G902" s="54"/>
      <c r="H902" s="7"/>
      <c r="I902" s="9"/>
      <c r="J902" s="21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2.75" customHeight="1" x14ac:dyDescent="0.25">
      <c r="A903" s="20"/>
      <c r="B903" s="20"/>
      <c r="C903" s="14"/>
      <c r="D903" s="14"/>
      <c r="E903" s="5"/>
      <c r="F903" s="54"/>
      <c r="G903" s="54"/>
      <c r="H903" s="7"/>
      <c r="I903" s="9"/>
      <c r="J903" s="21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2.75" customHeight="1" x14ac:dyDescent="0.25">
      <c r="A904" s="20"/>
      <c r="B904" s="20"/>
      <c r="C904" s="14"/>
      <c r="D904" s="14"/>
      <c r="E904" s="5"/>
      <c r="F904" s="54"/>
      <c r="G904" s="54"/>
      <c r="H904" s="7"/>
      <c r="I904" s="9"/>
      <c r="J904" s="21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2.75" customHeight="1" x14ac:dyDescent="0.25">
      <c r="A905" s="20"/>
      <c r="B905" s="20"/>
      <c r="C905" s="14"/>
      <c r="D905" s="14"/>
      <c r="E905" s="5"/>
      <c r="F905" s="54"/>
      <c r="G905" s="54"/>
      <c r="H905" s="7"/>
      <c r="I905" s="9"/>
      <c r="J905" s="21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 customHeight="1" x14ac:dyDescent="0.25">
      <c r="A906" s="20"/>
      <c r="B906" s="20"/>
      <c r="C906" s="14"/>
      <c r="D906" s="14"/>
      <c r="E906" s="5"/>
      <c r="F906" s="54"/>
      <c r="G906" s="54"/>
      <c r="H906" s="7"/>
      <c r="I906" s="9"/>
      <c r="J906" s="21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 customHeight="1" x14ac:dyDescent="0.25">
      <c r="A907" s="20"/>
      <c r="B907" s="20"/>
      <c r="C907" s="14"/>
      <c r="D907" s="14"/>
      <c r="E907" s="5"/>
      <c r="F907" s="54"/>
      <c r="G907" s="54"/>
      <c r="H907" s="7"/>
      <c r="I907" s="9"/>
      <c r="J907" s="21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2.75" customHeight="1" x14ac:dyDescent="0.25">
      <c r="A908" s="20"/>
      <c r="B908" s="20"/>
      <c r="C908" s="14"/>
      <c r="D908" s="14"/>
      <c r="E908" s="5"/>
      <c r="F908" s="54"/>
      <c r="G908" s="54"/>
      <c r="H908" s="7"/>
      <c r="I908" s="9"/>
      <c r="J908" s="21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2.75" customHeight="1" x14ac:dyDescent="0.25">
      <c r="A909" s="20"/>
      <c r="B909" s="20"/>
      <c r="C909" s="14"/>
      <c r="D909" s="14"/>
      <c r="E909" s="5"/>
      <c r="F909" s="54"/>
      <c r="G909" s="54"/>
      <c r="H909" s="7"/>
      <c r="I909" s="9"/>
      <c r="J909" s="21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2.75" customHeight="1" x14ac:dyDescent="0.25">
      <c r="A910" s="20"/>
      <c r="B910" s="20"/>
      <c r="C910" s="14"/>
      <c r="D910" s="14"/>
      <c r="E910" s="5"/>
      <c r="F910" s="54"/>
      <c r="G910" s="54"/>
      <c r="H910" s="7"/>
      <c r="I910" s="9"/>
      <c r="J910" s="21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2.75" customHeight="1" x14ac:dyDescent="0.25">
      <c r="A911" s="20"/>
      <c r="B911" s="20"/>
      <c r="C911" s="14"/>
      <c r="D911" s="14"/>
      <c r="E911" s="5"/>
      <c r="F911" s="54"/>
      <c r="G911" s="54"/>
      <c r="H911" s="7"/>
      <c r="I911" s="9"/>
      <c r="J911" s="21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 customHeight="1" x14ac:dyDescent="0.25">
      <c r="A912" s="20"/>
      <c r="B912" s="20"/>
      <c r="C912" s="14"/>
      <c r="D912" s="14"/>
      <c r="E912" s="5"/>
      <c r="F912" s="54"/>
      <c r="G912" s="54"/>
      <c r="H912" s="7"/>
      <c r="I912" s="9"/>
      <c r="J912" s="21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2.75" customHeight="1" x14ac:dyDescent="0.25">
      <c r="A913" s="20"/>
      <c r="B913" s="20"/>
      <c r="C913" s="14"/>
      <c r="D913" s="14"/>
      <c r="E913" s="5"/>
      <c r="F913" s="54"/>
      <c r="G913" s="54"/>
      <c r="H913" s="7"/>
      <c r="I913" s="9"/>
      <c r="J913" s="21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2.75" customHeight="1" x14ac:dyDescent="0.25">
      <c r="A914" s="20"/>
      <c r="B914" s="20"/>
      <c r="C914" s="14"/>
      <c r="D914" s="14"/>
      <c r="E914" s="5"/>
      <c r="F914" s="54"/>
      <c r="G914" s="54"/>
      <c r="H914" s="7"/>
      <c r="I914" s="9"/>
      <c r="J914" s="21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2.75" customHeight="1" x14ac:dyDescent="0.25">
      <c r="A915" s="20"/>
      <c r="B915" s="20"/>
      <c r="C915" s="14"/>
      <c r="D915" s="14"/>
      <c r="E915" s="5"/>
      <c r="F915" s="54"/>
      <c r="G915" s="54"/>
      <c r="H915" s="7"/>
      <c r="I915" s="9"/>
      <c r="J915" s="21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2.75" customHeight="1" x14ac:dyDescent="0.25">
      <c r="A916" s="20"/>
      <c r="B916" s="20"/>
      <c r="C916" s="14"/>
      <c r="D916" s="14"/>
      <c r="E916" s="5"/>
      <c r="F916" s="54"/>
      <c r="G916" s="54"/>
      <c r="H916" s="7"/>
      <c r="I916" s="9"/>
      <c r="J916" s="21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2.75" customHeight="1" x14ac:dyDescent="0.25">
      <c r="A917" s="20"/>
      <c r="B917" s="20"/>
      <c r="C917" s="14"/>
      <c r="D917" s="14"/>
      <c r="E917" s="5"/>
      <c r="F917" s="54"/>
      <c r="G917" s="54"/>
      <c r="H917" s="7"/>
      <c r="I917" s="9"/>
      <c r="J917" s="21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 customHeight="1" x14ac:dyDescent="0.25">
      <c r="A918" s="20"/>
      <c r="B918" s="20"/>
      <c r="C918" s="14"/>
      <c r="D918" s="14"/>
      <c r="E918" s="5"/>
      <c r="F918" s="54"/>
      <c r="G918" s="54"/>
      <c r="H918" s="7"/>
      <c r="I918" s="9"/>
      <c r="J918" s="21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 customHeight="1" x14ac:dyDescent="0.25">
      <c r="A919" s="20"/>
      <c r="B919" s="20"/>
      <c r="C919" s="14"/>
      <c r="D919" s="14"/>
      <c r="E919" s="5"/>
      <c r="F919" s="54"/>
      <c r="G919" s="54"/>
      <c r="H919" s="7"/>
      <c r="I919" s="9"/>
      <c r="J919" s="21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2.75" customHeight="1" x14ac:dyDescent="0.25">
      <c r="A920" s="20"/>
      <c r="B920" s="20"/>
      <c r="C920" s="14"/>
      <c r="D920" s="14"/>
      <c r="E920" s="5"/>
      <c r="F920" s="54"/>
      <c r="G920" s="54"/>
      <c r="H920" s="7"/>
      <c r="I920" s="9"/>
      <c r="J920" s="21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2.75" customHeight="1" x14ac:dyDescent="0.25">
      <c r="A921" s="20"/>
      <c r="B921" s="20"/>
      <c r="C921" s="14"/>
      <c r="D921" s="14"/>
      <c r="E921" s="5"/>
      <c r="F921" s="54"/>
      <c r="G921" s="54"/>
      <c r="H921" s="7"/>
      <c r="I921" s="9"/>
      <c r="J921" s="21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2.75" customHeight="1" x14ac:dyDescent="0.25">
      <c r="A922" s="20"/>
      <c r="B922" s="20"/>
      <c r="C922" s="14"/>
      <c r="D922" s="14"/>
      <c r="E922" s="5"/>
      <c r="F922" s="54"/>
      <c r="G922" s="54"/>
      <c r="H922" s="7"/>
      <c r="I922" s="9"/>
      <c r="J922" s="21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2.75" customHeight="1" x14ac:dyDescent="0.25">
      <c r="A923" s="20"/>
      <c r="B923" s="20"/>
      <c r="C923" s="14"/>
      <c r="D923" s="14"/>
      <c r="E923" s="5"/>
      <c r="F923" s="54"/>
      <c r="G923" s="54"/>
      <c r="H923" s="7"/>
      <c r="I923" s="9"/>
      <c r="J923" s="21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2.75" customHeight="1" x14ac:dyDescent="0.25">
      <c r="A924" s="20"/>
      <c r="B924" s="20"/>
      <c r="C924" s="14"/>
      <c r="D924" s="14"/>
      <c r="E924" s="5"/>
      <c r="F924" s="54"/>
      <c r="G924" s="54"/>
      <c r="H924" s="7"/>
      <c r="I924" s="9"/>
      <c r="J924" s="21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2.75" customHeight="1" x14ac:dyDescent="0.25">
      <c r="A925" s="20"/>
      <c r="B925" s="20"/>
      <c r="C925" s="14"/>
      <c r="D925" s="14"/>
      <c r="E925" s="5"/>
      <c r="F925" s="54"/>
      <c r="G925" s="54"/>
      <c r="H925" s="7"/>
      <c r="I925" s="9"/>
      <c r="J925" s="21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2.75" customHeight="1" x14ac:dyDescent="0.25">
      <c r="A926" s="20"/>
      <c r="B926" s="20"/>
      <c r="C926" s="14"/>
      <c r="D926" s="14"/>
      <c r="E926" s="5"/>
      <c r="F926" s="54"/>
      <c r="G926" s="54"/>
      <c r="H926" s="7"/>
      <c r="I926" s="9"/>
      <c r="J926" s="21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2.75" customHeight="1" x14ac:dyDescent="0.25">
      <c r="A927" s="20"/>
      <c r="B927" s="20"/>
      <c r="C927" s="14"/>
      <c r="D927" s="14"/>
      <c r="E927" s="5"/>
      <c r="F927" s="54"/>
      <c r="G927" s="54"/>
      <c r="H927" s="7"/>
      <c r="I927" s="9"/>
      <c r="J927" s="21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 customHeight="1" x14ac:dyDescent="0.25">
      <c r="A928" s="20"/>
      <c r="B928" s="20"/>
      <c r="C928" s="14"/>
      <c r="D928" s="14"/>
      <c r="E928" s="5"/>
      <c r="F928" s="54"/>
      <c r="G928" s="54"/>
      <c r="H928" s="7"/>
      <c r="I928" s="9"/>
      <c r="J928" s="21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 customHeight="1" x14ac:dyDescent="0.25">
      <c r="A929" s="20"/>
      <c r="B929" s="20"/>
      <c r="C929" s="14"/>
      <c r="D929" s="14"/>
      <c r="E929" s="5"/>
      <c r="F929" s="54"/>
      <c r="G929" s="54"/>
      <c r="H929" s="7"/>
      <c r="I929" s="9"/>
      <c r="J929" s="21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 customHeight="1" x14ac:dyDescent="0.25">
      <c r="A930" s="20"/>
      <c r="B930" s="20"/>
      <c r="C930" s="14"/>
      <c r="D930" s="14"/>
      <c r="E930" s="5"/>
      <c r="F930" s="54"/>
      <c r="G930" s="54"/>
      <c r="H930" s="7"/>
      <c r="I930" s="9"/>
      <c r="J930" s="21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 customHeight="1" x14ac:dyDescent="0.25">
      <c r="A931" s="20"/>
      <c r="B931" s="20"/>
      <c r="C931" s="14"/>
      <c r="D931" s="14"/>
      <c r="E931" s="5"/>
      <c r="F931" s="54"/>
      <c r="G931" s="54"/>
      <c r="H931" s="7"/>
      <c r="I931" s="9"/>
      <c r="J931" s="21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2.75" customHeight="1" x14ac:dyDescent="0.25">
      <c r="A932" s="20"/>
      <c r="B932" s="20"/>
      <c r="C932" s="14"/>
      <c r="D932" s="14"/>
      <c r="E932" s="5"/>
      <c r="F932" s="54"/>
      <c r="G932" s="54"/>
      <c r="H932" s="7"/>
      <c r="I932" s="9"/>
      <c r="J932" s="21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2.75" customHeight="1" x14ac:dyDescent="0.25">
      <c r="A933" s="20"/>
      <c r="B933" s="20"/>
      <c r="C933" s="14"/>
      <c r="D933" s="14"/>
      <c r="E933" s="5"/>
      <c r="F933" s="54"/>
      <c r="G933" s="54"/>
      <c r="H933" s="7"/>
      <c r="I933" s="9"/>
      <c r="J933" s="21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2.75" customHeight="1" x14ac:dyDescent="0.25">
      <c r="A934" s="20"/>
      <c r="B934" s="20"/>
      <c r="C934" s="14"/>
      <c r="D934" s="14"/>
      <c r="E934" s="5"/>
      <c r="F934" s="54"/>
      <c r="G934" s="54"/>
      <c r="H934" s="7"/>
      <c r="I934" s="9"/>
      <c r="J934" s="21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 customHeight="1" x14ac:dyDescent="0.25">
      <c r="A935" s="20"/>
      <c r="B935" s="20"/>
      <c r="C935" s="14"/>
      <c r="D935" s="14"/>
      <c r="E935" s="5"/>
      <c r="F935" s="54"/>
      <c r="G935" s="54"/>
      <c r="H935" s="7"/>
      <c r="I935" s="9"/>
      <c r="J935" s="21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 customHeight="1" x14ac:dyDescent="0.25">
      <c r="A936" s="20"/>
      <c r="B936" s="20"/>
      <c r="C936" s="14"/>
      <c r="D936" s="14"/>
      <c r="E936" s="5"/>
      <c r="F936" s="54"/>
      <c r="G936" s="54"/>
      <c r="H936" s="7"/>
      <c r="I936" s="9"/>
      <c r="J936" s="21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 customHeight="1" x14ac:dyDescent="0.25">
      <c r="A937" s="20"/>
      <c r="B937" s="20"/>
      <c r="C937" s="14"/>
      <c r="D937" s="14"/>
      <c r="E937" s="5"/>
      <c r="F937" s="54"/>
      <c r="G937" s="54"/>
      <c r="H937" s="7"/>
      <c r="I937" s="9"/>
      <c r="J937" s="21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 customHeight="1" x14ac:dyDescent="0.25">
      <c r="A938" s="20"/>
      <c r="B938" s="20"/>
      <c r="C938" s="14"/>
      <c r="D938" s="14"/>
      <c r="E938" s="5"/>
      <c r="F938" s="54"/>
      <c r="G938" s="54"/>
      <c r="H938" s="7"/>
      <c r="I938" s="9"/>
      <c r="J938" s="21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 customHeight="1" x14ac:dyDescent="0.25">
      <c r="A939" s="20"/>
      <c r="B939" s="20"/>
      <c r="C939" s="14"/>
      <c r="D939" s="14"/>
      <c r="E939" s="5"/>
      <c r="F939" s="54"/>
      <c r="G939" s="54"/>
      <c r="H939" s="7"/>
      <c r="I939" s="9"/>
      <c r="J939" s="21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 customHeight="1" x14ac:dyDescent="0.25">
      <c r="A940" s="20"/>
      <c r="B940" s="20"/>
      <c r="C940" s="14"/>
      <c r="D940" s="14"/>
      <c r="E940" s="5"/>
      <c r="F940" s="54"/>
      <c r="G940" s="54"/>
      <c r="H940" s="7"/>
      <c r="I940" s="9"/>
      <c r="J940" s="21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 customHeight="1" x14ac:dyDescent="0.25">
      <c r="A941" s="20"/>
      <c r="B941" s="20"/>
      <c r="C941" s="14"/>
      <c r="D941" s="14"/>
      <c r="E941" s="5"/>
      <c r="F941" s="54"/>
      <c r="G941" s="54"/>
      <c r="H941" s="7"/>
      <c r="I941" s="9"/>
      <c r="J941" s="21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 customHeight="1" x14ac:dyDescent="0.25">
      <c r="A942" s="20"/>
      <c r="B942" s="20"/>
      <c r="C942" s="14"/>
      <c r="D942" s="14"/>
      <c r="E942" s="5"/>
      <c r="F942" s="54"/>
      <c r="G942" s="54"/>
      <c r="H942" s="7"/>
      <c r="I942" s="9"/>
      <c r="J942" s="21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 customHeight="1" x14ac:dyDescent="0.25">
      <c r="A943" s="20"/>
      <c r="B943" s="20"/>
      <c r="C943" s="14"/>
      <c r="D943" s="14"/>
      <c r="E943" s="5"/>
      <c r="F943" s="54"/>
      <c r="G943" s="54"/>
      <c r="H943" s="7"/>
      <c r="I943" s="9"/>
      <c r="J943" s="21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2.75" customHeight="1" x14ac:dyDescent="0.25">
      <c r="A944" s="20"/>
      <c r="B944" s="20"/>
      <c r="C944" s="14"/>
      <c r="D944" s="14"/>
      <c r="E944" s="5"/>
      <c r="F944" s="54"/>
      <c r="G944" s="54"/>
      <c r="H944" s="7"/>
      <c r="I944" s="9"/>
      <c r="J944" s="21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2.75" customHeight="1" x14ac:dyDescent="0.25">
      <c r="A945" s="20"/>
      <c r="B945" s="20"/>
      <c r="C945" s="14"/>
      <c r="D945" s="14"/>
      <c r="E945" s="5"/>
      <c r="F945" s="54"/>
      <c r="G945" s="54"/>
      <c r="H945" s="7"/>
      <c r="I945" s="9"/>
      <c r="J945" s="21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2.75" customHeight="1" x14ac:dyDescent="0.25">
      <c r="A946" s="20"/>
      <c r="B946" s="20"/>
      <c r="C946" s="14"/>
      <c r="D946" s="14"/>
      <c r="E946" s="5"/>
      <c r="F946" s="54"/>
      <c r="G946" s="54"/>
      <c r="H946" s="7"/>
      <c r="I946" s="9"/>
      <c r="J946" s="21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2.75" customHeight="1" x14ac:dyDescent="0.25">
      <c r="A947" s="20"/>
      <c r="B947" s="20"/>
      <c r="C947" s="14"/>
      <c r="D947" s="14"/>
      <c r="E947" s="5"/>
      <c r="F947" s="54"/>
      <c r="G947" s="54"/>
      <c r="H947" s="7"/>
      <c r="I947" s="9"/>
      <c r="J947" s="21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2.75" customHeight="1" x14ac:dyDescent="0.25">
      <c r="A948" s="20"/>
      <c r="B948" s="20"/>
      <c r="C948" s="14"/>
      <c r="D948" s="14"/>
      <c r="E948" s="5"/>
      <c r="F948" s="54"/>
      <c r="G948" s="54"/>
      <c r="H948" s="7"/>
      <c r="I948" s="9"/>
      <c r="J948" s="21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2.75" customHeight="1" x14ac:dyDescent="0.25">
      <c r="A949" s="20"/>
      <c r="B949" s="20"/>
      <c r="C949" s="14"/>
      <c r="D949" s="14"/>
      <c r="E949" s="5"/>
      <c r="F949" s="54"/>
      <c r="G949" s="54"/>
      <c r="H949" s="7"/>
      <c r="I949" s="9"/>
      <c r="J949" s="21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2.75" customHeight="1" x14ac:dyDescent="0.25">
      <c r="A950" s="20"/>
      <c r="B950" s="20"/>
      <c r="C950" s="14"/>
      <c r="D950" s="14"/>
      <c r="E950" s="5"/>
      <c r="F950" s="54"/>
      <c r="G950" s="54"/>
      <c r="H950" s="7"/>
      <c r="I950" s="9"/>
      <c r="J950" s="21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2.75" customHeight="1" x14ac:dyDescent="0.25">
      <c r="A951" s="20"/>
      <c r="B951" s="20"/>
      <c r="C951" s="14"/>
      <c r="D951" s="14"/>
      <c r="E951" s="5"/>
      <c r="F951" s="54"/>
      <c r="G951" s="54"/>
      <c r="H951" s="7"/>
      <c r="I951" s="9"/>
      <c r="J951" s="21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2.75" customHeight="1" x14ac:dyDescent="0.25">
      <c r="A952" s="20"/>
      <c r="B952" s="20"/>
      <c r="C952" s="14"/>
      <c r="D952" s="14"/>
      <c r="E952" s="5"/>
      <c r="F952" s="54"/>
      <c r="G952" s="54"/>
      <c r="H952" s="7"/>
      <c r="I952" s="9"/>
      <c r="J952" s="21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2.75" customHeight="1" x14ac:dyDescent="0.25">
      <c r="A953" s="20"/>
      <c r="B953" s="20"/>
      <c r="C953" s="14"/>
      <c r="D953" s="14"/>
      <c r="E953" s="5"/>
      <c r="F953" s="54"/>
      <c r="G953" s="54"/>
      <c r="H953" s="7"/>
      <c r="I953" s="9"/>
      <c r="J953" s="21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2.75" customHeight="1" x14ac:dyDescent="0.25">
      <c r="A954" s="20"/>
      <c r="B954" s="20"/>
      <c r="C954" s="14"/>
      <c r="D954" s="14"/>
      <c r="E954" s="5"/>
      <c r="F954" s="54"/>
      <c r="G954" s="54"/>
      <c r="H954" s="7"/>
      <c r="I954" s="9"/>
      <c r="J954" s="21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2.75" customHeight="1" x14ac:dyDescent="0.25">
      <c r="A955" s="20"/>
      <c r="B955" s="20"/>
      <c r="C955" s="14"/>
      <c r="D955" s="14"/>
      <c r="E955" s="5"/>
      <c r="F955" s="54"/>
      <c r="G955" s="54"/>
      <c r="H955" s="7"/>
      <c r="I955" s="9"/>
      <c r="J955" s="21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2.75" customHeight="1" x14ac:dyDescent="0.25">
      <c r="A956" s="20"/>
      <c r="B956" s="20"/>
      <c r="C956" s="14"/>
      <c r="D956" s="14"/>
      <c r="E956" s="5"/>
      <c r="F956" s="54"/>
      <c r="G956" s="54"/>
      <c r="H956" s="7"/>
      <c r="I956" s="9"/>
      <c r="J956" s="21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2.75" customHeight="1" x14ac:dyDescent="0.25">
      <c r="A957" s="20"/>
      <c r="B957" s="20"/>
      <c r="C957" s="14"/>
      <c r="D957" s="14"/>
      <c r="E957" s="5"/>
      <c r="F957" s="54"/>
      <c r="G957" s="54"/>
      <c r="H957" s="7"/>
      <c r="I957" s="9"/>
      <c r="J957" s="21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2.75" customHeight="1" x14ac:dyDescent="0.25">
      <c r="A958" s="20"/>
      <c r="B958" s="20"/>
      <c r="C958" s="14"/>
      <c r="D958" s="14"/>
      <c r="E958" s="5"/>
      <c r="F958" s="54"/>
      <c r="G958" s="54"/>
      <c r="H958" s="7"/>
      <c r="I958" s="9"/>
      <c r="J958" s="21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2.75" customHeight="1" x14ac:dyDescent="0.25">
      <c r="A959" s="20"/>
      <c r="B959" s="20"/>
      <c r="C959" s="14"/>
      <c r="D959" s="14"/>
      <c r="E959" s="5"/>
      <c r="F959" s="54"/>
      <c r="G959" s="54"/>
      <c r="H959" s="7"/>
      <c r="I959" s="9"/>
      <c r="J959" s="21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2.75" customHeight="1" x14ac:dyDescent="0.25">
      <c r="A960" s="20"/>
      <c r="B960" s="20"/>
      <c r="C960" s="14"/>
      <c r="D960" s="14"/>
      <c r="E960" s="5"/>
      <c r="F960" s="54"/>
      <c r="G960" s="54"/>
      <c r="H960" s="7"/>
      <c r="I960" s="9"/>
      <c r="J960" s="21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2.75" customHeight="1" x14ac:dyDescent="0.25">
      <c r="A961" s="20"/>
      <c r="B961" s="20"/>
      <c r="C961" s="14"/>
      <c r="D961" s="14"/>
      <c r="E961" s="5"/>
      <c r="F961" s="54"/>
      <c r="G961" s="54"/>
      <c r="H961" s="7"/>
      <c r="I961" s="9"/>
      <c r="J961" s="21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2.75" customHeight="1" x14ac:dyDescent="0.25">
      <c r="A962" s="20"/>
      <c r="B962" s="20"/>
      <c r="C962" s="14"/>
      <c r="D962" s="14"/>
      <c r="E962" s="5"/>
      <c r="F962" s="54"/>
      <c r="G962" s="54"/>
      <c r="H962" s="7"/>
      <c r="I962" s="9"/>
      <c r="J962" s="21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2.75" customHeight="1" x14ac:dyDescent="0.25">
      <c r="A963" s="20"/>
      <c r="B963" s="20"/>
      <c r="C963" s="14"/>
      <c r="D963" s="14"/>
      <c r="E963" s="5"/>
      <c r="F963" s="54"/>
      <c r="G963" s="54"/>
      <c r="H963" s="7"/>
      <c r="I963" s="9"/>
      <c r="J963" s="21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2.75" customHeight="1" x14ac:dyDescent="0.25">
      <c r="A964" s="20"/>
      <c r="B964" s="20"/>
      <c r="C964" s="14"/>
      <c r="D964" s="14"/>
      <c r="E964" s="5"/>
      <c r="F964" s="54"/>
      <c r="G964" s="54"/>
      <c r="H964" s="7"/>
      <c r="I964" s="9"/>
      <c r="J964" s="21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2.75" customHeight="1" x14ac:dyDescent="0.25">
      <c r="A965" s="20"/>
      <c r="B965" s="20"/>
      <c r="C965" s="14"/>
      <c r="D965" s="14"/>
      <c r="E965" s="5"/>
      <c r="F965" s="54"/>
      <c r="G965" s="54"/>
      <c r="H965" s="7"/>
      <c r="I965" s="9"/>
      <c r="J965" s="21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2.75" customHeight="1" x14ac:dyDescent="0.25">
      <c r="A966" s="20"/>
      <c r="B966" s="20"/>
      <c r="C966" s="14"/>
      <c r="D966" s="14"/>
      <c r="E966" s="5"/>
      <c r="F966" s="54"/>
      <c r="G966" s="54"/>
      <c r="H966" s="7"/>
      <c r="I966" s="9"/>
      <c r="J966" s="21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2.75" customHeight="1" x14ac:dyDescent="0.25">
      <c r="A967" s="20"/>
      <c r="B967" s="20"/>
      <c r="C967" s="14"/>
      <c r="D967" s="14"/>
      <c r="E967" s="5"/>
      <c r="F967" s="54"/>
      <c r="G967" s="54"/>
      <c r="H967" s="7"/>
      <c r="I967" s="9"/>
      <c r="J967" s="21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2.75" customHeight="1" x14ac:dyDescent="0.25">
      <c r="A968" s="20"/>
      <c r="B968" s="20"/>
      <c r="C968" s="14"/>
      <c r="D968" s="14"/>
      <c r="E968" s="5"/>
      <c r="F968" s="54"/>
      <c r="G968" s="54"/>
      <c r="H968" s="7"/>
      <c r="I968" s="9"/>
      <c r="J968" s="21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 customHeight="1" x14ac:dyDescent="0.25">
      <c r="A969" s="20"/>
      <c r="B969" s="20"/>
      <c r="C969" s="14"/>
      <c r="D969" s="14"/>
      <c r="E969" s="5"/>
      <c r="F969" s="54"/>
      <c r="G969" s="54"/>
      <c r="H969" s="7"/>
      <c r="I969" s="9"/>
      <c r="J969" s="21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 customHeight="1" x14ac:dyDescent="0.25">
      <c r="A970" s="20"/>
      <c r="B970" s="20"/>
      <c r="C970" s="14"/>
      <c r="D970" s="14"/>
      <c r="E970" s="5"/>
      <c r="F970" s="54"/>
      <c r="G970" s="54"/>
      <c r="H970" s="7"/>
      <c r="I970" s="9"/>
      <c r="J970" s="21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2.75" customHeight="1" x14ac:dyDescent="0.25">
      <c r="A971" s="20"/>
      <c r="B971" s="20"/>
      <c r="C971" s="14"/>
      <c r="D971" s="14"/>
      <c r="E971" s="5"/>
      <c r="F971" s="54"/>
      <c r="G971" s="54"/>
      <c r="H971" s="7"/>
      <c r="I971" s="9"/>
      <c r="J971" s="21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2.75" customHeight="1" x14ac:dyDescent="0.25">
      <c r="A972" s="20"/>
      <c r="B972" s="20"/>
      <c r="C972" s="14"/>
      <c r="D972" s="14"/>
      <c r="E972" s="5"/>
      <c r="F972" s="54"/>
      <c r="G972" s="54"/>
      <c r="H972" s="7"/>
      <c r="I972" s="9"/>
      <c r="J972" s="21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2.75" customHeight="1" x14ac:dyDescent="0.25">
      <c r="A973" s="20"/>
      <c r="B973" s="20"/>
      <c r="C973" s="14"/>
      <c r="D973" s="14"/>
      <c r="E973" s="5"/>
      <c r="F973" s="54"/>
      <c r="G973" s="54"/>
      <c r="H973" s="7"/>
      <c r="I973" s="9"/>
      <c r="J973" s="21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2.75" customHeight="1" x14ac:dyDescent="0.25">
      <c r="A974" s="20"/>
      <c r="B974" s="20"/>
      <c r="C974" s="14"/>
      <c r="D974" s="14"/>
      <c r="E974" s="5"/>
      <c r="F974" s="54"/>
      <c r="G974" s="54"/>
      <c r="H974" s="7"/>
      <c r="I974" s="9"/>
      <c r="J974" s="21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2.75" customHeight="1" x14ac:dyDescent="0.25">
      <c r="A975" s="20"/>
      <c r="B975" s="20"/>
      <c r="C975" s="14"/>
      <c r="D975" s="14"/>
      <c r="E975" s="5"/>
      <c r="F975" s="54"/>
      <c r="G975" s="54"/>
      <c r="H975" s="7"/>
      <c r="I975" s="9"/>
      <c r="J975" s="21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2.75" customHeight="1" x14ac:dyDescent="0.25">
      <c r="A976" s="20"/>
      <c r="B976" s="20"/>
      <c r="C976" s="14"/>
      <c r="D976" s="14"/>
      <c r="E976" s="5"/>
      <c r="F976" s="54"/>
      <c r="G976" s="54"/>
      <c r="H976" s="7"/>
      <c r="I976" s="9"/>
      <c r="J976" s="21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 customHeight="1" x14ac:dyDescent="0.25">
      <c r="A977" s="20"/>
      <c r="B977" s="20"/>
      <c r="C977" s="14"/>
      <c r="D977" s="14"/>
      <c r="E977" s="5"/>
      <c r="F977" s="54"/>
      <c r="G977" s="54"/>
      <c r="H977" s="7"/>
      <c r="I977" s="9"/>
      <c r="J977" s="21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 customHeight="1" x14ac:dyDescent="0.25">
      <c r="A978" s="20"/>
      <c r="B978" s="20"/>
      <c r="C978" s="14"/>
      <c r="D978" s="14"/>
      <c r="E978" s="5"/>
      <c r="F978" s="54"/>
      <c r="G978" s="54"/>
      <c r="H978" s="7"/>
      <c r="I978" s="9"/>
      <c r="J978" s="21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2.75" customHeight="1" x14ac:dyDescent="0.25">
      <c r="A979" s="20"/>
      <c r="B979" s="20"/>
      <c r="C979" s="14"/>
      <c r="D979" s="14"/>
      <c r="E979" s="5"/>
      <c r="F979" s="54"/>
      <c r="G979" s="54"/>
      <c r="H979" s="7"/>
      <c r="I979" s="9"/>
      <c r="J979" s="21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2.75" customHeight="1" x14ac:dyDescent="0.25">
      <c r="A980" s="20"/>
      <c r="B980" s="20"/>
      <c r="C980" s="14"/>
      <c r="D980" s="14"/>
      <c r="E980" s="5"/>
      <c r="F980" s="54"/>
      <c r="G980" s="54"/>
      <c r="H980" s="7"/>
      <c r="I980" s="9"/>
      <c r="J980" s="21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2.75" customHeight="1" x14ac:dyDescent="0.25">
      <c r="A981" s="20"/>
      <c r="B981" s="20"/>
      <c r="C981" s="14"/>
      <c r="D981" s="14"/>
      <c r="E981" s="5"/>
      <c r="F981" s="54"/>
      <c r="G981" s="54"/>
      <c r="H981" s="7"/>
      <c r="I981" s="9"/>
      <c r="J981" s="21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2.75" customHeight="1" x14ac:dyDescent="0.25">
      <c r="A982" s="20"/>
      <c r="B982" s="20"/>
      <c r="C982" s="14"/>
      <c r="D982" s="14"/>
      <c r="E982" s="5"/>
      <c r="F982" s="54"/>
      <c r="G982" s="54"/>
      <c r="H982" s="7"/>
      <c r="I982" s="9"/>
      <c r="J982" s="21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 customHeight="1" x14ac:dyDescent="0.25">
      <c r="A983" s="20"/>
      <c r="B983" s="20"/>
      <c r="C983" s="14"/>
      <c r="D983" s="14"/>
      <c r="E983" s="5"/>
      <c r="F983" s="54"/>
      <c r="G983" s="54"/>
      <c r="H983" s="7"/>
      <c r="I983" s="9"/>
      <c r="J983" s="21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2.75" customHeight="1" x14ac:dyDescent="0.25">
      <c r="A984" s="20"/>
      <c r="B984" s="20"/>
      <c r="C984" s="14"/>
      <c r="D984" s="14"/>
      <c r="E984" s="5"/>
      <c r="F984" s="54"/>
      <c r="G984" s="54"/>
      <c r="H984" s="7"/>
      <c r="I984" s="9"/>
      <c r="J984" s="21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2.75" customHeight="1" x14ac:dyDescent="0.25">
      <c r="A985" s="20"/>
      <c r="B985" s="20"/>
      <c r="C985" s="14"/>
      <c r="D985" s="14"/>
      <c r="E985" s="5"/>
      <c r="F985" s="54"/>
      <c r="G985" s="54"/>
      <c r="H985" s="7"/>
      <c r="I985" s="9"/>
      <c r="J985" s="21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2.75" customHeight="1" x14ac:dyDescent="0.25">
      <c r="A986" s="20"/>
      <c r="B986" s="20"/>
      <c r="C986" s="14"/>
      <c r="D986" s="14"/>
      <c r="E986" s="5"/>
      <c r="F986" s="54"/>
      <c r="G986" s="54"/>
      <c r="H986" s="7"/>
      <c r="I986" s="9"/>
      <c r="J986" s="21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2.75" customHeight="1" x14ac:dyDescent="0.25">
      <c r="A987" s="20"/>
      <c r="B987" s="20"/>
      <c r="C987" s="14"/>
      <c r="D987" s="14"/>
      <c r="E987" s="5"/>
      <c r="F987" s="54"/>
      <c r="G987" s="54"/>
      <c r="H987" s="7"/>
      <c r="I987" s="9"/>
      <c r="J987" s="21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2.75" customHeight="1" x14ac:dyDescent="0.25">
      <c r="A988" s="20"/>
      <c r="B988" s="20"/>
      <c r="C988" s="14"/>
      <c r="D988" s="14"/>
      <c r="E988" s="5"/>
      <c r="F988" s="54"/>
      <c r="G988" s="54"/>
      <c r="H988" s="7"/>
      <c r="I988" s="9"/>
      <c r="J988" s="21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 customHeight="1" x14ac:dyDescent="0.25">
      <c r="A989" s="20"/>
      <c r="B989" s="20"/>
      <c r="C989" s="14"/>
      <c r="D989" s="14"/>
      <c r="E989" s="5"/>
      <c r="F989" s="54"/>
      <c r="G989" s="54"/>
      <c r="H989" s="7"/>
      <c r="I989" s="9"/>
      <c r="J989" s="21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 customHeight="1" x14ac:dyDescent="0.25">
      <c r="A990" s="20"/>
      <c r="B990" s="20"/>
      <c r="C990" s="14"/>
      <c r="D990" s="14"/>
      <c r="E990" s="5"/>
      <c r="F990" s="54"/>
      <c r="G990" s="54"/>
      <c r="H990" s="7"/>
      <c r="I990" s="9"/>
      <c r="J990" s="21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2.75" customHeight="1" x14ac:dyDescent="0.25">
      <c r="A991" s="20"/>
      <c r="B991" s="20"/>
      <c r="C991" s="14"/>
      <c r="D991" s="14"/>
      <c r="E991" s="5"/>
      <c r="F991" s="54"/>
      <c r="G991" s="54"/>
      <c r="H991" s="7"/>
      <c r="I991" s="9"/>
      <c r="J991" s="21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2.75" customHeight="1" x14ac:dyDescent="0.25">
      <c r="A992" s="20"/>
      <c r="B992" s="20"/>
      <c r="C992" s="14"/>
      <c r="D992" s="14"/>
      <c r="E992" s="5"/>
      <c r="F992" s="54"/>
      <c r="G992" s="54"/>
      <c r="H992" s="7"/>
      <c r="I992" s="9"/>
      <c r="J992" s="21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2.75" customHeight="1" x14ac:dyDescent="0.25">
      <c r="A993" s="20"/>
      <c r="B993" s="20"/>
      <c r="C993" s="14"/>
      <c r="D993" s="14"/>
      <c r="E993" s="5"/>
      <c r="F993" s="54"/>
      <c r="G993" s="54"/>
      <c r="H993" s="7"/>
      <c r="I993" s="9"/>
      <c r="J993" s="21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2.75" customHeight="1" x14ac:dyDescent="0.25">
      <c r="A994" s="20"/>
      <c r="B994" s="20"/>
      <c r="C994" s="14"/>
      <c r="D994" s="14"/>
      <c r="E994" s="5"/>
      <c r="F994" s="54"/>
      <c r="G994" s="54"/>
      <c r="H994" s="7"/>
      <c r="I994" s="9"/>
      <c r="J994" s="21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2.75" customHeight="1" x14ac:dyDescent="0.25">
      <c r="A995" s="20"/>
      <c r="B995" s="20"/>
      <c r="C995" s="14"/>
      <c r="D995" s="14"/>
      <c r="E995" s="5"/>
      <c r="F995" s="54"/>
      <c r="G995" s="54"/>
      <c r="H995" s="7"/>
      <c r="I995" s="9"/>
      <c r="J995" s="21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2.75" customHeight="1" x14ac:dyDescent="0.25">
      <c r="A996" s="20"/>
      <c r="B996" s="20"/>
      <c r="C996" s="14"/>
      <c r="D996" s="14"/>
      <c r="E996" s="5"/>
      <c r="F996" s="54"/>
      <c r="G996" s="54"/>
      <c r="H996" s="7"/>
      <c r="I996" s="9"/>
      <c r="J996" s="21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2.75" customHeight="1" x14ac:dyDescent="0.25">
      <c r="A997" s="20"/>
      <c r="B997" s="20"/>
      <c r="C997" s="14"/>
      <c r="D997" s="14"/>
      <c r="E997" s="5"/>
      <c r="F997" s="54"/>
      <c r="G997" s="54"/>
      <c r="H997" s="7"/>
      <c r="I997" s="9"/>
      <c r="J997" s="21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2.75" customHeight="1" x14ac:dyDescent="0.25">
      <c r="A998" s="20"/>
      <c r="B998" s="20"/>
      <c r="C998" s="14"/>
      <c r="D998" s="14"/>
      <c r="E998" s="5"/>
      <c r="F998" s="54"/>
      <c r="G998" s="54"/>
      <c r="H998" s="7"/>
      <c r="I998" s="9"/>
      <c r="J998" s="21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 customHeight="1" x14ac:dyDescent="0.25">
      <c r="A999" s="20"/>
      <c r="B999" s="20"/>
      <c r="C999" s="14"/>
      <c r="D999" s="14"/>
      <c r="E999" s="5"/>
      <c r="F999" s="54"/>
      <c r="G999" s="54"/>
      <c r="H999" s="7"/>
      <c r="I999" s="9"/>
      <c r="J999" s="21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 customHeight="1" x14ac:dyDescent="0.25">
      <c r="A1000" s="20"/>
      <c r="B1000" s="20"/>
      <c r="C1000" s="14"/>
      <c r="D1000" s="14"/>
      <c r="E1000" s="5"/>
      <c r="F1000" s="54"/>
      <c r="G1000" s="54"/>
      <c r="H1000" s="7"/>
      <c r="I1000" s="9"/>
      <c r="J1000" s="21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 spans="1:27" ht="12.75" customHeight="1" x14ac:dyDescent="0.25">
      <c r="A1001" s="20"/>
      <c r="B1001" s="20"/>
      <c r="C1001" s="14"/>
      <c r="D1001" s="14"/>
      <c r="E1001" s="5"/>
      <c r="F1001" s="54"/>
      <c r="G1001" s="54"/>
      <c r="H1001" s="7"/>
      <c r="I1001" s="9"/>
      <c r="J1001" s="21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 spans="1:27" ht="12.75" customHeight="1" x14ac:dyDescent="0.25">
      <c r="A1002" s="20"/>
      <c r="B1002" s="20"/>
      <c r="C1002" s="14"/>
      <c r="D1002" s="14"/>
      <c r="E1002" s="5"/>
      <c r="F1002" s="21"/>
      <c r="G1002" s="21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</row>
  </sheetData>
  <conditionalFormatting sqref="I1:I2 J5 H5:H48 I6:I49 H52:I60 H62:I74 H79:I83">
    <cfRule type="cellIs" dxfId="15" priority="1" operator="equal">
      <formula>0</formula>
    </cfRule>
  </conditionalFormatting>
  <conditionalFormatting sqref="I5:J49 I52:J60 I62:J74 I79:J83 J1:J2">
    <cfRule type="cellIs" dxfId="14" priority="2" operator="equal">
      <formula>0</formula>
    </cfRule>
  </conditionalFormatting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" customHeight="1" x14ac:dyDescent="0.25"/>
  <cols>
    <col min="1" max="1" width="8.21875" customWidth="1"/>
    <col min="2" max="2" width="27.88671875" customWidth="1"/>
    <col min="3" max="3" width="11" customWidth="1"/>
    <col min="4" max="4" width="9.6640625" customWidth="1"/>
    <col min="5" max="5" width="10" customWidth="1"/>
    <col min="6" max="6" width="13" customWidth="1"/>
    <col min="7" max="7" width="11.44140625" customWidth="1"/>
    <col min="8" max="8" width="18.88671875" customWidth="1"/>
    <col min="9" max="9" width="11.44140625" customWidth="1"/>
    <col min="10" max="10" width="14.88671875" customWidth="1"/>
    <col min="11" max="11" width="11.44140625" customWidth="1"/>
    <col min="12" max="26" width="11.109375" customWidth="1"/>
    <col min="27" max="27" width="10" customWidth="1"/>
  </cols>
  <sheetData>
    <row r="1" spans="1:27" ht="12.75" customHeight="1" x14ac:dyDescent="0.25">
      <c r="A1" s="46" t="s">
        <v>13</v>
      </c>
      <c r="B1" s="9" t="s">
        <v>14</v>
      </c>
      <c r="C1" s="9" t="s">
        <v>15</v>
      </c>
      <c r="D1" s="5" t="s">
        <v>16</v>
      </c>
      <c r="E1" s="5" t="s">
        <v>17</v>
      </c>
      <c r="F1" s="6" t="s">
        <v>18</v>
      </c>
      <c r="G1" s="7" t="s">
        <v>19</v>
      </c>
      <c r="H1" s="7" t="s">
        <v>20</v>
      </c>
      <c r="I1" s="7" t="s">
        <v>21</v>
      </c>
      <c r="J1" s="8" t="s">
        <v>22</v>
      </c>
      <c r="K1" s="9" t="s">
        <v>23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2.75" customHeight="1" x14ac:dyDescent="0.25">
      <c r="A2" s="72"/>
      <c r="B2" s="72"/>
      <c r="C2" s="73"/>
      <c r="D2" s="73"/>
      <c r="E2" s="73"/>
      <c r="F2" s="11"/>
      <c r="G2" s="12"/>
      <c r="H2" s="12"/>
      <c r="I2" s="12"/>
      <c r="J2" s="13"/>
      <c r="K2" s="47">
        <f>SUM(K3:K102)</f>
        <v>1695.5600000000004</v>
      </c>
      <c r="L2" s="9"/>
      <c r="M2" s="9"/>
      <c r="N2" s="9"/>
      <c r="O2" s="14"/>
      <c r="P2" s="14"/>
      <c r="Q2" s="14"/>
      <c r="R2" s="14"/>
      <c r="S2" s="14"/>
      <c r="T2" s="14"/>
      <c r="U2" s="14"/>
      <c r="V2" s="14"/>
      <c r="W2" s="14"/>
      <c r="X2" s="14"/>
      <c r="Y2" s="20"/>
      <c r="Z2" s="20"/>
      <c r="AA2" s="20"/>
    </row>
    <row r="3" spans="1:27" ht="12.75" customHeight="1" x14ac:dyDescent="0.3">
      <c r="A3" s="51"/>
      <c r="B3" s="55" t="s">
        <v>6</v>
      </c>
      <c r="C3" s="5"/>
      <c r="D3" s="5"/>
      <c r="E3" s="5"/>
      <c r="F3" s="6"/>
      <c r="G3" s="50"/>
      <c r="H3" s="50"/>
      <c r="I3" s="7"/>
      <c r="J3" s="9"/>
      <c r="K3" s="9"/>
      <c r="L3" s="9"/>
      <c r="M3" s="9"/>
      <c r="N3" s="9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2.75" customHeight="1" x14ac:dyDescent="0.25">
      <c r="A4" s="51"/>
      <c r="B4" s="14"/>
      <c r="C4" s="5"/>
      <c r="D4" s="5"/>
      <c r="E4" s="5"/>
      <c r="F4" s="74"/>
      <c r="G4" s="64"/>
      <c r="H4" s="64"/>
      <c r="I4" s="64"/>
      <c r="J4" s="2"/>
      <c r="K4" s="2"/>
      <c r="L4" s="9"/>
      <c r="M4" s="9"/>
      <c r="N4" s="9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 customHeight="1" x14ac:dyDescent="0.25">
      <c r="A5" s="20"/>
      <c r="B5" s="20"/>
      <c r="C5" s="5"/>
      <c r="D5" s="24"/>
      <c r="E5" s="5"/>
      <c r="F5" s="6"/>
      <c r="G5" s="7"/>
      <c r="H5" s="7"/>
      <c r="I5" s="7"/>
      <c r="J5" s="8"/>
      <c r="K5" s="9"/>
      <c r="L5" s="9"/>
      <c r="M5" s="9"/>
      <c r="N5" s="9"/>
      <c r="O5" s="14"/>
      <c r="P5" s="14"/>
      <c r="Q5" s="14"/>
      <c r="R5" s="14"/>
      <c r="S5" s="14"/>
      <c r="T5" s="14"/>
      <c r="U5" s="14"/>
      <c r="V5" s="14"/>
      <c r="W5" s="14"/>
      <c r="X5" s="14"/>
      <c r="Y5" s="20"/>
      <c r="Z5" s="20"/>
      <c r="AA5" s="20"/>
    </row>
    <row r="6" spans="1:27" ht="12.75" customHeight="1" x14ac:dyDescent="0.25">
      <c r="A6" s="20">
        <v>330</v>
      </c>
      <c r="B6" s="20" t="s">
        <v>498</v>
      </c>
      <c r="C6" s="17">
        <v>1.1100000000000001</v>
      </c>
      <c r="D6" s="17">
        <v>1.4</v>
      </c>
      <c r="E6" s="17">
        <v>1.5</v>
      </c>
      <c r="F6" s="6" t="s">
        <v>499</v>
      </c>
      <c r="G6" s="7"/>
      <c r="H6" s="7">
        <v>5</v>
      </c>
      <c r="I6" s="7"/>
      <c r="J6" s="8">
        <f t="shared" ref="J6:J7" si="0">SUM(G6:I6)</f>
        <v>5</v>
      </c>
      <c r="K6" s="9">
        <f t="shared" ref="K6:K7" si="1">SUM(C6*J6)</f>
        <v>5.5500000000000007</v>
      </c>
      <c r="L6" s="9"/>
      <c r="M6" s="9"/>
      <c r="N6" s="9"/>
      <c r="O6" s="14"/>
      <c r="P6" s="14"/>
      <c r="Q6" s="14"/>
      <c r="R6" s="14"/>
      <c r="S6" s="14"/>
      <c r="T6" s="14"/>
      <c r="U6" s="14"/>
      <c r="V6" s="14"/>
      <c r="W6" s="14"/>
      <c r="X6" s="14"/>
      <c r="Y6" s="20"/>
      <c r="Z6" s="20"/>
      <c r="AA6" s="20"/>
    </row>
    <row r="7" spans="1:27" ht="12.75" customHeight="1" x14ac:dyDescent="0.25">
      <c r="A7" s="20">
        <v>330</v>
      </c>
      <c r="B7" s="20" t="s">
        <v>500</v>
      </c>
      <c r="C7" s="17">
        <v>26.62</v>
      </c>
      <c r="D7" s="17">
        <v>30</v>
      </c>
      <c r="E7" s="17">
        <v>33</v>
      </c>
      <c r="F7" s="6" t="s">
        <v>499</v>
      </c>
      <c r="G7" s="7"/>
      <c r="H7" s="7"/>
      <c r="I7" s="7">
        <v>1</v>
      </c>
      <c r="J7" s="8">
        <f t="shared" si="0"/>
        <v>1</v>
      </c>
      <c r="K7" s="9">
        <f t="shared" si="1"/>
        <v>26.62</v>
      </c>
      <c r="L7" s="9"/>
      <c r="M7" s="9"/>
      <c r="N7" s="9"/>
      <c r="O7" s="14"/>
      <c r="P7" s="14"/>
      <c r="Q7" s="14"/>
      <c r="R7" s="14"/>
      <c r="S7" s="14"/>
      <c r="T7" s="14"/>
      <c r="U7" s="14"/>
      <c r="V7" s="14"/>
      <c r="W7" s="14"/>
      <c r="X7" s="14"/>
      <c r="Y7" s="20"/>
      <c r="Z7" s="20"/>
      <c r="AA7" s="20"/>
    </row>
    <row r="8" spans="1:27" ht="12.75" customHeight="1" x14ac:dyDescent="0.25">
      <c r="A8" s="20"/>
      <c r="B8" s="20"/>
      <c r="C8" s="5"/>
      <c r="D8" s="24"/>
      <c r="E8" s="5"/>
      <c r="F8" s="6"/>
      <c r="G8" s="7"/>
      <c r="H8" s="7"/>
      <c r="I8" s="7"/>
      <c r="J8" s="8"/>
      <c r="K8" s="9"/>
      <c r="L8" s="9"/>
      <c r="M8" s="9"/>
      <c r="N8" s="9"/>
      <c r="O8" s="14"/>
      <c r="P8" s="14"/>
      <c r="Q8" s="14"/>
      <c r="R8" s="14"/>
      <c r="S8" s="14"/>
      <c r="T8" s="14"/>
      <c r="U8" s="14"/>
      <c r="V8" s="14"/>
      <c r="W8" s="14"/>
      <c r="X8" s="14"/>
      <c r="Y8" s="20"/>
      <c r="Z8" s="20"/>
      <c r="AA8" s="20"/>
    </row>
    <row r="9" spans="1:27" ht="12.75" customHeight="1" x14ac:dyDescent="0.25">
      <c r="A9" s="20">
        <v>330</v>
      </c>
      <c r="B9" s="20" t="s">
        <v>501</v>
      </c>
      <c r="C9" s="17">
        <v>21.47</v>
      </c>
      <c r="D9" s="17">
        <v>26</v>
      </c>
      <c r="E9" s="17">
        <v>26</v>
      </c>
      <c r="F9" s="6" t="s">
        <v>502</v>
      </c>
      <c r="G9" s="7"/>
      <c r="H9" s="7"/>
      <c r="I9" s="7">
        <v>3</v>
      </c>
      <c r="J9" s="8">
        <f t="shared" ref="J9:J12" si="2">SUM(G9:I9)</f>
        <v>3</v>
      </c>
      <c r="K9" s="9">
        <f t="shared" ref="K9:K12" si="3">SUM(C9*J9)</f>
        <v>64.41</v>
      </c>
      <c r="L9" s="9"/>
      <c r="M9" s="9"/>
      <c r="N9" s="9"/>
      <c r="O9" s="14"/>
      <c r="P9" s="14"/>
      <c r="Q9" s="14"/>
      <c r="R9" s="14"/>
      <c r="S9" s="14"/>
      <c r="T9" s="14"/>
      <c r="U9" s="14"/>
      <c r="V9" s="14"/>
      <c r="W9" s="14"/>
      <c r="X9" s="14"/>
      <c r="Y9" s="20"/>
      <c r="Z9" s="20"/>
      <c r="AA9" s="20"/>
    </row>
    <row r="10" spans="1:27" ht="12.75" customHeight="1" x14ac:dyDescent="0.25">
      <c r="A10" s="20">
        <v>330</v>
      </c>
      <c r="B10" s="20" t="s">
        <v>503</v>
      </c>
      <c r="C10" s="22">
        <v>0.89</v>
      </c>
      <c r="D10" s="17">
        <v>1.4</v>
      </c>
      <c r="E10" s="17">
        <v>1.5</v>
      </c>
      <c r="F10" s="6" t="s">
        <v>502</v>
      </c>
      <c r="G10" s="7"/>
      <c r="H10" s="7"/>
      <c r="I10" s="7"/>
      <c r="J10" s="8">
        <f t="shared" si="2"/>
        <v>0</v>
      </c>
      <c r="K10" s="9">
        <f t="shared" si="3"/>
        <v>0</v>
      </c>
      <c r="L10" s="9"/>
      <c r="M10" s="9"/>
      <c r="N10" s="9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20"/>
      <c r="Z10" s="20"/>
      <c r="AA10" s="20"/>
    </row>
    <row r="11" spans="1:27" ht="12.75" customHeight="1" x14ac:dyDescent="0.25">
      <c r="A11" s="20">
        <v>330</v>
      </c>
      <c r="B11" s="20" t="s">
        <v>504</v>
      </c>
      <c r="C11" s="17">
        <v>0.65</v>
      </c>
      <c r="D11" s="22">
        <v>0.85</v>
      </c>
      <c r="E11" s="22">
        <v>0.95</v>
      </c>
      <c r="F11" s="6" t="s">
        <v>505</v>
      </c>
      <c r="G11" s="7"/>
      <c r="H11" s="7"/>
      <c r="I11" s="7"/>
      <c r="J11" s="8">
        <f t="shared" si="2"/>
        <v>0</v>
      </c>
      <c r="K11" s="9">
        <f t="shared" si="3"/>
        <v>0</v>
      </c>
      <c r="L11" s="9"/>
      <c r="M11" s="9"/>
      <c r="N11" s="9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20"/>
      <c r="Z11" s="20"/>
      <c r="AA11" s="20"/>
    </row>
    <row r="12" spans="1:27" ht="12.75" customHeight="1" x14ac:dyDescent="0.25">
      <c r="A12" s="20">
        <v>330</v>
      </c>
      <c r="B12" s="20" t="s">
        <v>506</v>
      </c>
      <c r="C12" s="17">
        <v>16.02</v>
      </c>
      <c r="D12" s="17">
        <v>20</v>
      </c>
      <c r="E12" s="17">
        <v>20</v>
      </c>
      <c r="F12" s="6" t="s">
        <v>505</v>
      </c>
      <c r="G12" s="7"/>
      <c r="H12" s="7"/>
      <c r="I12" s="7">
        <v>5</v>
      </c>
      <c r="J12" s="8">
        <f t="shared" si="2"/>
        <v>5</v>
      </c>
      <c r="K12" s="9">
        <f t="shared" si="3"/>
        <v>80.099999999999994</v>
      </c>
      <c r="L12" s="9"/>
      <c r="M12" s="9"/>
      <c r="N12" s="9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20"/>
      <c r="Z12" s="20"/>
      <c r="AA12" s="20"/>
    </row>
    <row r="13" spans="1:27" ht="12.75" customHeight="1" x14ac:dyDescent="0.25">
      <c r="A13" s="20"/>
      <c r="B13" s="20"/>
      <c r="C13" s="5"/>
      <c r="D13" s="5"/>
      <c r="E13" s="5"/>
      <c r="F13" s="6"/>
      <c r="G13" s="7"/>
      <c r="H13" s="7"/>
      <c r="I13" s="7"/>
      <c r="J13" s="8"/>
      <c r="K13" s="9"/>
      <c r="L13" s="9"/>
      <c r="M13" s="9"/>
      <c r="N13" s="9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20"/>
      <c r="Z13" s="20"/>
      <c r="AA13" s="20"/>
    </row>
    <row r="14" spans="1:27" ht="12.75" customHeight="1" x14ac:dyDescent="0.25">
      <c r="A14" s="20">
        <v>500</v>
      </c>
      <c r="B14" s="20" t="s">
        <v>507</v>
      </c>
      <c r="C14" s="5">
        <v>30.2</v>
      </c>
      <c r="D14" s="24">
        <v>33</v>
      </c>
      <c r="E14" s="24">
        <v>35</v>
      </c>
      <c r="F14" s="6" t="s">
        <v>508</v>
      </c>
      <c r="G14" s="7"/>
      <c r="H14" s="7"/>
      <c r="I14" s="7"/>
      <c r="J14" s="8">
        <f t="shared" ref="J14:J15" si="4">SUM(G14:I14)</f>
        <v>0</v>
      </c>
      <c r="K14" s="9">
        <f t="shared" ref="K14:K15" si="5">SUM(C14*J14)</f>
        <v>0</v>
      </c>
      <c r="L14" s="9"/>
      <c r="M14" s="9"/>
      <c r="N14" s="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20"/>
      <c r="Z14" s="20"/>
      <c r="AA14" s="20"/>
    </row>
    <row r="15" spans="1:27" ht="12.75" customHeight="1" x14ac:dyDescent="0.25">
      <c r="A15" s="20">
        <v>500</v>
      </c>
      <c r="B15" s="20" t="s">
        <v>509</v>
      </c>
      <c r="C15" s="5">
        <v>1.26</v>
      </c>
      <c r="D15" s="5">
        <v>1.5</v>
      </c>
      <c r="E15" s="5">
        <v>1.6</v>
      </c>
      <c r="F15" s="6" t="s">
        <v>508</v>
      </c>
      <c r="G15" s="7"/>
      <c r="H15" s="7"/>
      <c r="I15" s="7"/>
      <c r="J15" s="8">
        <f t="shared" si="4"/>
        <v>0</v>
      </c>
      <c r="K15" s="9">
        <f t="shared" si="5"/>
        <v>0</v>
      </c>
      <c r="L15" s="9"/>
      <c r="M15" s="9"/>
      <c r="N15" s="9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20"/>
      <c r="Z15" s="20"/>
      <c r="AA15" s="20"/>
    </row>
    <row r="16" spans="1:27" ht="12.75" customHeight="1" x14ac:dyDescent="0.25">
      <c r="A16" s="20"/>
      <c r="B16" s="20"/>
      <c r="C16" s="5"/>
      <c r="D16" s="5"/>
      <c r="E16" s="5"/>
      <c r="F16" s="6"/>
      <c r="G16" s="7"/>
      <c r="H16" s="7"/>
      <c r="I16" s="7"/>
      <c r="J16" s="8"/>
      <c r="K16" s="9"/>
      <c r="L16" s="9"/>
      <c r="M16" s="9"/>
      <c r="N16" s="9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0"/>
      <c r="Z16" s="20"/>
      <c r="AA16" s="20"/>
    </row>
    <row r="17" spans="1:27" ht="12.75" customHeight="1" x14ac:dyDescent="0.25">
      <c r="A17" s="20">
        <v>330</v>
      </c>
      <c r="B17" s="20" t="s">
        <v>510</v>
      </c>
      <c r="C17" s="5"/>
      <c r="D17" s="5">
        <v>1.5</v>
      </c>
      <c r="E17" s="5">
        <v>1.5</v>
      </c>
      <c r="F17" s="6" t="s">
        <v>511</v>
      </c>
      <c r="G17" s="7"/>
      <c r="H17" s="7"/>
      <c r="I17" s="7"/>
      <c r="J17" s="8">
        <f t="shared" ref="J17:J18" si="6">SUM(G17:I17)</f>
        <v>0</v>
      </c>
      <c r="K17" s="9">
        <f t="shared" ref="K17:K18" si="7">SUM(C17*J17)</f>
        <v>0</v>
      </c>
      <c r="L17" s="9"/>
      <c r="M17" s="9"/>
      <c r="N17" s="9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20"/>
      <c r="Z17" s="20"/>
      <c r="AA17" s="20"/>
    </row>
    <row r="18" spans="1:27" ht="12.75" customHeight="1" x14ac:dyDescent="0.25">
      <c r="A18" s="20">
        <v>330</v>
      </c>
      <c r="B18" s="20" t="s">
        <v>512</v>
      </c>
      <c r="C18" s="5">
        <v>24.91</v>
      </c>
      <c r="D18" s="5">
        <v>27</v>
      </c>
      <c r="E18" s="5">
        <v>30</v>
      </c>
      <c r="F18" s="6" t="s">
        <v>511</v>
      </c>
      <c r="G18" s="7"/>
      <c r="H18" s="7"/>
      <c r="I18" s="7">
        <v>1</v>
      </c>
      <c r="J18" s="8">
        <f t="shared" si="6"/>
        <v>1</v>
      </c>
      <c r="K18" s="9">
        <f t="shared" si="7"/>
        <v>24.91</v>
      </c>
      <c r="L18" s="9"/>
      <c r="M18" s="9"/>
      <c r="N18" s="9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20"/>
      <c r="Z18" s="20"/>
      <c r="AA18" s="20"/>
    </row>
    <row r="19" spans="1:27" ht="12.75" customHeight="1" x14ac:dyDescent="0.25">
      <c r="A19" s="20"/>
      <c r="B19" s="20"/>
      <c r="C19" s="5"/>
      <c r="D19" s="5"/>
      <c r="E19" s="5"/>
      <c r="F19" s="6"/>
      <c r="G19" s="7"/>
      <c r="H19" s="7"/>
      <c r="I19" s="7"/>
      <c r="J19" s="8"/>
      <c r="K19" s="9"/>
      <c r="L19" s="9"/>
      <c r="M19" s="9"/>
      <c r="N19" s="9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20"/>
      <c r="Z19" s="20"/>
      <c r="AA19" s="20"/>
    </row>
    <row r="20" spans="1:27" ht="12.75" customHeight="1" x14ac:dyDescent="0.25">
      <c r="A20" s="20"/>
      <c r="B20" s="20"/>
      <c r="C20" s="5"/>
      <c r="D20" s="5"/>
      <c r="E20" s="5"/>
      <c r="F20" s="6"/>
      <c r="G20" s="7"/>
      <c r="H20" s="7"/>
      <c r="I20" s="7"/>
      <c r="J20" s="8"/>
      <c r="K20" s="9"/>
      <c r="L20" s="9"/>
      <c r="M20" s="9"/>
      <c r="N20" s="9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0"/>
      <c r="Z20" s="20"/>
      <c r="AA20" s="20"/>
    </row>
    <row r="21" spans="1:27" ht="12.75" customHeight="1" x14ac:dyDescent="0.25">
      <c r="A21" s="20">
        <v>330</v>
      </c>
      <c r="B21" s="20" t="s">
        <v>513</v>
      </c>
      <c r="C21" s="75">
        <v>22.63</v>
      </c>
      <c r="D21" s="5">
        <v>26</v>
      </c>
      <c r="E21" s="5">
        <v>28</v>
      </c>
      <c r="F21" s="6" t="s">
        <v>514</v>
      </c>
      <c r="G21" s="7"/>
      <c r="H21" s="7"/>
      <c r="I21" s="7">
        <v>7</v>
      </c>
      <c r="J21" s="8">
        <f t="shared" ref="J21:J25" si="8">SUM(G21:I21)</f>
        <v>7</v>
      </c>
      <c r="K21" s="9">
        <f t="shared" ref="K21:K25" si="9">SUM(C21*J21)</f>
        <v>158.41</v>
      </c>
      <c r="L21" s="9"/>
      <c r="M21" s="9"/>
      <c r="N21" s="9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20"/>
      <c r="Z21" s="20"/>
      <c r="AA21" s="20"/>
    </row>
    <row r="22" spans="1:27" ht="12.75" customHeight="1" x14ac:dyDescent="0.25">
      <c r="A22" s="20">
        <v>330</v>
      </c>
      <c r="B22" s="20" t="s">
        <v>515</v>
      </c>
      <c r="C22" s="75">
        <v>0.83</v>
      </c>
      <c r="D22" s="5">
        <v>1.25</v>
      </c>
      <c r="E22" s="5">
        <v>1.5</v>
      </c>
      <c r="F22" s="6" t="s">
        <v>514</v>
      </c>
      <c r="G22" s="7"/>
      <c r="H22" s="7"/>
      <c r="I22" s="7"/>
      <c r="J22" s="8">
        <f t="shared" si="8"/>
        <v>0</v>
      </c>
      <c r="K22" s="9">
        <f t="shared" si="9"/>
        <v>0</v>
      </c>
      <c r="L22" s="9"/>
      <c r="M22" s="9"/>
      <c r="N22" s="9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20"/>
      <c r="Z22" s="20"/>
      <c r="AA22" s="20"/>
    </row>
    <row r="23" spans="1:27" ht="12.75" customHeight="1" x14ac:dyDescent="0.25">
      <c r="A23" s="20">
        <v>330</v>
      </c>
      <c r="B23" s="20" t="s">
        <v>516</v>
      </c>
      <c r="C23" s="75"/>
      <c r="D23" s="5"/>
      <c r="E23" s="5">
        <v>7.95</v>
      </c>
      <c r="F23" s="6" t="s">
        <v>514</v>
      </c>
      <c r="G23" s="7"/>
      <c r="H23" s="7"/>
      <c r="I23" s="7"/>
      <c r="J23" s="8">
        <f t="shared" si="8"/>
        <v>0</v>
      </c>
      <c r="K23" s="9">
        <f t="shared" si="9"/>
        <v>0</v>
      </c>
      <c r="L23" s="9"/>
      <c r="M23" s="9"/>
      <c r="N23" s="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20"/>
      <c r="Z23" s="20"/>
      <c r="AA23" s="20"/>
    </row>
    <row r="24" spans="1:27" ht="12.75" customHeight="1" x14ac:dyDescent="0.25">
      <c r="A24" s="20">
        <v>500</v>
      </c>
      <c r="B24" s="20" t="s">
        <v>517</v>
      </c>
      <c r="C24" s="5">
        <v>1.59</v>
      </c>
      <c r="D24" s="5">
        <v>1.8</v>
      </c>
      <c r="E24" s="5">
        <v>1.9500000000000002</v>
      </c>
      <c r="F24" s="6" t="s">
        <v>518</v>
      </c>
      <c r="G24" s="7"/>
      <c r="H24" s="7"/>
      <c r="I24" s="7"/>
      <c r="J24" s="8">
        <f t="shared" si="8"/>
        <v>0</v>
      </c>
      <c r="K24" s="9">
        <f t="shared" si="9"/>
        <v>0</v>
      </c>
      <c r="L24" s="9"/>
      <c r="M24" s="9"/>
      <c r="N24" s="9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20"/>
      <c r="Z24" s="20"/>
      <c r="AA24" s="20"/>
    </row>
    <row r="25" spans="1:27" ht="12.75" customHeight="1" x14ac:dyDescent="0.25">
      <c r="A25" s="20">
        <v>500</v>
      </c>
      <c r="B25" s="20" t="s">
        <v>519</v>
      </c>
      <c r="C25" s="5">
        <v>38.33</v>
      </c>
      <c r="D25" s="5">
        <v>42</v>
      </c>
      <c r="E25" s="5">
        <v>44</v>
      </c>
      <c r="F25" s="6" t="s">
        <v>518</v>
      </c>
      <c r="G25" s="7"/>
      <c r="H25" s="7"/>
      <c r="I25" s="7"/>
      <c r="J25" s="8">
        <f t="shared" si="8"/>
        <v>0</v>
      </c>
      <c r="K25" s="9">
        <f t="shared" si="9"/>
        <v>0</v>
      </c>
      <c r="L25" s="9"/>
      <c r="M25" s="9"/>
      <c r="N25" s="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20"/>
      <c r="Z25" s="20"/>
      <c r="AA25" s="20"/>
    </row>
    <row r="26" spans="1:27" ht="12.75" customHeight="1" x14ac:dyDescent="0.25">
      <c r="A26" s="20"/>
      <c r="B26" s="20"/>
      <c r="C26" s="5"/>
      <c r="D26" s="5"/>
      <c r="E26" s="5"/>
      <c r="F26" s="6"/>
      <c r="G26" s="7"/>
      <c r="H26" s="7"/>
      <c r="I26" s="7"/>
      <c r="J26" s="8"/>
      <c r="K26" s="9"/>
      <c r="L26" s="9"/>
      <c r="M26" s="9"/>
      <c r="N26" s="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20"/>
      <c r="Z26" s="20"/>
      <c r="AA26" s="20"/>
    </row>
    <row r="27" spans="1:27" ht="12.75" customHeight="1" x14ac:dyDescent="0.25">
      <c r="A27" s="20">
        <v>350</v>
      </c>
      <c r="B27" s="20" t="s">
        <v>520</v>
      </c>
      <c r="C27" s="28">
        <v>21.28</v>
      </c>
      <c r="D27" s="28">
        <v>27</v>
      </c>
      <c r="E27" s="28">
        <v>30</v>
      </c>
      <c r="F27" s="6" t="s">
        <v>502</v>
      </c>
      <c r="G27" s="7"/>
      <c r="H27" s="7"/>
      <c r="I27" s="7">
        <v>5</v>
      </c>
      <c r="J27" s="8">
        <f t="shared" ref="J27:J32" si="10">SUM(G27:I27)</f>
        <v>5</v>
      </c>
      <c r="K27" s="9">
        <f t="shared" ref="K27:K32" si="11">SUM(C27*J27)</f>
        <v>106.4</v>
      </c>
      <c r="L27" s="9"/>
      <c r="M27" s="9"/>
      <c r="N27" s="9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20"/>
      <c r="Z27" s="20"/>
      <c r="AA27" s="20"/>
    </row>
    <row r="28" spans="1:27" ht="12.75" customHeight="1" x14ac:dyDescent="0.25">
      <c r="A28" s="20">
        <v>350</v>
      </c>
      <c r="B28" s="20" t="s">
        <v>521</v>
      </c>
      <c r="C28" s="28">
        <v>0.88</v>
      </c>
      <c r="D28" s="28">
        <v>1.4</v>
      </c>
      <c r="E28" s="28">
        <v>1.5</v>
      </c>
      <c r="F28" s="6" t="s">
        <v>502</v>
      </c>
      <c r="G28" s="7"/>
      <c r="H28" s="7"/>
      <c r="I28" s="7"/>
      <c r="J28" s="8">
        <f t="shared" si="10"/>
        <v>0</v>
      </c>
      <c r="K28" s="9">
        <f t="shared" si="11"/>
        <v>0</v>
      </c>
      <c r="L28" s="9"/>
      <c r="M28" s="9"/>
      <c r="N28" s="9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20"/>
      <c r="Z28" s="20"/>
      <c r="AA28" s="20"/>
    </row>
    <row r="29" spans="1:27" ht="12.75" customHeight="1" x14ac:dyDescent="0.25">
      <c r="A29" s="20">
        <v>350</v>
      </c>
      <c r="B29" s="20" t="s">
        <v>522</v>
      </c>
      <c r="C29" s="28">
        <v>5.31</v>
      </c>
      <c r="D29" s="28">
        <v>7.5</v>
      </c>
      <c r="E29" s="28">
        <v>7.95</v>
      </c>
      <c r="F29" s="6" t="s">
        <v>502</v>
      </c>
      <c r="G29" s="7"/>
      <c r="H29" s="7"/>
      <c r="I29" s="7"/>
      <c r="J29" s="8">
        <f t="shared" si="10"/>
        <v>0</v>
      </c>
      <c r="K29" s="9">
        <f t="shared" si="11"/>
        <v>0</v>
      </c>
      <c r="L29" s="9"/>
      <c r="M29" s="9"/>
      <c r="N29" s="9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20"/>
      <c r="Z29" s="20"/>
      <c r="AA29" s="20"/>
    </row>
    <row r="30" spans="1:27" ht="12.75" customHeight="1" x14ac:dyDescent="0.25">
      <c r="A30" s="20">
        <v>330</v>
      </c>
      <c r="B30" s="20" t="s">
        <v>523</v>
      </c>
      <c r="C30" s="28">
        <v>0.7</v>
      </c>
      <c r="D30" s="28">
        <v>0.85</v>
      </c>
      <c r="E30" s="28">
        <v>0.95</v>
      </c>
      <c r="F30" s="6" t="s">
        <v>505</v>
      </c>
      <c r="G30" s="7"/>
      <c r="H30" s="7"/>
      <c r="I30" s="7"/>
      <c r="J30" s="8">
        <f t="shared" si="10"/>
        <v>0</v>
      </c>
      <c r="K30" s="9">
        <f t="shared" si="11"/>
        <v>0</v>
      </c>
      <c r="L30" s="9"/>
      <c r="M30" s="9"/>
      <c r="N30" s="9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20"/>
      <c r="Z30" s="20"/>
      <c r="AA30" s="20"/>
    </row>
    <row r="31" spans="1:27" ht="12.75" customHeight="1" x14ac:dyDescent="0.25">
      <c r="A31" s="20">
        <v>330</v>
      </c>
      <c r="B31" s="20" t="s">
        <v>524</v>
      </c>
      <c r="C31" s="28">
        <v>4.2</v>
      </c>
      <c r="D31" s="28">
        <v>5.5</v>
      </c>
      <c r="E31" s="28">
        <v>5.5</v>
      </c>
      <c r="F31" s="6" t="s">
        <v>505</v>
      </c>
      <c r="G31" s="7"/>
      <c r="H31" s="7"/>
      <c r="I31" s="7"/>
      <c r="J31" s="8">
        <f t="shared" si="10"/>
        <v>0</v>
      </c>
      <c r="K31" s="9">
        <f t="shared" si="11"/>
        <v>0</v>
      </c>
      <c r="L31" s="9"/>
      <c r="M31" s="9"/>
      <c r="N31" s="9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20"/>
      <c r="Z31" s="20"/>
      <c r="AA31" s="20"/>
    </row>
    <row r="32" spans="1:27" ht="12.75" customHeight="1" x14ac:dyDescent="0.25">
      <c r="A32" s="20">
        <v>330</v>
      </c>
      <c r="B32" s="20" t="s">
        <v>525</v>
      </c>
      <c r="C32" s="28">
        <v>15.53</v>
      </c>
      <c r="D32" s="28">
        <v>20</v>
      </c>
      <c r="E32" s="28">
        <v>20</v>
      </c>
      <c r="F32" s="6" t="s">
        <v>505</v>
      </c>
      <c r="G32" s="7"/>
      <c r="H32" s="7"/>
      <c r="I32" s="7"/>
      <c r="J32" s="8">
        <f t="shared" si="10"/>
        <v>0</v>
      </c>
      <c r="K32" s="9">
        <f t="shared" si="11"/>
        <v>0</v>
      </c>
      <c r="L32" s="9"/>
      <c r="M32" s="9"/>
      <c r="N32" s="9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20"/>
      <c r="Z32" s="20"/>
      <c r="AA32" s="20"/>
    </row>
    <row r="33" spans="1:27" ht="15.75" customHeight="1" x14ac:dyDescent="0.25">
      <c r="A33" s="20"/>
      <c r="B33" s="20"/>
      <c r="C33" s="5"/>
      <c r="D33" s="5"/>
      <c r="E33" s="5"/>
      <c r="F33" s="6"/>
      <c r="G33" s="7"/>
      <c r="H33" s="7"/>
      <c r="I33" s="7"/>
      <c r="J33" s="8"/>
      <c r="K33" s="9"/>
      <c r="L33" s="9"/>
      <c r="M33" s="9"/>
      <c r="N33" s="9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20"/>
      <c r="Z33" s="20"/>
      <c r="AA33" s="20"/>
    </row>
    <row r="34" spans="1:27" ht="12.75" customHeight="1" x14ac:dyDescent="0.25">
      <c r="A34" s="20">
        <v>330</v>
      </c>
      <c r="B34" s="20" t="s">
        <v>526</v>
      </c>
      <c r="C34" s="17">
        <v>0.42</v>
      </c>
      <c r="D34" s="17">
        <v>0.65</v>
      </c>
      <c r="E34" s="17">
        <v>0.7</v>
      </c>
      <c r="F34" s="6" t="s">
        <v>499</v>
      </c>
      <c r="G34" s="7"/>
      <c r="H34" s="7"/>
      <c r="I34" s="7"/>
      <c r="J34" s="8">
        <f t="shared" ref="J34:J37" si="12">SUM(G34:I34)</f>
        <v>0</v>
      </c>
      <c r="K34" s="9">
        <f t="shared" ref="K34:K37" si="13">SUM(C34*J34)</f>
        <v>0</v>
      </c>
      <c r="L34" s="9"/>
      <c r="M34" s="9"/>
      <c r="N34" s="9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20"/>
      <c r="Z34" s="20"/>
      <c r="AA34" s="20"/>
    </row>
    <row r="35" spans="1:27" ht="12.75" customHeight="1" x14ac:dyDescent="0.25">
      <c r="A35" s="20">
        <v>330</v>
      </c>
      <c r="B35" s="20" t="s">
        <v>527</v>
      </c>
      <c r="C35" s="17">
        <v>12.35</v>
      </c>
      <c r="D35" s="17">
        <v>14</v>
      </c>
      <c r="E35" s="17">
        <v>16</v>
      </c>
      <c r="F35" s="6" t="s">
        <v>499</v>
      </c>
      <c r="G35" s="7"/>
      <c r="H35" s="7"/>
      <c r="I35" s="7">
        <v>3</v>
      </c>
      <c r="J35" s="8">
        <f t="shared" si="12"/>
        <v>3</v>
      </c>
      <c r="K35" s="9">
        <f t="shared" si="13"/>
        <v>37.049999999999997</v>
      </c>
      <c r="L35" s="9"/>
      <c r="M35" s="9"/>
      <c r="N35" s="9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20"/>
      <c r="Z35" s="20"/>
      <c r="AA35" s="20"/>
    </row>
    <row r="36" spans="1:27" ht="12.75" customHeight="1" x14ac:dyDescent="0.25">
      <c r="A36" s="20">
        <v>330</v>
      </c>
      <c r="B36" s="20" t="s">
        <v>528</v>
      </c>
      <c r="C36" s="17">
        <v>0.5</v>
      </c>
      <c r="D36" s="17">
        <v>0.75</v>
      </c>
      <c r="E36" s="17">
        <v>0.75</v>
      </c>
      <c r="F36" s="6" t="s">
        <v>499</v>
      </c>
      <c r="G36" s="7"/>
      <c r="H36" s="7"/>
      <c r="I36" s="7"/>
      <c r="J36" s="8">
        <f t="shared" si="12"/>
        <v>0</v>
      </c>
      <c r="K36" s="9">
        <f t="shared" si="13"/>
        <v>0</v>
      </c>
      <c r="L36" s="9"/>
      <c r="M36" s="9"/>
      <c r="N36" s="9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20"/>
      <c r="Z36" s="20"/>
      <c r="AA36" s="20"/>
    </row>
    <row r="37" spans="1:27" ht="12.75" customHeight="1" x14ac:dyDescent="0.25">
      <c r="A37" s="20">
        <v>330</v>
      </c>
      <c r="B37" s="20" t="s">
        <v>529</v>
      </c>
      <c r="C37" s="17">
        <v>11.9</v>
      </c>
      <c r="D37" s="17">
        <v>13</v>
      </c>
      <c r="E37" s="17">
        <v>13</v>
      </c>
      <c r="F37" s="6" t="s">
        <v>499</v>
      </c>
      <c r="G37" s="7"/>
      <c r="H37" s="7"/>
      <c r="I37" s="7">
        <v>2</v>
      </c>
      <c r="J37" s="8">
        <f t="shared" si="12"/>
        <v>2</v>
      </c>
      <c r="K37" s="9">
        <f t="shared" si="13"/>
        <v>23.8</v>
      </c>
      <c r="L37" s="9"/>
      <c r="M37" s="9"/>
      <c r="N37" s="9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20"/>
      <c r="Z37" s="20"/>
      <c r="AA37" s="20"/>
    </row>
    <row r="38" spans="1:27" ht="12.75" customHeight="1" x14ac:dyDescent="0.25">
      <c r="A38" s="20"/>
      <c r="B38" s="20"/>
      <c r="C38" s="5"/>
      <c r="D38" s="5"/>
      <c r="E38" s="5"/>
      <c r="F38" s="6"/>
      <c r="G38" s="7"/>
      <c r="H38" s="7"/>
      <c r="I38" s="7"/>
      <c r="J38" s="8"/>
      <c r="K38" s="9"/>
      <c r="L38" s="9"/>
      <c r="M38" s="9"/>
      <c r="N38" s="9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20"/>
      <c r="Z38" s="20"/>
      <c r="AA38" s="20"/>
    </row>
    <row r="39" spans="1:27" ht="12.75" customHeight="1" x14ac:dyDescent="0.25">
      <c r="A39" s="20">
        <v>330</v>
      </c>
      <c r="B39" s="20" t="s">
        <v>530</v>
      </c>
      <c r="C39" s="17">
        <v>23</v>
      </c>
      <c r="D39" s="17">
        <v>29</v>
      </c>
      <c r="E39" s="17">
        <v>30</v>
      </c>
      <c r="F39" s="6" t="s">
        <v>499</v>
      </c>
      <c r="G39" s="7"/>
      <c r="H39" s="7"/>
      <c r="I39" s="7">
        <v>2</v>
      </c>
      <c r="J39" s="8">
        <f t="shared" ref="J39:J43" si="14">SUM(G39:I39)</f>
        <v>2</v>
      </c>
      <c r="K39" s="9">
        <f t="shared" ref="K39:K43" si="15">SUM(C39*J39)</f>
        <v>46</v>
      </c>
      <c r="L39" s="9"/>
      <c r="M39" s="9"/>
      <c r="N39" s="9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20"/>
      <c r="Z39" s="20"/>
      <c r="AA39" s="20"/>
    </row>
    <row r="40" spans="1:27" ht="12.75" customHeight="1" x14ac:dyDescent="0.25">
      <c r="A40" s="20">
        <v>330</v>
      </c>
      <c r="B40" s="20" t="s">
        <v>531</v>
      </c>
      <c r="C40" s="17">
        <v>0.96</v>
      </c>
      <c r="D40" s="17">
        <v>1.4</v>
      </c>
      <c r="E40" s="17">
        <v>1.5</v>
      </c>
      <c r="F40" s="6" t="s">
        <v>499</v>
      </c>
      <c r="G40" s="7"/>
      <c r="H40" s="7"/>
      <c r="I40" s="7"/>
      <c r="J40" s="8">
        <f t="shared" si="14"/>
        <v>0</v>
      </c>
      <c r="K40" s="9">
        <f t="shared" si="15"/>
        <v>0</v>
      </c>
      <c r="L40" s="9"/>
      <c r="M40" s="9"/>
      <c r="N40" s="9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20"/>
      <c r="Z40" s="20"/>
      <c r="AA40" s="20"/>
    </row>
    <row r="41" spans="1:27" ht="12.75" customHeight="1" x14ac:dyDescent="0.25">
      <c r="A41" s="20">
        <v>330</v>
      </c>
      <c r="B41" s="20" t="s">
        <v>532</v>
      </c>
      <c r="C41" s="17">
        <v>5.75</v>
      </c>
      <c r="D41" s="17">
        <v>7.5</v>
      </c>
      <c r="E41" s="17">
        <v>7.95</v>
      </c>
      <c r="F41" s="6" t="s">
        <v>499</v>
      </c>
      <c r="G41" s="7"/>
      <c r="H41" s="7"/>
      <c r="I41" s="7"/>
      <c r="J41" s="8">
        <f t="shared" si="14"/>
        <v>0</v>
      </c>
      <c r="K41" s="9">
        <f t="shared" si="15"/>
        <v>0</v>
      </c>
      <c r="L41" s="9"/>
      <c r="M41" s="9"/>
      <c r="N41" s="9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20"/>
      <c r="Z41" s="20"/>
      <c r="AA41" s="20"/>
    </row>
    <row r="42" spans="1:27" ht="12.75" customHeight="1" x14ac:dyDescent="0.25">
      <c r="A42" s="20">
        <v>500</v>
      </c>
      <c r="B42" s="20" t="s">
        <v>533</v>
      </c>
      <c r="C42" s="17">
        <v>1.24</v>
      </c>
      <c r="D42" s="17">
        <v>1.5</v>
      </c>
      <c r="E42" s="17">
        <v>1.6</v>
      </c>
      <c r="F42" s="6" t="s">
        <v>499</v>
      </c>
      <c r="G42" s="7"/>
      <c r="H42" s="7"/>
      <c r="I42" s="7"/>
      <c r="J42" s="8">
        <f t="shared" si="14"/>
        <v>0</v>
      </c>
      <c r="K42" s="9">
        <f t="shared" si="15"/>
        <v>0</v>
      </c>
      <c r="L42" s="9"/>
      <c r="M42" s="9"/>
      <c r="N42" s="9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20"/>
      <c r="Z42" s="20"/>
      <c r="AA42" s="20"/>
    </row>
    <row r="43" spans="1:27" ht="12.75" customHeight="1" x14ac:dyDescent="0.25">
      <c r="A43" s="20">
        <v>500</v>
      </c>
      <c r="B43" s="20" t="s">
        <v>534</v>
      </c>
      <c r="C43" s="17">
        <v>29.85</v>
      </c>
      <c r="D43" s="17">
        <v>34</v>
      </c>
      <c r="E43" s="17">
        <v>36</v>
      </c>
      <c r="F43" s="6" t="s">
        <v>499</v>
      </c>
      <c r="G43" s="7"/>
      <c r="H43" s="7"/>
      <c r="I43" s="7">
        <v>2</v>
      </c>
      <c r="J43" s="8">
        <f t="shared" si="14"/>
        <v>2</v>
      </c>
      <c r="K43" s="9">
        <f t="shared" si="15"/>
        <v>59.7</v>
      </c>
      <c r="L43" s="9"/>
      <c r="M43" s="9"/>
      <c r="N43" s="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20"/>
      <c r="Z43" s="20"/>
      <c r="AA43" s="20"/>
    </row>
    <row r="44" spans="1:27" ht="12.75" customHeight="1" x14ac:dyDescent="0.25">
      <c r="A44" s="20"/>
      <c r="B44" s="20"/>
      <c r="C44" s="5"/>
      <c r="D44" s="5"/>
      <c r="E44" s="5"/>
      <c r="F44" s="6"/>
      <c r="G44" s="7"/>
      <c r="H44" s="7"/>
      <c r="I44" s="7"/>
      <c r="J44" s="8"/>
      <c r="K44" s="9"/>
      <c r="L44" s="9"/>
      <c r="M44" s="9"/>
      <c r="N44" s="9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20"/>
      <c r="Z44" s="20"/>
      <c r="AA44" s="20"/>
    </row>
    <row r="45" spans="1:27" ht="12.75" customHeight="1" x14ac:dyDescent="0.25">
      <c r="A45" s="20"/>
      <c r="B45" s="20"/>
      <c r="C45" s="5"/>
      <c r="D45" s="5"/>
      <c r="E45" s="5"/>
      <c r="F45" s="6"/>
      <c r="G45" s="7"/>
      <c r="H45" s="7"/>
      <c r="I45" s="7"/>
      <c r="J45" s="8"/>
      <c r="K45" s="9"/>
      <c r="L45" s="9"/>
      <c r="M45" s="9"/>
      <c r="N45" s="9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20"/>
      <c r="Z45" s="20"/>
      <c r="AA45" s="20"/>
    </row>
    <row r="46" spans="1:27" ht="12.75" customHeight="1" x14ac:dyDescent="0.25">
      <c r="A46" s="20">
        <v>500</v>
      </c>
      <c r="B46" s="20" t="s">
        <v>535</v>
      </c>
      <c r="C46" s="17">
        <v>1.73</v>
      </c>
      <c r="D46" s="17">
        <v>1.9500000000000002</v>
      </c>
      <c r="E46" s="17">
        <v>2</v>
      </c>
      <c r="F46" s="6" t="s">
        <v>27</v>
      </c>
      <c r="G46" s="7"/>
      <c r="H46" s="7"/>
      <c r="I46" s="7"/>
      <c r="J46" s="8">
        <f t="shared" ref="J46:J47" si="16">SUM(G46:I46)</f>
        <v>0</v>
      </c>
      <c r="K46" s="9">
        <f t="shared" ref="K46:K47" si="17">SUM(C46*J46)</f>
        <v>0</v>
      </c>
      <c r="L46" s="9"/>
      <c r="M46" s="9"/>
      <c r="N46" s="9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20"/>
      <c r="Z46" s="20"/>
      <c r="AA46" s="20"/>
    </row>
    <row r="47" spans="1:27" ht="12.75" customHeight="1" x14ac:dyDescent="0.25">
      <c r="A47" s="20">
        <v>500</v>
      </c>
      <c r="B47" s="20" t="s">
        <v>536</v>
      </c>
      <c r="C47" s="17">
        <v>20.81</v>
      </c>
      <c r="D47" s="17">
        <v>22.5</v>
      </c>
      <c r="E47" s="17">
        <v>24</v>
      </c>
      <c r="F47" s="6" t="s">
        <v>27</v>
      </c>
      <c r="G47" s="54"/>
      <c r="H47" s="54"/>
      <c r="I47" s="7"/>
      <c r="J47" s="8">
        <f t="shared" si="16"/>
        <v>0</v>
      </c>
      <c r="K47" s="9">
        <f t="shared" si="17"/>
        <v>0</v>
      </c>
      <c r="L47" s="9"/>
      <c r="M47" s="9"/>
      <c r="N47" s="9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20"/>
      <c r="Z47" s="20"/>
      <c r="AA47" s="20"/>
    </row>
    <row r="48" spans="1:27" ht="12.75" customHeight="1" x14ac:dyDescent="0.25">
      <c r="A48" s="20"/>
      <c r="B48" s="20"/>
      <c r="C48" s="5"/>
      <c r="D48" s="5"/>
      <c r="E48" s="5"/>
      <c r="F48" s="6"/>
      <c r="G48" s="54"/>
      <c r="H48" s="54"/>
      <c r="I48" s="7"/>
      <c r="J48" s="9"/>
      <c r="K48" s="21"/>
      <c r="L48" s="9"/>
      <c r="M48" s="9"/>
      <c r="N48" s="9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20"/>
      <c r="Z48" s="20"/>
      <c r="AA48" s="20"/>
    </row>
    <row r="49" spans="1:27" ht="12.75" customHeight="1" x14ac:dyDescent="0.25">
      <c r="A49" s="10"/>
      <c r="B49" s="10"/>
      <c r="C49" s="24"/>
      <c r="D49" s="24"/>
      <c r="E49" s="24"/>
      <c r="F49" s="6"/>
      <c r="G49" s="54"/>
      <c r="H49" s="54"/>
      <c r="I49" s="7"/>
      <c r="J49" s="9"/>
      <c r="K49" s="21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2.75" customHeight="1" x14ac:dyDescent="0.25">
      <c r="A50" s="69">
        <v>330</v>
      </c>
      <c r="B50" s="69" t="s">
        <v>537</v>
      </c>
      <c r="C50" s="17">
        <v>0.73</v>
      </c>
      <c r="D50" s="17">
        <v>0.9</v>
      </c>
      <c r="E50" s="17">
        <v>0.9</v>
      </c>
      <c r="F50" s="6" t="s">
        <v>511</v>
      </c>
      <c r="G50" s="7"/>
      <c r="H50" s="7"/>
      <c r="I50" s="7"/>
      <c r="J50" s="8">
        <f t="shared" ref="J50:J57" si="18">SUM(G50:I50)</f>
        <v>0</v>
      </c>
      <c r="K50" s="9">
        <f t="shared" ref="K50:K57" si="19">SUM(C50*J50)</f>
        <v>0</v>
      </c>
      <c r="L50" s="9"/>
      <c r="M50" s="9"/>
      <c r="N50" s="9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20"/>
      <c r="Z50" s="20"/>
      <c r="AA50" s="20"/>
    </row>
    <row r="51" spans="1:27" ht="12.75" customHeight="1" x14ac:dyDescent="0.25">
      <c r="A51" s="69">
        <v>330</v>
      </c>
      <c r="B51" s="69" t="s">
        <v>538</v>
      </c>
      <c r="C51" s="17">
        <v>17.32</v>
      </c>
      <c r="D51" s="17">
        <v>18.5</v>
      </c>
      <c r="E51" s="17">
        <v>20</v>
      </c>
      <c r="F51" s="6" t="s">
        <v>511</v>
      </c>
      <c r="G51" s="7"/>
      <c r="H51" s="7"/>
      <c r="I51" s="7">
        <v>0</v>
      </c>
      <c r="J51" s="8">
        <f t="shared" si="18"/>
        <v>0</v>
      </c>
      <c r="K51" s="9">
        <f t="shared" si="19"/>
        <v>0</v>
      </c>
      <c r="L51" s="9"/>
      <c r="M51" s="9"/>
      <c r="N51" s="9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20"/>
      <c r="Z51" s="20"/>
      <c r="AA51" s="20"/>
    </row>
    <row r="52" spans="1:27" ht="12.75" customHeight="1" x14ac:dyDescent="0.25">
      <c r="A52" s="69">
        <v>500</v>
      </c>
      <c r="B52" s="69" t="s">
        <v>539</v>
      </c>
      <c r="C52" s="17">
        <v>1.1200000000000001</v>
      </c>
      <c r="D52" s="17">
        <v>1.3</v>
      </c>
      <c r="E52" s="17">
        <v>1.4</v>
      </c>
      <c r="F52" s="6" t="s">
        <v>511</v>
      </c>
      <c r="G52" s="7"/>
      <c r="H52" s="7"/>
      <c r="I52" s="7"/>
      <c r="J52" s="8">
        <f t="shared" si="18"/>
        <v>0</v>
      </c>
      <c r="K52" s="9">
        <f t="shared" si="19"/>
        <v>0</v>
      </c>
      <c r="L52" s="9"/>
      <c r="M52" s="9"/>
      <c r="N52" s="9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20"/>
      <c r="Z52" s="20"/>
      <c r="AA52" s="20"/>
    </row>
    <row r="53" spans="1:27" ht="12.75" customHeight="1" x14ac:dyDescent="0.25">
      <c r="A53" s="69">
        <v>500</v>
      </c>
      <c r="B53" s="69" t="s">
        <v>540</v>
      </c>
      <c r="C53" s="17">
        <v>27</v>
      </c>
      <c r="D53" s="17">
        <v>30</v>
      </c>
      <c r="E53" s="17">
        <v>32</v>
      </c>
      <c r="F53" s="6" t="s">
        <v>511</v>
      </c>
      <c r="G53" s="7"/>
      <c r="H53" s="7"/>
      <c r="I53" s="7">
        <v>3</v>
      </c>
      <c r="J53" s="8">
        <f t="shared" si="18"/>
        <v>3</v>
      </c>
      <c r="K53" s="9">
        <f t="shared" si="19"/>
        <v>81</v>
      </c>
      <c r="L53" s="9"/>
      <c r="M53" s="9"/>
      <c r="N53" s="9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20"/>
      <c r="Z53" s="20"/>
      <c r="AA53" s="20"/>
    </row>
    <row r="54" spans="1:27" ht="12.75" customHeight="1" x14ac:dyDescent="0.25">
      <c r="A54" s="69">
        <v>330</v>
      </c>
      <c r="B54" s="69" t="s">
        <v>541</v>
      </c>
      <c r="C54" s="17">
        <v>1.04</v>
      </c>
      <c r="D54" s="17">
        <v>1.4</v>
      </c>
      <c r="E54" s="17">
        <v>1.5</v>
      </c>
      <c r="F54" s="6" t="s">
        <v>511</v>
      </c>
      <c r="G54" s="7"/>
      <c r="H54" s="7"/>
      <c r="I54" s="7"/>
      <c r="J54" s="8">
        <f t="shared" si="18"/>
        <v>0</v>
      </c>
      <c r="K54" s="9">
        <f t="shared" si="19"/>
        <v>0</v>
      </c>
      <c r="L54" s="9"/>
      <c r="M54" s="9"/>
      <c r="N54" s="9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20"/>
      <c r="Z54" s="20"/>
      <c r="AA54" s="20"/>
    </row>
    <row r="55" spans="1:27" ht="12.75" customHeight="1" x14ac:dyDescent="0.25">
      <c r="A55" s="69">
        <v>330</v>
      </c>
      <c r="B55" s="69" t="s">
        <v>542</v>
      </c>
      <c r="C55" s="17">
        <v>25.16</v>
      </c>
      <c r="D55" s="17">
        <v>27.5</v>
      </c>
      <c r="E55" s="17">
        <v>29.5</v>
      </c>
      <c r="F55" s="6" t="s">
        <v>511</v>
      </c>
      <c r="G55" s="7"/>
      <c r="H55" s="7"/>
      <c r="I55" s="7">
        <v>3</v>
      </c>
      <c r="J55" s="8">
        <f t="shared" si="18"/>
        <v>3</v>
      </c>
      <c r="K55" s="9">
        <f t="shared" si="19"/>
        <v>75.48</v>
      </c>
      <c r="L55" s="9"/>
      <c r="M55" s="9"/>
      <c r="N55" s="9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20"/>
      <c r="Z55" s="20"/>
      <c r="AA55" s="20"/>
    </row>
    <row r="56" spans="1:27" ht="12.75" customHeight="1" x14ac:dyDescent="0.25">
      <c r="A56" s="69">
        <v>330</v>
      </c>
      <c r="B56" s="69" t="s">
        <v>543</v>
      </c>
      <c r="C56" s="17">
        <v>1.1200000000000001</v>
      </c>
      <c r="D56" s="17">
        <v>1.4</v>
      </c>
      <c r="E56" s="17">
        <v>1.5</v>
      </c>
      <c r="F56" s="6" t="s">
        <v>511</v>
      </c>
      <c r="G56" s="7"/>
      <c r="H56" s="7"/>
      <c r="I56" s="7">
        <v>12</v>
      </c>
      <c r="J56" s="8">
        <f t="shared" si="18"/>
        <v>12</v>
      </c>
      <c r="K56" s="9">
        <f t="shared" si="19"/>
        <v>13.440000000000001</v>
      </c>
      <c r="L56" s="9"/>
      <c r="M56" s="9"/>
      <c r="N56" s="9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20"/>
      <c r="Z56" s="20"/>
      <c r="AA56" s="20"/>
    </row>
    <row r="57" spans="1:27" ht="12.75" customHeight="1" x14ac:dyDescent="0.25">
      <c r="A57" s="69">
        <v>330</v>
      </c>
      <c r="B57" s="69" t="s">
        <v>544</v>
      </c>
      <c r="C57" s="17">
        <v>26.8</v>
      </c>
      <c r="D57" s="17">
        <v>30</v>
      </c>
      <c r="E57" s="17">
        <v>32</v>
      </c>
      <c r="F57" s="6" t="s">
        <v>511</v>
      </c>
      <c r="G57" s="7"/>
      <c r="H57" s="7"/>
      <c r="I57" s="7" t="s">
        <v>63</v>
      </c>
      <c r="J57" s="8">
        <f t="shared" si="18"/>
        <v>0</v>
      </c>
      <c r="K57" s="9">
        <f t="shared" si="19"/>
        <v>0</v>
      </c>
      <c r="L57" s="9"/>
      <c r="M57" s="9"/>
      <c r="N57" s="9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20"/>
      <c r="Z57" s="20"/>
      <c r="AA57" s="20"/>
    </row>
    <row r="58" spans="1:27" ht="12.75" customHeight="1" x14ac:dyDescent="0.25">
      <c r="A58" s="20"/>
      <c r="B58" s="20"/>
      <c r="C58" s="5"/>
      <c r="D58" s="5"/>
      <c r="E58" s="5"/>
      <c r="F58" s="6"/>
      <c r="G58" s="7"/>
      <c r="H58" s="7"/>
      <c r="I58" s="7"/>
      <c r="J58" s="8"/>
      <c r="K58" s="9"/>
      <c r="L58" s="9"/>
      <c r="M58" s="9"/>
      <c r="N58" s="9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20"/>
      <c r="Z58" s="20"/>
      <c r="AA58" s="20"/>
    </row>
    <row r="59" spans="1:27" ht="12.75" customHeight="1" x14ac:dyDescent="0.25">
      <c r="A59" s="20"/>
      <c r="B59" s="20"/>
      <c r="C59" s="5"/>
      <c r="D59" s="5"/>
      <c r="E59" s="5"/>
      <c r="F59" s="6"/>
      <c r="G59" s="54"/>
      <c r="H59" s="54"/>
      <c r="I59" s="7"/>
      <c r="J59" s="9"/>
      <c r="K59" s="21"/>
      <c r="L59" s="9"/>
      <c r="M59" s="9"/>
      <c r="N59" s="9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20"/>
      <c r="Z59" s="20"/>
      <c r="AA59" s="20"/>
    </row>
    <row r="60" spans="1:27" ht="12.75" customHeight="1" x14ac:dyDescent="0.25">
      <c r="A60" s="20">
        <v>500</v>
      </c>
      <c r="B60" s="20" t="s">
        <v>545</v>
      </c>
      <c r="C60" s="17">
        <v>1.1100000000000001</v>
      </c>
      <c r="D60" s="17">
        <v>1.3</v>
      </c>
      <c r="E60" s="17">
        <v>1.3</v>
      </c>
      <c r="F60" s="6" t="s">
        <v>27</v>
      </c>
      <c r="G60" s="7"/>
      <c r="H60" s="7"/>
      <c r="I60" s="7"/>
      <c r="J60" s="8">
        <f t="shared" ref="J60:J66" si="20">SUM(G60:I60)</f>
        <v>0</v>
      </c>
      <c r="K60" s="9">
        <f t="shared" ref="K60:K66" si="21">SUM(C60*J60)</f>
        <v>0</v>
      </c>
      <c r="L60" s="9"/>
      <c r="M60" s="9"/>
      <c r="N60" s="9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20"/>
      <c r="Z60" s="20"/>
      <c r="AA60" s="20"/>
    </row>
    <row r="61" spans="1:27" ht="12.75" customHeight="1" x14ac:dyDescent="0.25">
      <c r="A61" s="20">
        <v>500</v>
      </c>
      <c r="B61" s="20" t="s">
        <v>546</v>
      </c>
      <c r="C61" s="17">
        <v>26.64</v>
      </c>
      <c r="D61" s="17">
        <v>30</v>
      </c>
      <c r="E61" s="17">
        <v>32</v>
      </c>
      <c r="F61" s="6" t="s">
        <v>27</v>
      </c>
      <c r="G61" s="7"/>
      <c r="H61" s="7"/>
      <c r="I61" s="7"/>
      <c r="J61" s="8">
        <f t="shared" si="20"/>
        <v>0</v>
      </c>
      <c r="K61" s="9">
        <f t="shared" si="21"/>
        <v>0</v>
      </c>
      <c r="L61" s="9"/>
      <c r="M61" s="9"/>
      <c r="N61" s="9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20"/>
      <c r="Z61" s="20"/>
      <c r="AA61" s="20"/>
    </row>
    <row r="62" spans="1:27" ht="12.75" customHeight="1" x14ac:dyDescent="0.25">
      <c r="A62" s="20">
        <v>330</v>
      </c>
      <c r="B62" s="20" t="s">
        <v>547</v>
      </c>
      <c r="C62" s="17">
        <v>0.71</v>
      </c>
      <c r="D62" s="17">
        <v>0.9</v>
      </c>
      <c r="E62" s="17">
        <v>0.95</v>
      </c>
      <c r="F62" s="6" t="s">
        <v>27</v>
      </c>
      <c r="G62" s="7"/>
      <c r="H62" s="7"/>
      <c r="I62" s="7"/>
      <c r="J62" s="8">
        <f t="shared" si="20"/>
        <v>0</v>
      </c>
      <c r="K62" s="9">
        <f t="shared" si="21"/>
        <v>0</v>
      </c>
      <c r="L62" s="9"/>
      <c r="M62" s="9"/>
      <c r="N62" s="9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20"/>
      <c r="Z62" s="20"/>
      <c r="AA62" s="20"/>
    </row>
    <row r="63" spans="1:27" ht="12.75" customHeight="1" x14ac:dyDescent="0.25">
      <c r="A63" s="20">
        <v>330</v>
      </c>
      <c r="B63" s="20" t="s">
        <v>548</v>
      </c>
      <c r="C63" s="22">
        <v>17.079999999999998</v>
      </c>
      <c r="D63" s="17">
        <v>19</v>
      </c>
      <c r="E63" s="17">
        <v>20</v>
      </c>
      <c r="F63" s="6" t="s">
        <v>27</v>
      </c>
      <c r="G63" s="7"/>
      <c r="H63" s="7"/>
      <c r="I63" s="7">
        <v>2</v>
      </c>
      <c r="J63" s="8">
        <f t="shared" si="20"/>
        <v>2</v>
      </c>
      <c r="K63" s="9">
        <f t="shared" si="21"/>
        <v>34.159999999999997</v>
      </c>
      <c r="L63" s="9"/>
      <c r="M63" s="9"/>
      <c r="N63" s="9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20"/>
      <c r="Z63" s="20"/>
      <c r="AA63" s="20"/>
    </row>
    <row r="64" spans="1:27" ht="12.75" customHeight="1" x14ac:dyDescent="0.25">
      <c r="A64" s="20">
        <v>330</v>
      </c>
      <c r="B64" s="20" t="s">
        <v>549</v>
      </c>
      <c r="C64" s="17">
        <v>6.66</v>
      </c>
      <c r="D64" s="17">
        <v>7.5</v>
      </c>
      <c r="E64" s="17">
        <v>7.5</v>
      </c>
      <c r="F64" s="6" t="s">
        <v>27</v>
      </c>
      <c r="G64" s="7"/>
      <c r="H64" s="7"/>
      <c r="I64" s="7"/>
      <c r="J64" s="8">
        <f t="shared" si="20"/>
        <v>0</v>
      </c>
      <c r="K64" s="9">
        <f t="shared" si="21"/>
        <v>0</v>
      </c>
      <c r="L64" s="9"/>
      <c r="M64" s="9"/>
      <c r="N64" s="9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20"/>
      <c r="Z64" s="20"/>
      <c r="AA64" s="20"/>
    </row>
    <row r="65" spans="1:27" ht="12.75" customHeight="1" x14ac:dyDescent="0.25">
      <c r="A65" s="20">
        <v>330</v>
      </c>
      <c r="B65" s="20" t="s">
        <v>550</v>
      </c>
      <c r="C65" s="17">
        <v>1.1000000000000001</v>
      </c>
      <c r="D65" s="17">
        <v>1.25</v>
      </c>
      <c r="E65" s="17">
        <v>1.5</v>
      </c>
      <c r="F65" s="6" t="s">
        <v>27</v>
      </c>
      <c r="G65" s="7"/>
      <c r="H65" s="7"/>
      <c r="I65" s="7"/>
      <c r="J65" s="8">
        <f t="shared" si="20"/>
        <v>0</v>
      </c>
      <c r="K65" s="9">
        <f t="shared" si="21"/>
        <v>0</v>
      </c>
      <c r="L65" s="9"/>
      <c r="M65" s="9"/>
      <c r="N65" s="9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20"/>
      <c r="Z65" s="20"/>
      <c r="AA65" s="20"/>
    </row>
    <row r="66" spans="1:27" ht="12.75" customHeight="1" x14ac:dyDescent="0.25">
      <c r="A66" s="20">
        <v>330</v>
      </c>
      <c r="B66" s="20" t="s">
        <v>551</v>
      </c>
      <c r="C66" s="17">
        <v>26.51</v>
      </c>
      <c r="D66" s="17">
        <v>28.5</v>
      </c>
      <c r="E66" s="17">
        <v>30</v>
      </c>
      <c r="F66" s="6" t="s">
        <v>27</v>
      </c>
      <c r="G66" s="7"/>
      <c r="H66" s="7"/>
      <c r="I66" s="7">
        <v>5</v>
      </c>
      <c r="J66" s="8">
        <f t="shared" si="20"/>
        <v>5</v>
      </c>
      <c r="K66" s="9">
        <f t="shared" si="21"/>
        <v>132.55000000000001</v>
      </c>
      <c r="L66" s="9"/>
      <c r="M66" s="9"/>
      <c r="N66" s="9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20"/>
      <c r="Z66" s="20"/>
      <c r="AA66" s="20"/>
    </row>
    <row r="67" spans="1:27" ht="12.75" customHeight="1" x14ac:dyDescent="0.25">
      <c r="A67" s="20"/>
      <c r="B67" s="20"/>
      <c r="C67" s="5"/>
      <c r="D67" s="5"/>
      <c r="E67" s="5"/>
      <c r="F67" s="6"/>
      <c r="G67" s="7"/>
      <c r="H67" s="7"/>
      <c r="I67" s="7"/>
      <c r="J67" s="8"/>
      <c r="K67" s="9"/>
      <c r="L67" s="9"/>
      <c r="M67" s="9"/>
      <c r="N67" s="9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20"/>
      <c r="Z67" s="20"/>
      <c r="AA67" s="20"/>
    </row>
    <row r="68" spans="1:27" ht="12.75" customHeight="1" x14ac:dyDescent="0.25">
      <c r="A68" s="20">
        <v>250</v>
      </c>
      <c r="B68" s="20" t="s">
        <v>552</v>
      </c>
      <c r="C68" s="5">
        <v>11.82</v>
      </c>
      <c r="D68" s="5">
        <v>14.5</v>
      </c>
      <c r="E68" s="5">
        <v>15</v>
      </c>
      <c r="F68" s="6" t="s">
        <v>365</v>
      </c>
      <c r="G68" s="7"/>
      <c r="H68" s="7"/>
      <c r="I68" s="7">
        <v>0</v>
      </c>
      <c r="J68" s="8">
        <f t="shared" ref="J68:J71" si="22">SUM(G68:I68)</f>
        <v>0</v>
      </c>
      <c r="K68" s="9">
        <f t="shared" ref="K68:K71" si="23">SUM(C68*J68)</f>
        <v>0</v>
      </c>
      <c r="L68" s="9"/>
      <c r="M68" s="9"/>
      <c r="N68" s="9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20"/>
      <c r="Z68" s="20"/>
      <c r="AA68" s="20"/>
    </row>
    <row r="69" spans="1:27" ht="12.75" customHeight="1" x14ac:dyDescent="0.25">
      <c r="A69" s="20">
        <v>250</v>
      </c>
      <c r="B69" s="20" t="s">
        <v>553</v>
      </c>
      <c r="C69" s="5">
        <v>2.88</v>
      </c>
      <c r="D69" s="5">
        <v>3.75</v>
      </c>
      <c r="E69" s="5">
        <v>3.75</v>
      </c>
      <c r="F69" s="6" t="s">
        <v>365</v>
      </c>
      <c r="G69" s="7"/>
      <c r="H69" s="7"/>
      <c r="I69" s="7"/>
      <c r="J69" s="8">
        <f t="shared" si="22"/>
        <v>0</v>
      </c>
      <c r="K69" s="9">
        <f t="shared" si="23"/>
        <v>0</v>
      </c>
      <c r="L69" s="9"/>
      <c r="M69" s="9"/>
      <c r="N69" s="9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20"/>
      <c r="Z69" s="20"/>
      <c r="AA69" s="20"/>
    </row>
    <row r="70" spans="1:27" ht="12.75" customHeight="1" x14ac:dyDescent="0.25">
      <c r="A70" s="20">
        <v>330</v>
      </c>
      <c r="B70" s="20" t="s">
        <v>554</v>
      </c>
      <c r="C70" s="5">
        <v>14.4</v>
      </c>
      <c r="D70" s="5">
        <v>16.5</v>
      </c>
      <c r="E70" s="5">
        <v>17</v>
      </c>
      <c r="F70" s="6" t="s">
        <v>365</v>
      </c>
      <c r="G70" s="7"/>
      <c r="H70" s="7"/>
      <c r="I70" s="7">
        <v>2</v>
      </c>
      <c r="J70" s="8">
        <f t="shared" si="22"/>
        <v>2</v>
      </c>
      <c r="K70" s="9">
        <f t="shared" si="23"/>
        <v>28.8</v>
      </c>
      <c r="L70" s="9"/>
      <c r="M70" s="9"/>
      <c r="N70" s="9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20"/>
      <c r="Z70" s="20"/>
      <c r="AA70" s="20"/>
    </row>
    <row r="71" spans="1:27" ht="12.75" customHeight="1" x14ac:dyDescent="0.25">
      <c r="A71" s="20">
        <v>330</v>
      </c>
      <c r="B71" s="20" t="s">
        <v>555</v>
      </c>
      <c r="C71" s="5">
        <v>0.6</v>
      </c>
      <c r="D71" s="5">
        <v>0.7</v>
      </c>
      <c r="E71" s="5">
        <v>0.75</v>
      </c>
      <c r="F71" s="6" t="s">
        <v>365</v>
      </c>
      <c r="G71" s="7"/>
      <c r="H71" s="7"/>
      <c r="I71" s="7"/>
      <c r="J71" s="8">
        <f t="shared" si="22"/>
        <v>0</v>
      </c>
      <c r="K71" s="9">
        <f t="shared" si="23"/>
        <v>0</v>
      </c>
      <c r="L71" s="9"/>
      <c r="M71" s="9"/>
      <c r="N71" s="9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20"/>
      <c r="Z71" s="20"/>
      <c r="AA71" s="20"/>
    </row>
    <row r="72" spans="1:27" ht="12.75" customHeight="1" x14ac:dyDescent="0.25">
      <c r="A72" s="20"/>
      <c r="B72" s="20"/>
      <c r="C72" s="5"/>
      <c r="D72" s="5"/>
      <c r="E72" s="5"/>
      <c r="F72" s="6"/>
      <c r="G72" s="54"/>
      <c r="H72" s="54"/>
      <c r="I72" s="7"/>
      <c r="J72" s="9"/>
      <c r="K72" s="21"/>
      <c r="L72" s="9"/>
      <c r="M72" s="9"/>
      <c r="N72" s="9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20"/>
      <c r="Z72" s="20"/>
      <c r="AA72" s="20"/>
    </row>
    <row r="73" spans="1:27" ht="12.75" customHeight="1" x14ac:dyDescent="0.25">
      <c r="A73" s="20"/>
      <c r="B73" s="20"/>
      <c r="C73" s="5"/>
      <c r="D73" s="5"/>
      <c r="E73" s="5"/>
      <c r="F73" s="6"/>
      <c r="G73" s="54"/>
      <c r="H73" s="54"/>
      <c r="I73" s="7"/>
      <c r="J73" s="9"/>
      <c r="K73" s="21"/>
      <c r="L73" s="9"/>
      <c r="M73" s="9"/>
      <c r="N73" s="9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20"/>
      <c r="Z73" s="20"/>
      <c r="AA73" s="20"/>
    </row>
    <row r="74" spans="1:27" ht="12.75" customHeight="1" x14ac:dyDescent="0.25">
      <c r="A74" s="20">
        <v>440</v>
      </c>
      <c r="B74" s="20" t="s">
        <v>556</v>
      </c>
      <c r="C74" s="17">
        <v>1.28</v>
      </c>
      <c r="D74" s="17">
        <v>1.75</v>
      </c>
      <c r="E74" s="17">
        <v>1.95</v>
      </c>
      <c r="F74" s="6" t="s">
        <v>499</v>
      </c>
      <c r="G74" s="54"/>
      <c r="H74" s="54"/>
      <c r="I74" s="7"/>
      <c r="J74" s="8">
        <f t="shared" ref="J74:J77" si="24">SUM(G74:I74)</f>
        <v>0</v>
      </c>
      <c r="K74" s="9">
        <f t="shared" ref="K74:K77" si="25">SUM(C74*J74)</f>
        <v>0</v>
      </c>
      <c r="L74" s="9"/>
      <c r="M74" s="9"/>
      <c r="N74" s="9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20"/>
      <c r="Z74" s="20"/>
      <c r="AA74" s="20"/>
    </row>
    <row r="75" spans="1:27" ht="12.75" customHeight="1" x14ac:dyDescent="0.25">
      <c r="A75" s="20">
        <v>440</v>
      </c>
      <c r="B75" s="20" t="s">
        <v>557</v>
      </c>
      <c r="C75" s="17">
        <v>30.85</v>
      </c>
      <c r="D75" s="17">
        <v>37</v>
      </c>
      <c r="E75" s="17">
        <v>38</v>
      </c>
      <c r="F75" s="6" t="s">
        <v>499</v>
      </c>
      <c r="G75" s="7"/>
      <c r="H75" s="7"/>
      <c r="I75" s="7">
        <v>4</v>
      </c>
      <c r="J75" s="8">
        <f t="shared" si="24"/>
        <v>4</v>
      </c>
      <c r="K75" s="9">
        <f t="shared" si="25"/>
        <v>123.4</v>
      </c>
      <c r="L75" s="9"/>
      <c r="M75" s="9"/>
      <c r="N75" s="9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20"/>
      <c r="Z75" s="20"/>
      <c r="AA75" s="20"/>
    </row>
    <row r="76" spans="1:27" ht="12.75" customHeight="1" x14ac:dyDescent="0.25">
      <c r="A76" s="20">
        <v>440</v>
      </c>
      <c r="B76" s="20" t="s">
        <v>558</v>
      </c>
      <c r="C76" s="17">
        <v>1.7000000000000002</v>
      </c>
      <c r="D76" s="17">
        <v>1.9500000000000002</v>
      </c>
      <c r="E76" s="17">
        <v>1.9500000000000002</v>
      </c>
      <c r="F76" s="6" t="s">
        <v>508</v>
      </c>
      <c r="G76" s="7"/>
      <c r="H76" s="7"/>
      <c r="I76" s="7"/>
      <c r="J76" s="8">
        <f t="shared" si="24"/>
        <v>0</v>
      </c>
      <c r="K76" s="9">
        <f t="shared" si="25"/>
        <v>0</v>
      </c>
      <c r="L76" s="9"/>
      <c r="M76" s="9"/>
      <c r="N76" s="9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20"/>
      <c r="Z76" s="20"/>
      <c r="AA76" s="20"/>
    </row>
    <row r="77" spans="1:27" ht="12.75" customHeight="1" x14ac:dyDescent="0.25">
      <c r="A77" s="20">
        <v>440</v>
      </c>
      <c r="B77" s="20" t="s">
        <v>559</v>
      </c>
      <c r="C77" s="17">
        <v>40.65</v>
      </c>
      <c r="D77" s="17">
        <v>44</v>
      </c>
      <c r="E77" s="17">
        <v>44</v>
      </c>
      <c r="F77" s="6" t="s">
        <v>508</v>
      </c>
      <c r="G77" s="7"/>
      <c r="H77" s="7"/>
      <c r="I77" s="7"/>
      <c r="J77" s="8">
        <f t="shared" si="24"/>
        <v>0</v>
      </c>
      <c r="K77" s="9">
        <f t="shared" si="25"/>
        <v>0</v>
      </c>
      <c r="L77" s="9"/>
      <c r="M77" s="9"/>
      <c r="N77" s="9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20"/>
      <c r="Z77" s="20"/>
      <c r="AA77" s="20"/>
    </row>
    <row r="78" spans="1:27" ht="12.75" customHeight="1" x14ac:dyDescent="0.25">
      <c r="A78" s="20"/>
      <c r="B78" s="20"/>
      <c r="C78" s="5"/>
      <c r="D78" s="5"/>
      <c r="E78" s="5"/>
      <c r="F78" s="6"/>
      <c r="G78" s="7"/>
      <c r="H78" s="7"/>
      <c r="I78" s="7"/>
      <c r="J78" s="8"/>
      <c r="K78" s="9"/>
      <c r="L78" s="9"/>
      <c r="M78" s="9"/>
      <c r="N78" s="9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20"/>
      <c r="Z78" s="20"/>
      <c r="AA78" s="20"/>
    </row>
    <row r="79" spans="1:27" ht="12.75" customHeight="1" x14ac:dyDescent="0.25">
      <c r="A79" s="20">
        <v>330</v>
      </c>
      <c r="B79" s="20" t="s">
        <v>560</v>
      </c>
      <c r="C79" s="17">
        <v>0.91</v>
      </c>
      <c r="D79" s="17">
        <v>1.3</v>
      </c>
      <c r="E79" s="17">
        <v>1.5</v>
      </c>
      <c r="F79" s="6" t="s">
        <v>499</v>
      </c>
      <c r="G79" s="7"/>
      <c r="H79" s="7"/>
      <c r="I79" s="7"/>
      <c r="J79" s="8">
        <f t="shared" ref="J79:J88" si="26">SUM(G79:I79)</f>
        <v>0</v>
      </c>
      <c r="K79" s="9">
        <f t="shared" ref="K79:K88" si="27">SUM(C79*J79)</f>
        <v>0</v>
      </c>
      <c r="L79" s="9"/>
      <c r="M79" s="9"/>
      <c r="N79" s="9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20"/>
      <c r="Z79" s="20"/>
      <c r="AA79" s="20"/>
    </row>
    <row r="80" spans="1:27" ht="12.75" customHeight="1" x14ac:dyDescent="0.25">
      <c r="A80" s="20">
        <v>330</v>
      </c>
      <c r="B80" s="20" t="s">
        <v>561</v>
      </c>
      <c r="C80" s="17">
        <v>21.75</v>
      </c>
      <c r="D80" s="17">
        <v>25</v>
      </c>
      <c r="E80" s="17">
        <v>26</v>
      </c>
      <c r="F80" s="6" t="s">
        <v>499</v>
      </c>
      <c r="G80" s="54"/>
      <c r="H80" s="54"/>
      <c r="I80" s="7">
        <v>6</v>
      </c>
      <c r="J80" s="8">
        <f t="shared" si="26"/>
        <v>6</v>
      </c>
      <c r="K80" s="9">
        <f t="shared" si="27"/>
        <v>130.5</v>
      </c>
      <c r="L80" s="9"/>
      <c r="M80" s="9"/>
      <c r="N80" s="9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20"/>
      <c r="Z80" s="20"/>
      <c r="AA80" s="20"/>
    </row>
    <row r="81" spans="1:27" ht="12.75" customHeight="1" x14ac:dyDescent="0.25">
      <c r="A81" s="20">
        <v>330</v>
      </c>
      <c r="B81" s="20" t="s">
        <v>562</v>
      </c>
      <c r="C81" s="17">
        <v>0.57999999999999996</v>
      </c>
      <c r="D81" s="17">
        <v>0.8</v>
      </c>
      <c r="E81" s="17">
        <v>0.95</v>
      </c>
      <c r="F81" s="6" t="s">
        <v>499</v>
      </c>
      <c r="G81" s="54"/>
      <c r="H81" s="54"/>
      <c r="I81" s="7"/>
      <c r="J81" s="8">
        <f t="shared" si="26"/>
        <v>0</v>
      </c>
      <c r="K81" s="9">
        <f t="shared" si="27"/>
        <v>0</v>
      </c>
      <c r="L81" s="9"/>
      <c r="M81" s="9"/>
      <c r="N81" s="9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20"/>
      <c r="Z81" s="20"/>
      <c r="AA81" s="20"/>
    </row>
    <row r="82" spans="1:27" ht="12.75" customHeight="1" x14ac:dyDescent="0.25">
      <c r="A82" s="20">
        <v>330</v>
      </c>
      <c r="B82" s="20" t="s">
        <v>563</v>
      </c>
      <c r="C82" s="17">
        <v>14.07</v>
      </c>
      <c r="D82" s="17">
        <v>18</v>
      </c>
      <c r="E82" s="17">
        <v>19</v>
      </c>
      <c r="F82" s="6" t="s">
        <v>499</v>
      </c>
      <c r="G82" s="54"/>
      <c r="H82" s="54"/>
      <c r="I82" s="7">
        <v>2</v>
      </c>
      <c r="J82" s="8">
        <f t="shared" si="26"/>
        <v>2</v>
      </c>
      <c r="K82" s="9">
        <f t="shared" si="27"/>
        <v>28.14</v>
      </c>
      <c r="L82" s="9"/>
      <c r="M82" s="9"/>
      <c r="N82" s="9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20"/>
      <c r="Z82" s="20"/>
      <c r="AA82" s="20"/>
    </row>
    <row r="83" spans="1:27" ht="12.75" customHeight="1" x14ac:dyDescent="0.25">
      <c r="A83" s="20">
        <v>330</v>
      </c>
      <c r="B83" s="20" t="s">
        <v>564</v>
      </c>
      <c r="C83" s="17">
        <v>7.03</v>
      </c>
      <c r="D83" s="17">
        <v>9</v>
      </c>
      <c r="E83" s="17">
        <v>9</v>
      </c>
      <c r="F83" s="6" t="s">
        <v>499</v>
      </c>
      <c r="G83" s="54"/>
      <c r="H83" s="54"/>
      <c r="I83" s="7"/>
      <c r="J83" s="8">
        <f t="shared" si="26"/>
        <v>0</v>
      </c>
      <c r="K83" s="9">
        <f t="shared" si="27"/>
        <v>0</v>
      </c>
      <c r="L83" s="9"/>
      <c r="M83" s="9"/>
      <c r="N83" s="9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20"/>
      <c r="Z83" s="20"/>
      <c r="AA83" s="20"/>
    </row>
    <row r="84" spans="1:27" ht="12.75" customHeight="1" x14ac:dyDescent="0.25">
      <c r="A84" s="20">
        <v>500</v>
      </c>
      <c r="B84" s="20" t="s">
        <v>565</v>
      </c>
      <c r="C84" s="17">
        <v>0.76</v>
      </c>
      <c r="D84" s="17">
        <v>1.1000000000000001</v>
      </c>
      <c r="E84" s="17">
        <v>1.3</v>
      </c>
      <c r="F84" s="6" t="s">
        <v>27</v>
      </c>
      <c r="G84" s="54"/>
      <c r="H84" s="54"/>
      <c r="I84" s="7"/>
      <c r="J84" s="8">
        <f t="shared" si="26"/>
        <v>0</v>
      </c>
      <c r="K84" s="9">
        <f t="shared" si="27"/>
        <v>0</v>
      </c>
      <c r="L84" s="9"/>
      <c r="M84" s="9"/>
      <c r="N84" s="9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20"/>
      <c r="Z84" s="20"/>
      <c r="AA84" s="20"/>
    </row>
    <row r="85" spans="1:27" ht="12.75" customHeight="1" x14ac:dyDescent="0.25">
      <c r="A85" s="20">
        <v>500</v>
      </c>
      <c r="B85" s="20" t="s">
        <v>566</v>
      </c>
      <c r="C85" s="17">
        <v>18.149999999999999</v>
      </c>
      <c r="D85" s="17">
        <v>25</v>
      </c>
      <c r="E85" s="17">
        <v>25</v>
      </c>
      <c r="F85" s="6" t="s">
        <v>27</v>
      </c>
      <c r="G85" s="54"/>
      <c r="H85" s="54"/>
      <c r="I85" s="7">
        <v>0</v>
      </c>
      <c r="J85" s="8">
        <f t="shared" si="26"/>
        <v>0</v>
      </c>
      <c r="K85" s="9">
        <f t="shared" si="27"/>
        <v>0</v>
      </c>
      <c r="L85" s="9"/>
      <c r="M85" s="9"/>
      <c r="N85" s="9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20"/>
      <c r="Z85" s="20"/>
      <c r="AA85" s="20"/>
    </row>
    <row r="86" spans="1:27" ht="12.75" customHeight="1" x14ac:dyDescent="0.25">
      <c r="A86" s="20">
        <v>330</v>
      </c>
      <c r="B86" s="20" t="s">
        <v>567</v>
      </c>
      <c r="C86" s="17">
        <v>0.68</v>
      </c>
      <c r="D86" s="17">
        <v>0.9</v>
      </c>
      <c r="E86" s="17">
        <v>0.9</v>
      </c>
      <c r="F86" s="6" t="s">
        <v>499</v>
      </c>
      <c r="G86" s="54"/>
      <c r="H86" s="54"/>
      <c r="I86" s="7"/>
      <c r="J86" s="8">
        <f t="shared" si="26"/>
        <v>0</v>
      </c>
      <c r="K86" s="9">
        <f t="shared" si="27"/>
        <v>0</v>
      </c>
      <c r="L86" s="9"/>
      <c r="M86" s="9"/>
      <c r="N86" s="9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20"/>
      <c r="Z86" s="20"/>
      <c r="AA86" s="20"/>
    </row>
    <row r="87" spans="1:27" ht="12.75" customHeight="1" x14ac:dyDescent="0.25">
      <c r="A87" s="20">
        <v>330</v>
      </c>
      <c r="B87" s="20" t="s">
        <v>568</v>
      </c>
      <c r="C87" s="17">
        <v>8.1999999999999993</v>
      </c>
      <c r="D87" s="17">
        <v>10</v>
      </c>
      <c r="E87" s="17">
        <v>10.5</v>
      </c>
      <c r="F87" s="6" t="s">
        <v>499</v>
      </c>
      <c r="G87" s="54"/>
      <c r="H87" s="54"/>
      <c r="I87" s="7"/>
      <c r="J87" s="8">
        <f t="shared" si="26"/>
        <v>0</v>
      </c>
      <c r="K87" s="9">
        <f t="shared" si="27"/>
        <v>0</v>
      </c>
      <c r="L87" s="9"/>
      <c r="M87" s="9"/>
      <c r="N87" s="9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20"/>
      <c r="Z87" s="20"/>
      <c r="AA87" s="20"/>
    </row>
    <row r="88" spans="1:27" ht="12.75" customHeight="1" x14ac:dyDescent="0.25">
      <c r="A88" s="20">
        <v>330</v>
      </c>
      <c r="B88" s="20" t="s">
        <v>569</v>
      </c>
      <c r="C88" s="17">
        <v>16.39</v>
      </c>
      <c r="D88" s="17">
        <v>20</v>
      </c>
      <c r="E88" s="17">
        <v>21</v>
      </c>
      <c r="F88" s="6" t="s">
        <v>499</v>
      </c>
      <c r="G88" s="54"/>
      <c r="H88" s="54"/>
      <c r="I88" s="7"/>
      <c r="J88" s="8">
        <f t="shared" si="26"/>
        <v>0</v>
      </c>
      <c r="K88" s="9">
        <f t="shared" si="27"/>
        <v>0</v>
      </c>
      <c r="L88" s="9"/>
      <c r="M88" s="9"/>
      <c r="N88" s="9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20"/>
      <c r="Z88" s="20"/>
      <c r="AA88" s="20"/>
    </row>
    <row r="89" spans="1:27" ht="12.75" customHeight="1" x14ac:dyDescent="0.25">
      <c r="A89" s="20"/>
      <c r="B89" s="20"/>
      <c r="C89" s="5"/>
      <c r="D89" s="5"/>
      <c r="E89" s="5"/>
      <c r="F89" s="6"/>
      <c r="G89" s="54"/>
      <c r="H89" s="54"/>
      <c r="I89" s="7"/>
      <c r="J89" s="9"/>
      <c r="K89" s="9"/>
      <c r="L89" s="9"/>
      <c r="M89" s="9"/>
      <c r="N89" s="9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20"/>
      <c r="Z89" s="20"/>
      <c r="AA89" s="20"/>
    </row>
    <row r="90" spans="1:27" ht="12.75" customHeight="1" x14ac:dyDescent="0.25">
      <c r="A90" s="20">
        <v>500</v>
      </c>
      <c r="B90" s="20" t="s">
        <v>570</v>
      </c>
      <c r="C90" s="17">
        <v>1.22</v>
      </c>
      <c r="D90" s="17">
        <v>1.5</v>
      </c>
      <c r="E90" s="17">
        <v>1.6</v>
      </c>
      <c r="F90" s="6" t="s">
        <v>499</v>
      </c>
      <c r="G90" s="54"/>
      <c r="H90" s="54"/>
      <c r="I90" s="7"/>
      <c r="J90" s="8">
        <f t="shared" ref="J90:J91" si="28">SUM(G90:I90)</f>
        <v>0</v>
      </c>
      <c r="K90" s="9">
        <f t="shared" ref="K90:K91" si="29">SUM(C90*J90)</f>
        <v>0</v>
      </c>
      <c r="L90" s="9"/>
      <c r="M90" s="9"/>
      <c r="N90" s="9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20"/>
      <c r="Z90" s="20"/>
      <c r="AA90" s="20"/>
    </row>
    <row r="91" spans="1:27" ht="12.75" customHeight="1" x14ac:dyDescent="0.25">
      <c r="A91" s="20">
        <v>500</v>
      </c>
      <c r="B91" s="20" t="s">
        <v>571</v>
      </c>
      <c r="C91" s="17">
        <v>29.28</v>
      </c>
      <c r="D91" s="17">
        <v>33.5</v>
      </c>
      <c r="E91" s="17">
        <v>37</v>
      </c>
      <c r="F91" s="6" t="s">
        <v>499</v>
      </c>
      <c r="G91" s="54"/>
      <c r="H91" s="54"/>
      <c r="I91" s="7">
        <v>6</v>
      </c>
      <c r="J91" s="8">
        <f t="shared" si="28"/>
        <v>6</v>
      </c>
      <c r="K91" s="9">
        <f t="shared" si="29"/>
        <v>175.68</v>
      </c>
      <c r="L91" s="9"/>
      <c r="M91" s="9"/>
      <c r="N91" s="9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20"/>
      <c r="Z91" s="20"/>
      <c r="AA91" s="20"/>
    </row>
    <row r="92" spans="1:27" ht="12.75" customHeight="1" x14ac:dyDescent="0.25">
      <c r="A92" s="20"/>
      <c r="B92" s="20"/>
      <c r="C92" s="5"/>
      <c r="D92" s="5"/>
      <c r="E92" s="5"/>
      <c r="F92" s="6"/>
      <c r="G92" s="54"/>
      <c r="H92" s="54"/>
      <c r="I92" s="7"/>
      <c r="J92" s="9"/>
      <c r="K92" s="9"/>
      <c r="L92" s="9"/>
      <c r="M92" s="9"/>
      <c r="N92" s="9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20"/>
      <c r="Z92" s="20"/>
      <c r="AA92" s="20"/>
    </row>
    <row r="93" spans="1:27" ht="17.25" customHeight="1" x14ac:dyDescent="0.25">
      <c r="A93" s="35" t="s">
        <v>30</v>
      </c>
      <c r="B93" s="20" t="s">
        <v>572</v>
      </c>
      <c r="C93" s="17">
        <v>1.4</v>
      </c>
      <c r="D93" s="17">
        <v>1.7000000000000002</v>
      </c>
      <c r="E93" s="17">
        <v>1.8</v>
      </c>
      <c r="F93" s="6" t="s">
        <v>505</v>
      </c>
      <c r="G93" s="54"/>
      <c r="H93" s="54"/>
      <c r="I93" s="7"/>
      <c r="J93" s="8">
        <f t="shared" ref="J93:J97" si="30">SUM(G93:I93)</f>
        <v>0</v>
      </c>
      <c r="K93" s="9">
        <f t="shared" ref="K93:K97" si="31">SUM(C93*J93)</f>
        <v>0</v>
      </c>
      <c r="L93" s="9"/>
      <c r="M93" s="9"/>
      <c r="N93" s="9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20"/>
      <c r="Z93" s="20"/>
      <c r="AA93" s="20"/>
    </row>
    <row r="94" spans="1:27" ht="12.75" customHeight="1" x14ac:dyDescent="0.25">
      <c r="A94" s="20">
        <v>330</v>
      </c>
      <c r="B94" s="20" t="s">
        <v>573</v>
      </c>
      <c r="C94" s="22">
        <v>0.53</v>
      </c>
      <c r="D94" s="22">
        <v>0.75</v>
      </c>
      <c r="E94" s="22">
        <v>0.85</v>
      </c>
      <c r="F94" s="6" t="s">
        <v>505</v>
      </c>
      <c r="G94" s="54"/>
      <c r="H94" s="54"/>
      <c r="I94" s="7"/>
      <c r="J94" s="8">
        <f t="shared" si="30"/>
        <v>0</v>
      </c>
      <c r="K94" s="9">
        <f t="shared" si="31"/>
        <v>0</v>
      </c>
      <c r="L94" s="9"/>
      <c r="M94" s="9"/>
      <c r="N94" s="9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20"/>
      <c r="Z94" s="20"/>
      <c r="AA94" s="20"/>
    </row>
    <row r="95" spans="1:27" ht="12.75" customHeight="1" x14ac:dyDescent="0.25">
      <c r="A95" s="20">
        <v>330</v>
      </c>
      <c r="B95" s="20" t="s">
        <v>574</v>
      </c>
      <c r="C95" s="22">
        <v>12.73</v>
      </c>
      <c r="D95" s="22">
        <v>15</v>
      </c>
      <c r="E95" s="22">
        <v>17</v>
      </c>
      <c r="F95" s="6" t="s">
        <v>505</v>
      </c>
      <c r="G95" s="54"/>
      <c r="H95" s="54"/>
      <c r="I95" s="7">
        <v>6</v>
      </c>
      <c r="J95" s="8">
        <f t="shared" si="30"/>
        <v>6</v>
      </c>
      <c r="K95" s="9">
        <f t="shared" si="31"/>
        <v>76.38</v>
      </c>
      <c r="L95" s="10"/>
      <c r="M95" s="9"/>
      <c r="N95" s="9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20"/>
      <c r="Z95" s="20"/>
      <c r="AA95" s="20"/>
    </row>
    <row r="96" spans="1:27" ht="12.75" customHeight="1" x14ac:dyDescent="0.25">
      <c r="A96" s="20">
        <v>330</v>
      </c>
      <c r="B96" s="20" t="s">
        <v>575</v>
      </c>
      <c r="C96" s="22">
        <v>6.36</v>
      </c>
      <c r="D96" s="22">
        <v>8.5</v>
      </c>
      <c r="E96" s="22">
        <v>8.5</v>
      </c>
      <c r="F96" s="6" t="s">
        <v>505</v>
      </c>
      <c r="G96" s="54"/>
      <c r="H96" s="54"/>
      <c r="I96" s="7"/>
      <c r="J96" s="8">
        <f t="shared" si="30"/>
        <v>0</v>
      </c>
      <c r="K96" s="9">
        <f t="shared" si="31"/>
        <v>0</v>
      </c>
      <c r="L96" s="10"/>
      <c r="M96" s="9"/>
      <c r="N96" s="9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20"/>
      <c r="Z96" s="20"/>
      <c r="AA96" s="20"/>
    </row>
    <row r="97" spans="1:27" ht="12.75" customHeight="1" x14ac:dyDescent="0.25">
      <c r="A97" s="20">
        <v>500</v>
      </c>
      <c r="B97" s="20" t="s">
        <v>576</v>
      </c>
      <c r="C97" s="22">
        <v>0.86</v>
      </c>
      <c r="D97" s="22">
        <v>1.3</v>
      </c>
      <c r="E97" s="22">
        <v>1.3</v>
      </c>
      <c r="F97" s="6" t="s">
        <v>505</v>
      </c>
      <c r="G97" s="54"/>
      <c r="H97" s="54"/>
      <c r="I97" s="7"/>
      <c r="J97" s="8">
        <f t="shared" si="30"/>
        <v>0</v>
      </c>
      <c r="K97" s="9">
        <f t="shared" si="31"/>
        <v>0</v>
      </c>
      <c r="L97" s="10"/>
      <c r="M97" s="9"/>
      <c r="N97" s="9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20"/>
      <c r="Z97" s="20"/>
      <c r="AA97" s="20"/>
    </row>
    <row r="98" spans="1:27" ht="12.75" customHeight="1" x14ac:dyDescent="0.25">
      <c r="A98" s="20">
        <v>500</v>
      </c>
      <c r="B98" s="20" t="s">
        <v>577</v>
      </c>
      <c r="C98" s="17">
        <v>20.73</v>
      </c>
      <c r="D98" s="17">
        <v>24</v>
      </c>
      <c r="E98" s="17">
        <v>25</v>
      </c>
      <c r="F98" s="6" t="s">
        <v>505</v>
      </c>
      <c r="G98" s="54"/>
      <c r="H98" s="54"/>
      <c r="I98" s="7">
        <v>1</v>
      </c>
      <c r="J98" s="8"/>
      <c r="K98" s="9"/>
      <c r="L98" s="10"/>
      <c r="M98" s="9"/>
      <c r="N98" s="9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20"/>
      <c r="Z98" s="20"/>
      <c r="AA98" s="20"/>
    </row>
    <row r="99" spans="1:27" ht="12.75" customHeight="1" x14ac:dyDescent="0.25">
      <c r="A99" s="20">
        <v>330</v>
      </c>
      <c r="B99" s="20" t="s">
        <v>578</v>
      </c>
      <c r="C99" s="17">
        <v>27.18</v>
      </c>
      <c r="D99" s="17">
        <v>29</v>
      </c>
      <c r="E99" s="17">
        <v>32</v>
      </c>
      <c r="F99" s="6" t="s">
        <v>505</v>
      </c>
      <c r="G99" s="54"/>
      <c r="H99" s="54"/>
      <c r="I99" s="7">
        <v>6</v>
      </c>
      <c r="J99" s="8">
        <f t="shared" ref="J99:J106" si="32">SUM(G99:I99)</f>
        <v>6</v>
      </c>
      <c r="K99" s="9">
        <f t="shared" ref="K99:K106" si="33">SUM(C99*J99)</f>
        <v>163.07999999999998</v>
      </c>
      <c r="L99" s="10"/>
      <c r="M99" s="9"/>
      <c r="N99" s="9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20"/>
      <c r="Z99" s="20"/>
      <c r="AA99" s="20"/>
    </row>
    <row r="100" spans="1:27" ht="12.75" customHeight="1" x14ac:dyDescent="0.25">
      <c r="A100" s="20">
        <v>330</v>
      </c>
      <c r="B100" s="20" t="s">
        <v>579</v>
      </c>
      <c r="C100" s="28">
        <v>1.1299999999999999</v>
      </c>
      <c r="D100" s="28">
        <v>1.4</v>
      </c>
      <c r="E100" s="28">
        <v>1.5</v>
      </c>
      <c r="F100" s="6" t="s">
        <v>505</v>
      </c>
      <c r="G100" s="54"/>
      <c r="H100" s="54"/>
      <c r="I100" s="7"/>
      <c r="J100" s="8">
        <f t="shared" si="32"/>
        <v>0</v>
      </c>
      <c r="K100" s="9">
        <f t="shared" si="33"/>
        <v>0</v>
      </c>
      <c r="L100" s="10"/>
      <c r="M100" s="9"/>
      <c r="N100" s="9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20"/>
      <c r="Z100" s="20"/>
      <c r="AA100" s="20"/>
    </row>
    <row r="101" spans="1:27" ht="12.75" customHeight="1" x14ac:dyDescent="0.25">
      <c r="A101" s="20">
        <v>330</v>
      </c>
      <c r="B101" s="20" t="s">
        <v>580</v>
      </c>
      <c r="C101" s="22">
        <v>0.51</v>
      </c>
      <c r="D101" s="22">
        <v>0.7</v>
      </c>
      <c r="E101" s="22">
        <v>0.7</v>
      </c>
      <c r="F101" s="6" t="s">
        <v>505</v>
      </c>
      <c r="G101" s="54"/>
      <c r="H101" s="54"/>
      <c r="I101" s="7"/>
      <c r="J101" s="8">
        <f t="shared" si="32"/>
        <v>0</v>
      </c>
      <c r="K101" s="9">
        <f t="shared" si="33"/>
        <v>0</v>
      </c>
      <c r="L101" s="9"/>
      <c r="M101" s="9"/>
      <c r="N101" s="9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20"/>
      <c r="Z101" s="20"/>
      <c r="AA101" s="20"/>
    </row>
    <row r="102" spans="1:27" ht="12.75" customHeight="1" x14ac:dyDescent="0.25">
      <c r="A102" s="20">
        <v>330</v>
      </c>
      <c r="B102" s="20" t="s">
        <v>581</v>
      </c>
      <c r="C102" s="22">
        <v>5.93</v>
      </c>
      <c r="D102" s="22">
        <v>8</v>
      </c>
      <c r="E102" s="22">
        <v>8</v>
      </c>
      <c r="F102" s="6" t="s">
        <v>505</v>
      </c>
      <c r="G102" s="54"/>
      <c r="H102" s="54"/>
      <c r="I102" s="7"/>
      <c r="J102" s="8">
        <f t="shared" si="32"/>
        <v>0</v>
      </c>
      <c r="K102" s="9">
        <f t="shared" si="33"/>
        <v>0</v>
      </c>
      <c r="L102" s="9"/>
      <c r="M102" s="9"/>
      <c r="N102" s="9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20"/>
      <c r="Z102" s="20"/>
      <c r="AA102" s="20"/>
    </row>
    <row r="103" spans="1:27" ht="12.75" customHeight="1" x14ac:dyDescent="0.25">
      <c r="A103" s="20">
        <v>330</v>
      </c>
      <c r="B103" s="20" t="s">
        <v>582</v>
      </c>
      <c r="C103" s="22">
        <v>12.22</v>
      </c>
      <c r="D103" s="22">
        <v>14.5</v>
      </c>
      <c r="E103" s="22">
        <v>15</v>
      </c>
      <c r="F103" s="6" t="s">
        <v>505</v>
      </c>
      <c r="G103" s="54"/>
      <c r="H103" s="54"/>
      <c r="I103" s="7">
        <v>5</v>
      </c>
      <c r="J103" s="8">
        <f t="shared" si="32"/>
        <v>5</v>
      </c>
      <c r="K103" s="9">
        <f t="shared" si="33"/>
        <v>61.1</v>
      </c>
      <c r="L103" s="9"/>
      <c r="M103" s="9"/>
      <c r="N103" s="9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20"/>
      <c r="Z103" s="20"/>
      <c r="AA103" s="20"/>
    </row>
    <row r="104" spans="1:27" ht="12.75" customHeight="1" x14ac:dyDescent="0.25">
      <c r="A104" s="20">
        <v>500</v>
      </c>
      <c r="B104" s="20" t="s">
        <v>583</v>
      </c>
      <c r="C104" s="17">
        <v>0.74</v>
      </c>
      <c r="D104" s="17">
        <v>0.9</v>
      </c>
      <c r="E104" s="17">
        <v>0.9</v>
      </c>
      <c r="F104" s="6" t="s">
        <v>505</v>
      </c>
      <c r="G104" s="54"/>
      <c r="H104" s="54"/>
      <c r="I104" s="7" t="s">
        <v>63</v>
      </c>
      <c r="J104" s="8">
        <f t="shared" si="32"/>
        <v>0</v>
      </c>
      <c r="K104" s="9">
        <f t="shared" si="33"/>
        <v>0</v>
      </c>
      <c r="L104" s="9"/>
      <c r="M104" s="9"/>
      <c r="N104" s="9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20"/>
      <c r="Z104" s="20"/>
      <c r="AA104" s="20"/>
    </row>
    <row r="105" spans="1:27" ht="12.75" customHeight="1" x14ac:dyDescent="0.25">
      <c r="A105" s="20">
        <v>500</v>
      </c>
      <c r="B105" s="20" t="s">
        <v>584</v>
      </c>
      <c r="C105" s="17">
        <v>17.78</v>
      </c>
      <c r="D105" s="17">
        <v>20</v>
      </c>
      <c r="E105" s="17">
        <v>22</v>
      </c>
      <c r="F105" s="6" t="s">
        <v>505</v>
      </c>
      <c r="G105" s="54"/>
      <c r="H105" s="54"/>
      <c r="I105" s="7">
        <v>6</v>
      </c>
      <c r="J105" s="8">
        <f t="shared" si="32"/>
        <v>6</v>
      </c>
      <c r="K105" s="9">
        <f t="shared" si="33"/>
        <v>106.68</v>
      </c>
      <c r="L105" s="9"/>
      <c r="M105" s="9"/>
      <c r="N105" s="9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20"/>
      <c r="Z105" s="20"/>
      <c r="AA105" s="20"/>
    </row>
    <row r="106" spans="1:27" ht="12.75" customHeight="1" x14ac:dyDescent="0.25">
      <c r="A106" s="20">
        <v>330</v>
      </c>
      <c r="B106" s="20" t="s">
        <v>585</v>
      </c>
      <c r="C106" s="22">
        <v>0.63</v>
      </c>
      <c r="D106" s="22">
        <v>0.85</v>
      </c>
      <c r="E106" s="22">
        <v>0.85</v>
      </c>
      <c r="F106" s="6" t="s">
        <v>505</v>
      </c>
      <c r="G106" s="54"/>
      <c r="H106" s="54"/>
      <c r="I106" s="7"/>
      <c r="J106" s="8">
        <f t="shared" si="32"/>
        <v>0</v>
      </c>
      <c r="K106" s="9">
        <f t="shared" si="33"/>
        <v>0</v>
      </c>
      <c r="L106" s="9"/>
      <c r="M106" s="9"/>
      <c r="N106" s="9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20"/>
      <c r="Z106" s="20"/>
      <c r="AA106" s="20"/>
    </row>
    <row r="107" spans="1:27" ht="12.75" customHeight="1" x14ac:dyDescent="0.25">
      <c r="A107" s="20"/>
      <c r="B107" s="20"/>
      <c r="C107" s="17"/>
      <c r="D107" s="17"/>
      <c r="E107" s="17"/>
      <c r="F107" s="6"/>
      <c r="G107" s="54"/>
      <c r="H107" s="54"/>
      <c r="I107" s="7"/>
      <c r="J107" s="9"/>
      <c r="K107" s="21"/>
      <c r="L107" s="9"/>
      <c r="M107" s="9"/>
      <c r="N107" s="9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20"/>
      <c r="Z107" s="20"/>
      <c r="AA107" s="20"/>
    </row>
    <row r="108" spans="1:27" ht="12.75" customHeight="1" x14ac:dyDescent="0.25">
      <c r="A108" s="20"/>
      <c r="B108" s="20"/>
      <c r="C108" s="24"/>
      <c r="D108" s="24"/>
      <c r="E108" s="5"/>
      <c r="F108" s="6"/>
      <c r="G108" s="54"/>
      <c r="H108" s="54"/>
      <c r="I108" s="7"/>
      <c r="J108" s="9"/>
      <c r="K108" s="21"/>
      <c r="L108" s="9"/>
      <c r="M108" s="9"/>
      <c r="N108" s="9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20"/>
      <c r="Z108" s="20"/>
      <c r="AA108" s="20"/>
    </row>
    <row r="109" spans="1:27" ht="12.75" customHeight="1" x14ac:dyDescent="0.25">
      <c r="A109" s="20">
        <v>330</v>
      </c>
      <c r="B109" s="20" t="s">
        <v>586</v>
      </c>
      <c r="C109" s="76"/>
      <c r="D109" s="75">
        <v>30</v>
      </c>
      <c r="E109" s="75">
        <v>32</v>
      </c>
      <c r="F109" s="6" t="s">
        <v>511</v>
      </c>
      <c r="G109" s="54"/>
      <c r="H109" s="54"/>
      <c r="I109" s="7">
        <v>0</v>
      </c>
      <c r="J109" s="8">
        <f t="shared" ref="J109:J110" si="34">SUM(G109:I109)</f>
        <v>0</v>
      </c>
      <c r="K109" s="9">
        <f t="shared" ref="K109:K110" si="35">SUM(C109*J109)</f>
        <v>0</v>
      </c>
      <c r="L109" s="9"/>
      <c r="M109" s="9"/>
      <c r="N109" s="9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20"/>
      <c r="Z109" s="20"/>
      <c r="AA109" s="20"/>
    </row>
    <row r="110" spans="1:27" ht="12.75" customHeight="1" x14ac:dyDescent="0.25">
      <c r="A110" s="20">
        <v>330</v>
      </c>
      <c r="B110" s="20" t="s">
        <v>587</v>
      </c>
      <c r="C110" s="76"/>
      <c r="D110" s="75">
        <v>1.4</v>
      </c>
      <c r="E110" s="75">
        <v>1.5</v>
      </c>
      <c r="F110" s="6" t="s">
        <v>511</v>
      </c>
      <c r="G110" s="54"/>
      <c r="H110" s="54"/>
      <c r="I110" s="7"/>
      <c r="J110" s="8">
        <f t="shared" si="34"/>
        <v>0</v>
      </c>
      <c r="K110" s="9">
        <f t="shared" si="35"/>
        <v>0</v>
      </c>
      <c r="L110" s="9"/>
      <c r="M110" s="9"/>
      <c r="N110" s="9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20"/>
      <c r="Z110" s="20"/>
      <c r="AA110" s="20"/>
    </row>
    <row r="111" spans="1:27" ht="12.75" customHeight="1" x14ac:dyDescent="0.25">
      <c r="A111" s="20"/>
      <c r="B111" s="20"/>
      <c r="C111" s="14"/>
      <c r="D111" s="5"/>
      <c r="E111" s="5"/>
      <c r="F111" s="6"/>
      <c r="G111" s="54"/>
      <c r="H111" s="54"/>
      <c r="I111" s="7"/>
      <c r="J111" s="9"/>
      <c r="K111" s="21"/>
      <c r="L111" s="9"/>
      <c r="M111" s="9"/>
      <c r="N111" s="9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20"/>
      <c r="Z111" s="20"/>
      <c r="AA111" s="20"/>
    </row>
    <row r="112" spans="1:27" ht="12.75" customHeight="1" x14ac:dyDescent="0.25">
      <c r="A112" s="20">
        <v>330</v>
      </c>
      <c r="B112" s="20" t="s">
        <v>588</v>
      </c>
      <c r="C112" s="75">
        <v>27.15</v>
      </c>
      <c r="D112" s="5">
        <v>30</v>
      </c>
      <c r="E112" s="5">
        <v>33</v>
      </c>
      <c r="F112" s="6" t="s">
        <v>511</v>
      </c>
      <c r="G112" s="54"/>
      <c r="H112" s="54"/>
      <c r="I112" s="7">
        <v>0</v>
      </c>
      <c r="J112" s="8">
        <f t="shared" ref="J112:J114" si="36">SUM(G112:I112)</f>
        <v>0</v>
      </c>
      <c r="K112" s="9">
        <f t="shared" ref="K112:K114" si="37">SUM(C112*J112)</f>
        <v>0</v>
      </c>
      <c r="L112" s="9"/>
      <c r="M112" s="9"/>
      <c r="N112" s="9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20"/>
      <c r="Z112" s="20"/>
      <c r="AA112" s="20"/>
    </row>
    <row r="113" spans="1:27" ht="12.75" customHeight="1" x14ac:dyDescent="0.25">
      <c r="A113" s="20">
        <v>330</v>
      </c>
      <c r="B113" s="20" t="s">
        <v>589</v>
      </c>
      <c r="C113" s="24"/>
      <c r="D113" s="5">
        <v>7.5</v>
      </c>
      <c r="E113" s="5">
        <v>7.5</v>
      </c>
      <c r="F113" s="6" t="s">
        <v>511</v>
      </c>
      <c r="G113" s="54"/>
      <c r="H113" s="54"/>
      <c r="I113" s="7"/>
      <c r="J113" s="8">
        <f t="shared" si="36"/>
        <v>0</v>
      </c>
      <c r="K113" s="9">
        <f t="shared" si="37"/>
        <v>0</v>
      </c>
      <c r="L113" s="9"/>
      <c r="M113" s="9"/>
      <c r="N113" s="9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20"/>
      <c r="Z113" s="20"/>
      <c r="AA113" s="20"/>
    </row>
    <row r="114" spans="1:27" ht="12.75" customHeight="1" x14ac:dyDescent="0.25">
      <c r="A114" s="20">
        <v>330</v>
      </c>
      <c r="B114" s="20" t="s">
        <v>590</v>
      </c>
      <c r="C114" s="24"/>
      <c r="D114" s="5">
        <v>1.25</v>
      </c>
      <c r="E114" s="5">
        <v>1.5</v>
      </c>
      <c r="F114" s="6" t="s">
        <v>511</v>
      </c>
      <c r="G114" s="54"/>
      <c r="H114" s="54"/>
      <c r="I114" s="7"/>
      <c r="J114" s="8">
        <f t="shared" si="36"/>
        <v>0</v>
      </c>
      <c r="K114" s="9">
        <f t="shared" si="37"/>
        <v>0</v>
      </c>
      <c r="L114" s="9"/>
      <c r="M114" s="9"/>
      <c r="N114" s="9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20"/>
      <c r="Z114" s="20"/>
      <c r="AA114" s="20"/>
    </row>
    <row r="115" spans="1:27" ht="12.75" customHeight="1" x14ac:dyDescent="0.25">
      <c r="A115" s="20"/>
      <c r="B115" s="20"/>
      <c r="C115" s="75"/>
      <c r="D115" s="75"/>
      <c r="E115" s="75"/>
      <c r="F115" s="6"/>
      <c r="G115" s="54"/>
      <c r="H115" s="54"/>
      <c r="I115" s="7"/>
      <c r="J115" s="9"/>
      <c r="K115" s="21"/>
      <c r="L115" s="9"/>
      <c r="M115" s="9"/>
      <c r="N115" s="9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20"/>
      <c r="Z115" s="20"/>
      <c r="AA115" s="20"/>
    </row>
    <row r="116" spans="1:27" ht="12.75" customHeight="1" x14ac:dyDescent="0.25">
      <c r="A116" s="20"/>
      <c r="B116" s="20"/>
      <c r="C116" s="75"/>
      <c r="D116" s="5"/>
      <c r="E116" s="5"/>
      <c r="F116" s="6"/>
      <c r="G116" s="54"/>
      <c r="H116" s="54"/>
      <c r="I116" s="7"/>
      <c r="J116" s="9"/>
      <c r="K116" s="21"/>
      <c r="L116" s="9"/>
      <c r="M116" s="9"/>
      <c r="N116" s="9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20"/>
      <c r="Z116" s="20"/>
      <c r="AA116" s="20"/>
    </row>
    <row r="117" spans="1:27" ht="12.75" customHeight="1" x14ac:dyDescent="0.25">
      <c r="A117" s="51">
        <v>33</v>
      </c>
      <c r="B117" s="51" t="s">
        <v>591</v>
      </c>
      <c r="C117" s="17">
        <v>14.64</v>
      </c>
      <c r="D117" s="17">
        <v>18</v>
      </c>
      <c r="E117" s="17">
        <v>20</v>
      </c>
      <c r="F117" s="6" t="s">
        <v>505</v>
      </c>
      <c r="G117" s="54"/>
      <c r="H117" s="54"/>
      <c r="I117" s="7"/>
      <c r="J117" s="8">
        <f t="shared" ref="J117:J131" si="38">SUM(G117:I117)</f>
        <v>0</v>
      </c>
      <c r="K117" s="9">
        <f t="shared" ref="K117:K131" si="39">SUM(C117*J117)</f>
        <v>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2.75" customHeight="1" x14ac:dyDescent="0.25">
      <c r="A118" s="51">
        <v>33</v>
      </c>
      <c r="B118" s="51" t="s">
        <v>592</v>
      </c>
      <c r="C118" s="17">
        <v>0.61</v>
      </c>
      <c r="D118" s="17">
        <v>0.8</v>
      </c>
      <c r="E118" s="17">
        <v>0.9</v>
      </c>
      <c r="F118" s="6" t="s">
        <v>505</v>
      </c>
      <c r="G118" s="54"/>
      <c r="H118" s="54"/>
      <c r="I118" s="7"/>
      <c r="J118" s="8">
        <f t="shared" si="38"/>
        <v>0</v>
      </c>
      <c r="K118" s="9">
        <f t="shared" si="39"/>
        <v>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2.75" customHeight="1" x14ac:dyDescent="0.25">
      <c r="A119" s="20">
        <v>330</v>
      </c>
      <c r="B119" s="20" t="s">
        <v>593</v>
      </c>
      <c r="C119" s="17">
        <v>18.2</v>
      </c>
      <c r="D119" s="17">
        <v>21</v>
      </c>
      <c r="E119" s="17">
        <v>22</v>
      </c>
      <c r="F119" s="6" t="s">
        <v>505</v>
      </c>
      <c r="G119" s="54"/>
      <c r="H119" s="54"/>
      <c r="I119" s="7">
        <v>11</v>
      </c>
      <c r="J119" s="8">
        <f t="shared" si="38"/>
        <v>11</v>
      </c>
      <c r="K119" s="9">
        <f t="shared" si="39"/>
        <v>200.2</v>
      </c>
      <c r="L119" s="9"/>
      <c r="M119" s="9"/>
      <c r="N119" s="9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20"/>
      <c r="Z119" s="20"/>
      <c r="AA119" s="20"/>
    </row>
    <row r="120" spans="1:27" ht="12.75" customHeight="1" x14ac:dyDescent="0.25">
      <c r="A120" s="20">
        <v>330</v>
      </c>
      <c r="B120" s="20" t="s">
        <v>594</v>
      </c>
      <c r="C120" s="17">
        <v>3.03</v>
      </c>
      <c r="D120" s="17">
        <v>3.75</v>
      </c>
      <c r="E120" s="17">
        <v>3.95</v>
      </c>
      <c r="F120" s="6" t="s">
        <v>505</v>
      </c>
      <c r="G120" s="54"/>
      <c r="H120" s="54"/>
      <c r="I120" s="7"/>
      <c r="J120" s="8">
        <f t="shared" si="38"/>
        <v>0</v>
      </c>
      <c r="K120" s="9">
        <f t="shared" si="39"/>
        <v>0</v>
      </c>
      <c r="L120" s="9"/>
      <c r="M120" s="9"/>
      <c r="N120" s="9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20"/>
      <c r="Z120" s="20"/>
      <c r="AA120" s="20"/>
    </row>
    <row r="121" spans="1:27" ht="12.75" customHeight="1" x14ac:dyDescent="0.25">
      <c r="A121" s="20">
        <v>330</v>
      </c>
      <c r="B121" s="14" t="s">
        <v>595</v>
      </c>
      <c r="C121" s="17">
        <v>0.79</v>
      </c>
      <c r="D121" s="17">
        <v>1.5</v>
      </c>
      <c r="E121" s="17">
        <v>1.5</v>
      </c>
      <c r="F121" s="6" t="s">
        <v>505</v>
      </c>
      <c r="G121" s="54"/>
      <c r="H121" s="54"/>
      <c r="I121" s="7"/>
      <c r="J121" s="8">
        <f t="shared" si="38"/>
        <v>0</v>
      </c>
      <c r="K121" s="9">
        <f t="shared" si="39"/>
        <v>0</v>
      </c>
      <c r="L121" s="9"/>
      <c r="M121" s="9"/>
      <c r="N121" s="9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51">
        <v>250</v>
      </c>
      <c r="B122" s="51" t="s">
        <v>596</v>
      </c>
      <c r="C122" s="17"/>
      <c r="D122" s="17">
        <v>13</v>
      </c>
      <c r="E122" s="17">
        <v>13</v>
      </c>
      <c r="F122" s="6" t="s">
        <v>505</v>
      </c>
      <c r="G122" s="54"/>
      <c r="H122" s="54"/>
      <c r="I122" s="7"/>
      <c r="J122" s="8">
        <f t="shared" si="38"/>
        <v>0</v>
      </c>
      <c r="K122" s="9">
        <f t="shared" si="39"/>
        <v>0</v>
      </c>
      <c r="L122" s="9"/>
      <c r="M122" s="9"/>
      <c r="N122" s="9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51">
        <v>250</v>
      </c>
      <c r="B123" s="51" t="s">
        <v>597</v>
      </c>
      <c r="C123" s="5"/>
      <c r="D123" s="5"/>
      <c r="E123" s="5"/>
      <c r="F123" s="6" t="s">
        <v>505</v>
      </c>
      <c r="G123" s="54"/>
      <c r="H123" s="54"/>
      <c r="I123" s="7"/>
      <c r="J123" s="8">
        <f t="shared" si="38"/>
        <v>0</v>
      </c>
      <c r="K123" s="9">
        <f t="shared" si="39"/>
        <v>0</v>
      </c>
      <c r="L123" s="9"/>
      <c r="M123" s="9"/>
      <c r="N123" s="9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51">
        <v>250</v>
      </c>
      <c r="B124" s="51" t="s">
        <v>598</v>
      </c>
      <c r="C124" s="5"/>
      <c r="D124" s="17">
        <v>3.5</v>
      </c>
      <c r="E124" s="17">
        <v>3.5</v>
      </c>
      <c r="F124" s="6" t="s">
        <v>505</v>
      </c>
      <c r="G124" s="54"/>
      <c r="H124" s="54"/>
      <c r="I124" s="7"/>
      <c r="J124" s="8">
        <f t="shared" si="38"/>
        <v>0</v>
      </c>
      <c r="K124" s="9">
        <f t="shared" si="39"/>
        <v>0</v>
      </c>
      <c r="L124" s="9"/>
      <c r="M124" s="9"/>
      <c r="N124" s="9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20">
        <v>330</v>
      </c>
      <c r="B125" s="20" t="s">
        <v>599</v>
      </c>
      <c r="C125" s="17">
        <v>0.53</v>
      </c>
      <c r="D125" s="17">
        <v>0.7</v>
      </c>
      <c r="E125" s="17">
        <v>0.7</v>
      </c>
      <c r="F125" s="6" t="s">
        <v>505</v>
      </c>
      <c r="G125" s="54"/>
      <c r="H125" s="54"/>
      <c r="I125" s="7"/>
      <c r="J125" s="8">
        <f t="shared" si="38"/>
        <v>0</v>
      </c>
      <c r="K125" s="9">
        <f t="shared" si="39"/>
        <v>0</v>
      </c>
      <c r="L125" s="9"/>
      <c r="M125" s="9"/>
      <c r="N125" s="9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20"/>
      <c r="Z125" s="20"/>
      <c r="AA125" s="20"/>
    </row>
    <row r="126" spans="1:27" ht="12.75" customHeight="1" x14ac:dyDescent="0.25">
      <c r="A126" s="20">
        <v>330</v>
      </c>
      <c r="B126" s="20" t="s">
        <v>600</v>
      </c>
      <c r="C126" s="17">
        <v>6.4</v>
      </c>
      <c r="D126" s="17">
        <v>8</v>
      </c>
      <c r="E126" s="17">
        <v>8</v>
      </c>
      <c r="F126" s="6" t="s">
        <v>505</v>
      </c>
      <c r="G126" s="54"/>
      <c r="H126" s="54"/>
      <c r="I126" s="7"/>
      <c r="J126" s="8">
        <f t="shared" si="38"/>
        <v>0</v>
      </c>
      <c r="K126" s="9">
        <f t="shared" si="39"/>
        <v>0</v>
      </c>
      <c r="L126" s="9"/>
      <c r="M126" s="9"/>
      <c r="N126" s="9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20"/>
      <c r="Z126" s="20"/>
      <c r="AA126" s="20"/>
    </row>
    <row r="127" spans="1:27" ht="12.75" customHeight="1" x14ac:dyDescent="0.25">
      <c r="A127" s="20">
        <v>330</v>
      </c>
      <c r="B127" s="20" t="s">
        <v>601</v>
      </c>
      <c r="C127" s="17">
        <v>12.86</v>
      </c>
      <c r="D127" s="17">
        <v>15</v>
      </c>
      <c r="E127" s="17">
        <v>16</v>
      </c>
      <c r="F127" s="6" t="s">
        <v>505</v>
      </c>
      <c r="G127" s="54"/>
      <c r="H127" s="54"/>
      <c r="I127" s="7">
        <v>10</v>
      </c>
      <c r="J127" s="8">
        <f t="shared" si="38"/>
        <v>10</v>
      </c>
      <c r="K127" s="9">
        <f t="shared" si="39"/>
        <v>128.6</v>
      </c>
      <c r="L127" s="9"/>
      <c r="M127" s="9"/>
      <c r="N127" s="9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20"/>
      <c r="Z127" s="20"/>
      <c r="AA127" s="20"/>
    </row>
    <row r="128" spans="1:27" ht="12.75" customHeight="1" x14ac:dyDescent="0.25">
      <c r="A128" s="20">
        <v>500</v>
      </c>
      <c r="B128" s="20" t="s">
        <v>602</v>
      </c>
      <c r="C128" s="17">
        <v>0.75</v>
      </c>
      <c r="D128" s="17">
        <v>0.95</v>
      </c>
      <c r="E128" s="17">
        <v>0.95</v>
      </c>
      <c r="F128" s="6" t="s">
        <v>505</v>
      </c>
      <c r="G128" s="54"/>
      <c r="H128" s="54"/>
      <c r="I128" s="7"/>
      <c r="J128" s="8">
        <f t="shared" si="38"/>
        <v>0</v>
      </c>
      <c r="K128" s="9">
        <f t="shared" si="39"/>
        <v>0</v>
      </c>
      <c r="L128" s="9"/>
      <c r="M128" s="9"/>
      <c r="N128" s="9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20"/>
      <c r="Z128" s="20"/>
      <c r="AA128" s="20"/>
    </row>
    <row r="129" spans="1:27" ht="12.75" customHeight="1" x14ac:dyDescent="0.25">
      <c r="A129" s="20">
        <v>500</v>
      </c>
      <c r="B129" s="20" t="s">
        <v>603</v>
      </c>
      <c r="C129" s="17">
        <v>17.850000000000001</v>
      </c>
      <c r="D129" s="17">
        <v>22</v>
      </c>
      <c r="E129" s="17">
        <v>22</v>
      </c>
      <c r="F129" s="6" t="s">
        <v>505</v>
      </c>
      <c r="G129" s="54"/>
      <c r="H129" s="54"/>
      <c r="I129" s="7">
        <v>9</v>
      </c>
      <c r="J129" s="8">
        <f t="shared" si="38"/>
        <v>9</v>
      </c>
      <c r="K129" s="9">
        <f t="shared" si="39"/>
        <v>160.65</v>
      </c>
      <c r="L129" s="9"/>
      <c r="M129" s="9"/>
      <c r="N129" s="9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20"/>
      <c r="Z129" s="20"/>
      <c r="AA129" s="20"/>
    </row>
    <row r="130" spans="1:27" ht="12.75" customHeight="1" x14ac:dyDescent="0.25">
      <c r="A130" s="20">
        <v>1000</v>
      </c>
      <c r="B130" s="20" t="s">
        <v>604</v>
      </c>
      <c r="C130" s="5">
        <v>1.33</v>
      </c>
      <c r="D130" s="5">
        <v>1.7000000000000002</v>
      </c>
      <c r="E130" s="5">
        <v>1.8</v>
      </c>
      <c r="F130" s="6" t="s">
        <v>505</v>
      </c>
      <c r="G130" s="54"/>
      <c r="H130" s="54"/>
      <c r="I130" s="7"/>
      <c r="J130" s="8">
        <f t="shared" si="38"/>
        <v>0</v>
      </c>
      <c r="K130" s="9">
        <f t="shared" si="39"/>
        <v>0</v>
      </c>
      <c r="L130" s="9"/>
      <c r="M130" s="9"/>
      <c r="N130" s="9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20"/>
      <c r="Z130" s="20"/>
      <c r="AA130" s="20"/>
    </row>
    <row r="131" spans="1:27" ht="12.75" customHeight="1" x14ac:dyDescent="0.25">
      <c r="A131" s="20">
        <v>1000</v>
      </c>
      <c r="B131" s="20" t="s">
        <v>605</v>
      </c>
      <c r="C131" s="5">
        <v>6.96</v>
      </c>
      <c r="D131" s="5">
        <v>8.5</v>
      </c>
      <c r="E131" s="5">
        <v>8.5</v>
      </c>
      <c r="F131" s="6" t="s">
        <v>505</v>
      </c>
      <c r="G131" s="54"/>
      <c r="H131" s="54"/>
      <c r="I131" s="7" t="s">
        <v>63</v>
      </c>
      <c r="J131" s="8">
        <f t="shared" si="38"/>
        <v>0</v>
      </c>
      <c r="K131" s="9">
        <f t="shared" si="39"/>
        <v>0</v>
      </c>
      <c r="L131" s="9"/>
      <c r="M131" s="9"/>
      <c r="N131" s="9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20"/>
      <c r="Z131" s="20"/>
      <c r="AA131" s="20"/>
    </row>
    <row r="132" spans="1:27" ht="12.75" customHeight="1" x14ac:dyDescent="0.25">
      <c r="A132" s="20"/>
      <c r="B132" s="20"/>
      <c r="C132" s="5"/>
      <c r="D132" s="5"/>
      <c r="E132" s="5"/>
      <c r="F132" s="6"/>
      <c r="G132" s="54"/>
      <c r="H132" s="54"/>
      <c r="I132" s="7"/>
      <c r="J132" s="9"/>
      <c r="K132" s="21"/>
      <c r="L132" s="9"/>
      <c r="M132" s="9"/>
      <c r="N132" s="9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20"/>
      <c r="Z132" s="20"/>
      <c r="AA132" s="20"/>
    </row>
    <row r="133" spans="1:27" ht="12.75" customHeight="1" x14ac:dyDescent="0.25">
      <c r="A133" s="20">
        <v>330</v>
      </c>
      <c r="B133" s="20" t="s">
        <v>606</v>
      </c>
      <c r="C133" s="5">
        <v>25.15</v>
      </c>
      <c r="D133" s="17">
        <v>29</v>
      </c>
      <c r="E133" s="17">
        <v>29</v>
      </c>
      <c r="F133" s="6" t="s">
        <v>607</v>
      </c>
      <c r="G133" s="54"/>
      <c r="H133" s="54"/>
      <c r="I133" s="7"/>
      <c r="J133" s="8">
        <f t="shared" ref="J133:J134" si="40">SUM(G133:I133)</f>
        <v>0</v>
      </c>
      <c r="K133" s="9">
        <f t="shared" ref="K133:K134" si="41">SUM(C133*J133)</f>
        <v>0</v>
      </c>
      <c r="L133" s="9"/>
      <c r="M133" s="9"/>
      <c r="N133" s="9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20"/>
      <c r="Z133" s="20"/>
      <c r="AA133" s="20"/>
    </row>
    <row r="134" spans="1:27" ht="12.75" customHeight="1" x14ac:dyDescent="0.25">
      <c r="A134" s="20">
        <v>330</v>
      </c>
      <c r="B134" s="20" t="s">
        <v>608</v>
      </c>
      <c r="C134" s="5">
        <v>1.05</v>
      </c>
      <c r="D134" s="17">
        <v>1.25</v>
      </c>
      <c r="E134" s="17">
        <v>1.3</v>
      </c>
      <c r="F134" s="6" t="s">
        <v>607</v>
      </c>
      <c r="G134" s="54"/>
      <c r="H134" s="54"/>
      <c r="I134" s="7"/>
      <c r="J134" s="8">
        <f t="shared" si="40"/>
        <v>0</v>
      </c>
      <c r="K134" s="9">
        <f t="shared" si="41"/>
        <v>0</v>
      </c>
      <c r="L134" s="9"/>
      <c r="M134" s="9"/>
      <c r="N134" s="9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20"/>
      <c r="Z134" s="20"/>
      <c r="AA134" s="20"/>
    </row>
    <row r="135" spans="1:27" ht="12.75" customHeight="1" x14ac:dyDescent="0.25">
      <c r="A135" s="20"/>
      <c r="B135" s="20"/>
      <c r="C135" s="5"/>
      <c r="D135" s="5"/>
      <c r="E135" s="5"/>
      <c r="F135" s="6"/>
      <c r="G135" s="54"/>
      <c r="H135" s="54"/>
      <c r="I135" s="7"/>
      <c r="J135" s="9"/>
      <c r="K135" s="21"/>
      <c r="L135" s="9"/>
      <c r="M135" s="9"/>
      <c r="N135" s="9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20"/>
      <c r="Z135" s="20"/>
      <c r="AA135" s="20"/>
    </row>
    <row r="136" spans="1:27" ht="12.75" customHeight="1" x14ac:dyDescent="0.25">
      <c r="A136" s="20"/>
      <c r="B136" s="20"/>
      <c r="C136" s="5"/>
      <c r="D136" s="5"/>
      <c r="E136" s="5"/>
      <c r="F136" s="6"/>
      <c r="G136" s="54"/>
      <c r="H136" s="54"/>
      <c r="I136" s="7"/>
      <c r="J136" s="9"/>
      <c r="K136" s="21"/>
      <c r="L136" s="9"/>
      <c r="M136" s="9"/>
      <c r="N136" s="9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20"/>
      <c r="Z136" s="20"/>
      <c r="AA136" s="20"/>
    </row>
    <row r="137" spans="1:27" ht="12.75" customHeight="1" x14ac:dyDescent="0.25">
      <c r="A137" s="20">
        <v>500</v>
      </c>
      <c r="B137" s="20" t="s">
        <v>609</v>
      </c>
      <c r="C137" s="5">
        <v>1.34</v>
      </c>
      <c r="D137" s="24">
        <v>1.6</v>
      </c>
      <c r="E137" s="24">
        <v>1.8</v>
      </c>
      <c r="F137" s="6" t="s">
        <v>607</v>
      </c>
      <c r="G137" s="54"/>
      <c r="H137" s="54"/>
      <c r="I137" s="7"/>
      <c r="J137" s="8">
        <f t="shared" ref="J137:J138" si="42">SUM(G137:I137)</f>
        <v>0</v>
      </c>
      <c r="K137" s="9">
        <f t="shared" ref="K137:K138" si="43">SUM(C137*J137)</f>
        <v>0</v>
      </c>
      <c r="L137" s="9"/>
      <c r="M137" s="9"/>
      <c r="N137" s="9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20"/>
      <c r="Z137" s="20"/>
      <c r="AA137" s="20"/>
    </row>
    <row r="138" spans="1:27" ht="12.75" customHeight="1" x14ac:dyDescent="0.25">
      <c r="A138" s="20">
        <v>500</v>
      </c>
      <c r="B138" s="20" t="s">
        <v>610</v>
      </c>
      <c r="C138" s="5">
        <v>32.177999999999997</v>
      </c>
      <c r="D138" s="5">
        <v>36</v>
      </c>
      <c r="E138" s="5">
        <v>38</v>
      </c>
      <c r="F138" s="6" t="s">
        <v>607</v>
      </c>
      <c r="G138" s="54"/>
      <c r="H138" s="54"/>
      <c r="I138" s="7"/>
      <c r="J138" s="8">
        <f t="shared" si="42"/>
        <v>0</v>
      </c>
      <c r="K138" s="9">
        <f t="shared" si="43"/>
        <v>0</v>
      </c>
      <c r="L138" s="9"/>
      <c r="M138" s="9"/>
      <c r="N138" s="9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20"/>
      <c r="Z138" s="20"/>
      <c r="AA138" s="20"/>
    </row>
    <row r="139" spans="1:27" ht="12.75" customHeight="1" x14ac:dyDescent="0.25">
      <c r="A139" s="72"/>
      <c r="B139" s="72"/>
      <c r="C139" s="73"/>
      <c r="D139" s="73"/>
      <c r="E139" s="73"/>
      <c r="F139" s="6"/>
      <c r="G139" s="54"/>
      <c r="H139" s="54"/>
      <c r="I139" s="7"/>
      <c r="J139" s="9"/>
      <c r="K139" s="21"/>
      <c r="L139" s="77"/>
      <c r="M139" s="77"/>
      <c r="N139" s="77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9"/>
      <c r="Z139" s="79"/>
      <c r="AA139" s="79"/>
    </row>
    <row r="140" spans="1:27" ht="12.75" customHeight="1" x14ac:dyDescent="0.25">
      <c r="A140" s="20"/>
      <c r="B140" s="20"/>
      <c r="C140" s="5"/>
      <c r="D140" s="5"/>
      <c r="E140" s="5"/>
      <c r="F140" s="6"/>
      <c r="G140" s="54"/>
      <c r="H140" s="54"/>
      <c r="I140" s="7"/>
      <c r="J140" s="9"/>
      <c r="K140" s="9"/>
      <c r="L140" s="9"/>
      <c r="M140" s="9"/>
      <c r="N140" s="9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20"/>
      <c r="Z140" s="20"/>
      <c r="AA140" s="20"/>
    </row>
    <row r="141" spans="1:27" ht="12.75" customHeight="1" x14ac:dyDescent="0.25">
      <c r="A141" s="20"/>
      <c r="B141" s="20"/>
      <c r="C141" s="5"/>
      <c r="D141" s="5"/>
      <c r="E141" s="5"/>
      <c r="F141" s="6"/>
      <c r="G141" s="54"/>
      <c r="H141" s="54"/>
      <c r="I141" s="7"/>
      <c r="J141" s="9"/>
      <c r="K141" s="9"/>
      <c r="L141" s="9"/>
      <c r="M141" s="9"/>
      <c r="N141" s="9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20"/>
      <c r="Z141" s="20"/>
      <c r="AA141" s="20"/>
    </row>
    <row r="142" spans="1:27" ht="12.75" customHeight="1" x14ac:dyDescent="0.25">
      <c r="A142" s="72"/>
      <c r="B142" s="72"/>
      <c r="C142" s="73"/>
      <c r="D142" s="73"/>
      <c r="E142" s="73"/>
      <c r="F142" s="6"/>
      <c r="G142" s="54"/>
      <c r="H142" s="54"/>
      <c r="I142" s="7"/>
      <c r="J142" s="9"/>
      <c r="K142" s="9"/>
      <c r="L142" s="77"/>
      <c r="M142" s="77"/>
      <c r="N142" s="77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9"/>
      <c r="Z142" s="79"/>
      <c r="AA142" s="79"/>
    </row>
    <row r="143" spans="1:27" ht="12.75" customHeight="1" x14ac:dyDescent="0.25">
      <c r="A143" s="72"/>
      <c r="B143" s="72"/>
      <c r="C143" s="73"/>
      <c r="D143" s="73"/>
      <c r="E143" s="73"/>
      <c r="F143" s="6"/>
      <c r="G143" s="54"/>
      <c r="H143" s="54"/>
      <c r="I143" s="7"/>
      <c r="J143" s="9"/>
      <c r="K143" s="9"/>
      <c r="L143" s="77"/>
      <c r="M143" s="77"/>
      <c r="N143" s="77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9"/>
      <c r="Z143" s="79"/>
      <c r="AA143" s="79"/>
    </row>
    <row r="144" spans="1:27" ht="12.75" customHeight="1" x14ac:dyDescent="0.25">
      <c r="A144" s="72"/>
      <c r="B144" s="72"/>
      <c r="C144" s="73"/>
      <c r="D144" s="73"/>
      <c r="E144" s="73"/>
      <c r="F144" s="6"/>
      <c r="G144" s="54"/>
      <c r="H144" s="54"/>
      <c r="I144" s="7"/>
      <c r="J144" s="9"/>
      <c r="K144" s="9"/>
      <c r="L144" s="77"/>
      <c r="M144" s="77"/>
      <c r="N144" s="77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9"/>
      <c r="Z144" s="79"/>
      <c r="AA144" s="79"/>
    </row>
    <row r="145" spans="1:27" ht="12.75" customHeight="1" x14ac:dyDescent="0.25">
      <c r="A145" s="72"/>
      <c r="B145" s="72"/>
      <c r="C145" s="73"/>
      <c r="D145" s="73"/>
      <c r="E145" s="73"/>
      <c r="F145" s="6"/>
      <c r="G145" s="54"/>
      <c r="H145" s="54"/>
      <c r="I145" s="7"/>
      <c r="J145" s="9"/>
      <c r="K145" s="9"/>
      <c r="L145" s="77"/>
      <c r="M145" s="77"/>
      <c r="N145" s="77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9"/>
      <c r="Z145" s="79"/>
      <c r="AA145" s="79"/>
    </row>
    <row r="146" spans="1:27" ht="12.75" customHeight="1" x14ac:dyDescent="0.25">
      <c r="A146" s="72"/>
      <c r="B146" s="72"/>
      <c r="C146" s="73"/>
      <c r="D146" s="73"/>
      <c r="E146" s="73"/>
      <c r="F146" s="6"/>
      <c r="G146" s="54"/>
      <c r="H146" s="54"/>
      <c r="I146" s="7"/>
      <c r="J146" s="9"/>
      <c r="K146" s="9"/>
      <c r="L146" s="77"/>
      <c r="M146" s="77"/>
      <c r="N146" s="77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9"/>
      <c r="Z146" s="79"/>
      <c r="AA146" s="79"/>
    </row>
    <row r="147" spans="1:27" ht="12.75" customHeight="1" x14ac:dyDescent="0.25">
      <c r="A147" s="72"/>
      <c r="B147" s="72"/>
      <c r="C147" s="73"/>
      <c r="D147" s="73"/>
      <c r="E147" s="73"/>
      <c r="F147" s="6"/>
      <c r="G147" s="54"/>
      <c r="H147" s="54"/>
      <c r="I147" s="7"/>
      <c r="J147" s="9"/>
      <c r="K147" s="9"/>
      <c r="L147" s="77"/>
      <c r="M147" s="77"/>
      <c r="N147" s="77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9"/>
      <c r="Z147" s="79"/>
      <c r="AA147" s="79"/>
    </row>
    <row r="148" spans="1:27" ht="12.75" customHeight="1" x14ac:dyDescent="0.25">
      <c r="A148" s="72"/>
      <c r="B148" s="72"/>
      <c r="C148" s="73"/>
      <c r="D148" s="73"/>
      <c r="E148" s="73"/>
      <c r="F148" s="6"/>
      <c r="G148" s="54"/>
      <c r="H148" s="54"/>
      <c r="I148" s="7"/>
      <c r="J148" s="9"/>
      <c r="K148" s="9"/>
      <c r="L148" s="77"/>
      <c r="M148" s="77"/>
      <c r="N148" s="77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9"/>
      <c r="Z148" s="79"/>
      <c r="AA148" s="79"/>
    </row>
    <row r="149" spans="1:27" ht="12.75" customHeight="1" x14ac:dyDescent="0.25">
      <c r="A149" s="72"/>
      <c r="B149" s="72"/>
      <c r="C149" s="73"/>
      <c r="D149" s="73"/>
      <c r="E149" s="73"/>
      <c r="F149" s="6"/>
      <c r="G149" s="54"/>
      <c r="H149" s="54"/>
      <c r="I149" s="7"/>
      <c r="J149" s="9"/>
      <c r="K149" s="9"/>
      <c r="L149" s="77"/>
      <c r="M149" s="77"/>
      <c r="N149" s="77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9"/>
      <c r="Z149" s="79"/>
      <c r="AA149" s="79"/>
    </row>
    <row r="150" spans="1:27" ht="12.75" customHeight="1" x14ac:dyDescent="0.25">
      <c r="A150" s="72"/>
      <c r="B150" s="72"/>
      <c r="C150" s="73"/>
      <c r="D150" s="73"/>
      <c r="E150" s="73"/>
      <c r="F150" s="6"/>
      <c r="G150" s="54"/>
      <c r="H150" s="54"/>
      <c r="I150" s="7"/>
      <c r="J150" s="9"/>
      <c r="K150" s="9"/>
      <c r="L150" s="77"/>
      <c r="M150" s="77"/>
      <c r="N150" s="77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9"/>
      <c r="Z150" s="79"/>
      <c r="AA150" s="79"/>
    </row>
    <row r="151" spans="1:27" ht="12.75" customHeight="1" x14ac:dyDescent="0.25">
      <c r="A151" s="72"/>
      <c r="B151" s="72"/>
      <c r="C151" s="73"/>
      <c r="D151" s="73"/>
      <c r="E151" s="73"/>
      <c r="F151" s="6"/>
      <c r="G151" s="54"/>
      <c r="H151" s="54"/>
      <c r="I151" s="7"/>
      <c r="J151" s="9"/>
      <c r="K151" s="9"/>
      <c r="L151" s="77"/>
      <c r="M151" s="77"/>
      <c r="N151" s="77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9"/>
      <c r="Z151" s="79"/>
      <c r="AA151" s="79"/>
    </row>
    <row r="152" spans="1:27" ht="12.75" customHeight="1" x14ac:dyDescent="0.25">
      <c r="A152" s="72"/>
      <c r="B152" s="72"/>
      <c r="C152" s="73"/>
      <c r="D152" s="73"/>
      <c r="E152" s="73"/>
      <c r="F152" s="6"/>
      <c r="G152" s="54"/>
      <c r="H152" s="54"/>
      <c r="I152" s="7"/>
      <c r="J152" s="9"/>
      <c r="K152" s="9"/>
      <c r="L152" s="77"/>
      <c r="M152" s="77"/>
      <c r="N152" s="77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9"/>
      <c r="Z152" s="79"/>
      <c r="AA152" s="79"/>
    </row>
    <row r="153" spans="1:27" ht="12.75" customHeight="1" x14ac:dyDescent="0.25">
      <c r="A153" s="72"/>
      <c r="B153" s="72"/>
      <c r="C153" s="73"/>
      <c r="D153" s="73"/>
      <c r="E153" s="73"/>
      <c r="F153" s="6"/>
      <c r="G153" s="54"/>
      <c r="H153" s="54"/>
      <c r="I153" s="7"/>
      <c r="J153" s="9"/>
      <c r="K153" s="9"/>
      <c r="L153" s="77"/>
      <c r="M153" s="77"/>
      <c r="N153" s="77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9"/>
      <c r="Z153" s="79"/>
      <c r="AA153" s="79"/>
    </row>
    <row r="154" spans="1:27" ht="12.75" customHeight="1" x14ac:dyDescent="0.25">
      <c r="A154" s="72"/>
      <c r="B154" s="72"/>
      <c r="C154" s="73"/>
      <c r="D154" s="73"/>
      <c r="E154" s="73"/>
      <c r="F154" s="6"/>
      <c r="G154" s="54"/>
      <c r="H154" s="54"/>
      <c r="I154" s="7"/>
      <c r="J154" s="9"/>
      <c r="K154" s="9"/>
      <c r="L154" s="77"/>
      <c r="M154" s="77"/>
      <c r="N154" s="77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9"/>
      <c r="Z154" s="79"/>
      <c r="AA154" s="79"/>
    </row>
    <row r="155" spans="1:27" ht="12.75" customHeight="1" x14ac:dyDescent="0.25">
      <c r="A155" s="72"/>
      <c r="B155" s="72"/>
      <c r="C155" s="73"/>
      <c r="D155" s="73"/>
      <c r="E155" s="73"/>
      <c r="F155" s="6"/>
      <c r="G155" s="54"/>
      <c r="H155" s="54"/>
      <c r="I155" s="7"/>
      <c r="J155" s="9"/>
      <c r="K155" s="9"/>
      <c r="L155" s="77"/>
      <c r="M155" s="77"/>
      <c r="N155" s="77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9"/>
      <c r="Z155" s="79"/>
      <c r="AA155" s="79"/>
    </row>
    <row r="156" spans="1:27" ht="12.75" customHeight="1" x14ac:dyDescent="0.25">
      <c r="A156" s="72"/>
      <c r="B156" s="72"/>
      <c r="C156" s="73"/>
      <c r="D156" s="73"/>
      <c r="E156" s="73"/>
      <c r="F156" s="6"/>
      <c r="G156" s="54"/>
      <c r="H156" s="54"/>
      <c r="I156" s="7"/>
      <c r="J156" s="9"/>
      <c r="K156" s="9"/>
      <c r="L156" s="77"/>
      <c r="M156" s="77"/>
      <c r="N156" s="77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9"/>
      <c r="Z156" s="79"/>
      <c r="AA156" s="79"/>
    </row>
    <row r="157" spans="1:27" ht="12.75" customHeight="1" x14ac:dyDescent="0.25">
      <c r="A157" s="72"/>
      <c r="B157" s="72"/>
      <c r="C157" s="73"/>
      <c r="D157" s="73"/>
      <c r="E157" s="73"/>
      <c r="F157" s="6"/>
      <c r="G157" s="54"/>
      <c r="H157" s="54"/>
      <c r="I157" s="7"/>
      <c r="J157" s="9"/>
      <c r="K157" s="9"/>
      <c r="L157" s="77"/>
      <c r="M157" s="77"/>
      <c r="N157" s="77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9"/>
      <c r="Z157" s="79"/>
      <c r="AA157" s="79"/>
    </row>
    <row r="158" spans="1:27" ht="12.75" customHeight="1" x14ac:dyDescent="0.25">
      <c r="A158" s="72"/>
      <c r="B158" s="72"/>
      <c r="C158" s="73"/>
      <c r="D158" s="73"/>
      <c r="E158" s="73"/>
      <c r="F158" s="6"/>
      <c r="G158" s="54"/>
      <c r="H158" s="54"/>
      <c r="I158" s="7"/>
      <c r="J158" s="9"/>
      <c r="K158" s="9"/>
      <c r="L158" s="77"/>
      <c r="M158" s="77"/>
      <c r="N158" s="77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9"/>
      <c r="Z158" s="79"/>
      <c r="AA158" s="79"/>
    </row>
    <row r="159" spans="1:27" ht="12.75" customHeight="1" x14ac:dyDescent="0.25">
      <c r="A159" s="72"/>
      <c r="B159" s="72"/>
      <c r="C159" s="73"/>
      <c r="D159" s="73"/>
      <c r="E159" s="73"/>
      <c r="F159" s="6"/>
      <c r="G159" s="54"/>
      <c r="H159" s="54"/>
      <c r="I159" s="7"/>
      <c r="J159" s="9"/>
      <c r="K159" s="9"/>
      <c r="L159" s="77"/>
      <c r="M159" s="77"/>
      <c r="N159" s="77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9"/>
      <c r="Z159" s="79"/>
      <c r="AA159" s="79"/>
    </row>
    <row r="160" spans="1:27" ht="12.75" customHeight="1" x14ac:dyDescent="0.25">
      <c r="A160" s="72"/>
      <c r="B160" s="72"/>
      <c r="C160" s="73"/>
      <c r="D160" s="73"/>
      <c r="E160" s="73"/>
      <c r="F160" s="6"/>
      <c r="G160" s="54"/>
      <c r="H160" s="54"/>
      <c r="I160" s="7"/>
      <c r="J160" s="9"/>
      <c r="K160" s="9"/>
      <c r="L160" s="77"/>
      <c r="M160" s="77"/>
      <c r="N160" s="77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9"/>
      <c r="Z160" s="79"/>
      <c r="AA160" s="79"/>
    </row>
    <row r="161" spans="1:27" ht="12.75" customHeight="1" x14ac:dyDescent="0.25">
      <c r="A161" s="72"/>
      <c r="B161" s="72"/>
      <c r="C161" s="73"/>
      <c r="D161" s="73"/>
      <c r="E161" s="73"/>
      <c r="F161" s="6"/>
      <c r="G161" s="54"/>
      <c r="H161" s="54"/>
      <c r="I161" s="7"/>
      <c r="J161" s="9"/>
      <c r="K161" s="9"/>
      <c r="L161" s="77"/>
      <c r="M161" s="77"/>
      <c r="N161" s="77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9"/>
      <c r="Z161" s="79"/>
      <c r="AA161" s="79"/>
    </row>
    <row r="162" spans="1:27" ht="12.75" customHeight="1" x14ac:dyDescent="0.25">
      <c r="A162" s="72"/>
      <c r="B162" s="72"/>
      <c r="C162" s="73"/>
      <c r="D162" s="73"/>
      <c r="E162" s="73"/>
      <c r="F162" s="6"/>
      <c r="G162" s="54"/>
      <c r="H162" s="54"/>
      <c r="I162" s="7"/>
      <c r="J162" s="9"/>
      <c r="K162" s="9"/>
      <c r="L162" s="77"/>
      <c r="M162" s="77"/>
      <c r="N162" s="77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9"/>
      <c r="Z162" s="79"/>
      <c r="AA162" s="79"/>
    </row>
    <row r="163" spans="1:27" ht="12.75" customHeight="1" x14ac:dyDescent="0.25">
      <c r="A163" s="72"/>
      <c r="B163" s="72"/>
      <c r="C163" s="73"/>
      <c r="D163" s="73"/>
      <c r="E163" s="73"/>
      <c r="F163" s="6"/>
      <c r="G163" s="54"/>
      <c r="H163" s="54"/>
      <c r="I163" s="7"/>
      <c r="J163" s="9"/>
      <c r="K163" s="9"/>
      <c r="L163" s="77"/>
      <c r="M163" s="77"/>
      <c r="N163" s="77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9"/>
      <c r="Z163" s="79"/>
      <c r="AA163" s="79"/>
    </row>
    <row r="164" spans="1:27" ht="12.75" customHeight="1" x14ac:dyDescent="0.25">
      <c r="A164" s="72"/>
      <c r="B164" s="72"/>
      <c r="C164" s="73"/>
      <c r="D164" s="73"/>
      <c r="E164" s="73"/>
      <c r="F164" s="6"/>
      <c r="G164" s="54"/>
      <c r="H164" s="54"/>
      <c r="I164" s="7"/>
      <c r="J164" s="9"/>
      <c r="K164" s="9"/>
      <c r="L164" s="77"/>
      <c r="M164" s="77"/>
      <c r="N164" s="77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9"/>
      <c r="Z164" s="79"/>
      <c r="AA164" s="79"/>
    </row>
    <row r="165" spans="1:27" ht="12.75" customHeight="1" x14ac:dyDescent="0.25">
      <c r="A165" s="72"/>
      <c r="B165" s="72"/>
      <c r="C165" s="73"/>
      <c r="D165" s="73"/>
      <c r="E165" s="73"/>
      <c r="F165" s="6"/>
      <c r="G165" s="54"/>
      <c r="H165" s="54"/>
      <c r="I165" s="7"/>
      <c r="J165" s="9"/>
      <c r="K165" s="9"/>
      <c r="L165" s="77"/>
      <c r="M165" s="77"/>
      <c r="N165" s="77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9"/>
      <c r="Z165" s="79"/>
      <c r="AA165" s="79"/>
    </row>
    <row r="166" spans="1:27" ht="12.75" customHeight="1" x14ac:dyDescent="0.25">
      <c r="A166" s="72"/>
      <c r="B166" s="72"/>
      <c r="C166" s="73"/>
      <c r="D166" s="73"/>
      <c r="E166" s="73"/>
      <c r="F166" s="6"/>
      <c r="G166" s="54"/>
      <c r="H166" s="54"/>
      <c r="I166" s="7"/>
      <c r="J166" s="9"/>
      <c r="K166" s="9"/>
      <c r="L166" s="77"/>
      <c r="M166" s="77"/>
      <c r="N166" s="77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9"/>
      <c r="Z166" s="79"/>
      <c r="AA166" s="79"/>
    </row>
    <row r="167" spans="1:27" ht="12.75" customHeight="1" x14ac:dyDescent="0.25">
      <c r="A167" s="72"/>
      <c r="B167" s="72"/>
      <c r="C167" s="73"/>
      <c r="D167" s="73"/>
      <c r="E167" s="73"/>
      <c r="F167" s="6"/>
      <c r="G167" s="54"/>
      <c r="H167" s="54"/>
      <c r="I167" s="7"/>
      <c r="J167" s="9"/>
      <c r="K167" s="9"/>
      <c r="L167" s="77"/>
      <c r="M167" s="77"/>
      <c r="N167" s="77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9"/>
      <c r="Z167" s="79"/>
      <c r="AA167" s="79"/>
    </row>
    <row r="168" spans="1:27" ht="12.75" customHeight="1" x14ac:dyDescent="0.25">
      <c r="A168" s="72"/>
      <c r="B168" s="72"/>
      <c r="C168" s="73"/>
      <c r="D168" s="73"/>
      <c r="E168" s="73"/>
      <c r="F168" s="6"/>
      <c r="G168" s="54"/>
      <c r="H168" s="54"/>
      <c r="I168" s="7"/>
      <c r="J168" s="9"/>
      <c r="K168" s="9"/>
      <c r="L168" s="77"/>
      <c r="M168" s="77"/>
      <c r="N168" s="77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9"/>
      <c r="Z168" s="79"/>
      <c r="AA168" s="79"/>
    </row>
    <row r="169" spans="1:27" ht="12.75" customHeight="1" x14ac:dyDescent="0.25">
      <c r="A169" s="72"/>
      <c r="B169" s="72"/>
      <c r="C169" s="73"/>
      <c r="D169" s="73"/>
      <c r="E169" s="73"/>
      <c r="F169" s="6"/>
      <c r="G169" s="54"/>
      <c r="H169" s="54"/>
      <c r="I169" s="7"/>
      <c r="J169" s="9"/>
      <c r="K169" s="9"/>
      <c r="L169" s="77"/>
      <c r="M169" s="77"/>
      <c r="N169" s="77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9"/>
      <c r="Z169" s="79"/>
      <c r="AA169" s="79"/>
    </row>
    <row r="170" spans="1:27" ht="12.75" customHeight="1" x14ac:dyDescent="0.25">
      <c r="A170" s="72"/>
      <c r="B170" s="72"/>
      <c r="C170" s="73"/>
      <c r="D170" s="73"/>
      <c r="E170" s="73"/>
      <c r="F170" s="6"/>
      <c r="G170" s="54"/>
      <c r="H170" s="54"/>
      <c r="I170" s="7"/>
      <c r="J170" s="9"/>
      <c r="K170" s="9"/>
      <c r="L170" s="77"/>
      <c r="M170" s="77"/>
      <c r="N170" s="77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9"/>
      <c r="Z170" s="79"/>
      <c r="AA170" s="79"/>
    </row>
    <row r="171" spans="1:27" ht="12.75" customHeight="1" x14ac:dyDescent="0.25">
      <c r="A171" s="72"/>
      <c r="B171" s="72"/>
      <c r="C171" s="73"/>
      <c r="D171" s="73"/>
      <c r="E171" s="73"/>
      <c r="F171" s="6"/>
      <c r="G171" s="54"/>
      <c r="H171" s="54"/>
      <c r="I171" s="7"/>
      <c r="J171" s="9"/>
      <c r="K171" s="9"/>
      <c r="L171" s="77"/>
      <c r="M171" s="77"/>
      <c r="N171" s="77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9"/>
      <c r="Z171" s="79"/>
      <c r="AA171" s="79"/>
    </row>
    <row r="172" spans="1:27" ht="12.75" customHeight="1" x14ac:dyDescent="0.25">
      <c r="A172" s="72"/>
      <c r="B172" s="72"/>
      <c r="C172" s="73"/>
      <c r="D172" s="73"/>
      <c r="E172" s="73"/>
      <c r="F172" s="6"/>
      <c r="G172" s="54"/>
      <c r="H172" s="54"/>
      <c r="I172" s="7"/>
      <c r="J172" s="9"/>
      <c r="K172" s="9"/>
      <c r="L172" s="77"/>
      <c r="M172" s="77"/>
      <c r="N172" s="77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9"/>
      <c r="Z172" s="79"/>
      <c r="AA172" s="79"/>
    </row>
    <row r="173" spans="1:27" ht="12.75" customHeight="1" x14ac:dyDescent="0.25">
      <c r="A173" s="72"/>
      <c r="B173" s="72"/>
      <c r="C173" s="73"/>
      <c r="D173" s="73"/>
      <c r="E173" s="73"/>
      <c r="F173" s="6"/>
      <c r="G173" s="54"/>
      <c r="H173" s="54"/>
      <c r="I173" s="7"/>
      <c r="J173" s="9"/>
      <c r="K173" s="9"/>
      <c r="L173" s="77"/>
      <c r="M173" s="77"/>
      <c r="N173" s="77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9"/>
      <c r="Z173" s="79"/>
      <c r="AA173" s="79"/>
    </row>
    <row r="174" spans="1:27" ht="12.75" customHeight="1" x14ac:dyDescent="0.25">
      <c r="A174" s="72"/>
      <c r="B174" s="72"/>
      <c r="C174" s="73"/>
      <c r="D174" s="73"/>
      <c r="E174" s="73"/>
      <c r="F174" s="6"/>
      <c r="G174" s="54"/>
      <c r="H174" s="54"/>
      <c r="I174" s="7"/>
      <c r="J174" s="9"/>
      <c r="K174" s="9"/>
      <c r="L174" s="77"/>
      <c r="M174" s="77"/>
      <c r="N174" s="77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9"/>
      <c r="Z174" s="79"/>
      <c r="AA174" s="79"/>
    </row>
    <row r="175" spans="1:27" ht="12.75" customHeight="1" x14ac:dyDescent="0.25">
      <c r="A175" s="72"/>
      <c r="B175" s="72"/>
      <c r="C175" s="73"/>
      <c r="D175" s="73"/>
      <c r="E175" s="73"/>
      <c r="F175" s="6"/>
      <c r="G175" s="54"/>
      <c r="H175" s="54"/>
      <c r="I175" s="7"/>
      <c r="J175" s="9"/>
      <c r="K175" s="9"/>
      <c r="L175" s="77"/>
      <c r="M175" s="77"/>
      <c r="N175" s="77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9"/>
      <c r="Z175" s="79"/>
      <c r="AA175" s="79"/>
    </row>
    <row r="176" spans="1:27" ht="12.75" customHeight="1" x14ac:dyDescent="0.25">
      <c r="A176" s="72"/>
      <c r="B176" s="72"/>
      <c r="C176" s="73"/>
      <c r="D176" s="73"/>
      <c r="E176" s="73"/>
      <c r="F176" s="6"/>
      <c r="G176" s="54"/>
      <c r="H176" s="54"/>
      <c r="I176" s="7"/>
      <c r="J176" s="9"/>
      <c r="K176" s="9"/>
      <c r="L176" s="77"/>
      <c r="M176" s="77"/>
      <c r="N176" s="77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9"/>
      <c r="Z176" s="79"/>
      <c r="AA176" s="79"/>
    </row>
    <row r="177" spans="1:27" ht="12.75" customHeight="1" x14ac:dyDescent="0.25">
      <c r="A177" s="72"/>
      <c r="B177" s="72"/>
      <c r="C177" s="73"/>
      <c r="D177" s="73"/>
      <c r="E177" s="73"/>
      <c r="F177" s="6"/>
      <c r="G177" s="54"/>
      <c r="H177" s="54"/>
      <c r="I177" s="7"/>
      <c r="J177" s="9"/>
      <c r="K177" s="9"/>
      <c r="L177" s="77"/>
      <c r="M177" s="77"/>
      <c r="N177" s="77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9"/>
      <c r="Z177" s="79"/>
      <c r="AA177" s="79"/>
    </row>
    <row r="178" spans="1:27" ht="12.75" customHeight="1" x14ac:dyDescent="0.25">
      <c r="A178" s="72"/>
      <c r="B178" s="72"/>
      <c r="C178" s="73"/>
      <c r="D178" s="73"/>
      <c r="E178" s="73"/>
      <c r="F178" s="6"/>
      <c r="G178" s="54"/>
      <c r="H178" s="54"/>
      <c r="I178" s="7"/>
      <c r="J178" s="9"/>
      <c r="K178" s="9"/>
      <c r="L178" s="77"/>
      <c r="M178" s="77"/>
      <c r="N178" s="77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9"/>
      <c r="Z178" s="79"/>
      <c r="AA178" s="79"/>
    </row>
    <row r="179" spans="1:27" ht="12.75" customHeight="1" x14ac:dyDescent="0.25">
      <c r="A179" s="72"/>
      <c r="B179" s="72"/>
      <c r="C179" s="73"/>
      <c r="D179" s="73"/>
      <c r="E179" s="73"/>
      <c r="F179" s="6"/>
      <c r="G179" s="54"/>
      <c r="H179" s="54"/>
      <c r="I179" s="7"/>
      <c r="J179" s="9"/>
      <c r="K179" s="9"/>
      <c r="L179" s="77"/>
      <c r="M179" s="77"/>
      <c r="N179" s="77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9"/>
      <c r="Z179" s="79"/>
      <c r="AA179" s="79"/>
    </row>
    <row r="180" spans="1:27" ht="12.75" customHeight="1" x14ac:dyDescent="0.25">
      <c r="A180" s="72"/>
      <c r="B180" s="72"/>
      <c r="C180" s="73"/>
      <c r="D180" s="73"/>
      <c r="E180" s="73"/>
      <c r="F180" s="6"/>
      <c r="G180" s="54"/>
      <c r="H180" s="54"/>
      <c r="I180" s="7"/>
      <c r="J180" s="9"/>
      <c r="K180" s="9"/>
      <c r="L180" s="77"/>
      <c r="M180" s="77"/>
      <c r="N180" s="77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9"/>
      <c r="Z180" s="79"/>
      <c r="AA180" s="79"/>
    </row>
    <row r="181" spans="1:27" ht="12.75" customHeight="1" x14ac:dyDescent="0.25">
      <c r="A181" s="72"/>
      <c r="B181" s="72"/>
      <c r="C181" s="73"/>
      <c r="D181" s="73"/>
      <c r="E181" s="73"/>
      <c r="F181" s="6"/>
      <c r="G181" s="54"/>
      <c r="H181" s="54"/>
      <c r="I181" s="7"/>
      <c r="J181" s="9"/>
      <c r="K181" s="9"/>
      <c r="L181" s="77"/>
      <c r="M181" s="77"/>
      <c r="N181" s="77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9"/>
      <c r="Z181" s="79"/>
      <c r="AA181" s="79"/>
    </row>
    <row r="182" spans="1:27" ht="12.75" customHeight="1" x14ac:dyDescent="0.25">
      <c r="A182" s="72"/>
      <c r="B182" s="72"/>
      <c r="C182" s="73"/>
      <c r="D182" s="73"/>
      <c r="E182" s="73"/>
      <c r="F182" s="6"/>
      <c r="G182" s="54"/>
      <c r="H182" s="54"/>
      <c r="I182" s="7"/>
      <c r="J182" s="9"/>
      <c r="K182" s="9"/>
      <c r="L182" s="77"/>
      <c r="M182" s="77"/>
      <c r="N182" s="77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9"/>
      <c r="Z182" s="79"/>
      <c r="AA182" s="79"/>
    </row>
    <row r="183" spans="1:27" ht="12.75" customHeight="1" x14ac:dyDescent="0.25">
      <c r="A183" s="72"/>
      <c r="B183" s="72"/>
      <c r="C183" s="73"/>
      <c r="D183" s="73"/>
      <c r="E183" s="73"/>
      <c r="F183" s="6"/>
      <c r="G183" s="54"/>
      <c r="H183" s="54"/>
      <c r="I183" s="7"/>
      <c r="J183" s="9"/>
      <c r="K183" s="9"/>
      <c r="L183" s="77"/>
      <c r="M183" s="77"/>
      <c r="N183" s="77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9"/>
      <c r="Z183" s="79"/>
      <c r="AA183" s="79"/>
    </row>
    <row r="184" spans="1:27" ht="12.75" customHeight="1" x14ac:dyDescent="0.25">
      <c r="A184" s="72"/>
      <c r="B184" s="72"/>
      <c r="C184" s="73"/>
      <c r="D184" s="73"/>
      <c r="E184" s="73"/>
      <c r="F184" s="6"/>
      <c r="G184" s="54"/>
      <c r="H184" s="54"/>
      <c r="I184" s="7"/>
      <c r="J184" s="9"/>
      <c r="K184" s="9"/>
      <c r="L184" s="77"/>
      <c r="M184" s="77"/>
      <c r="N184" s="77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9"/>
      <c r="Z184" s="79"/>
      <c r="AA184" s="79"/>
    </row>
    <row r="185" spans="1:27" ht="12.75" customHeight="1" x14ac:dyDescent="0.25">
      <c r="A185" s="72"/>
      <c r="B185" s="72"/>
      <c r="C185" s="73"/>
      <c r="D185" s="73"/>
      <c r="E185" s="73"/>
      <c r="F185" s="6"/>
      <c r="G185" s="54"/>
      <c r="H185" s="54"/>
      <c r="I185" s="7"/>
      <c r="J185" s="9"/>
      <c r="K185" s="9"/>
      <c r="L185" s="77"/>
      <c r="M185" s="77"/>
      <c r="N185" s="77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9"/>
      <c r="Z185" s="79"/>
      <c r="AA185" s="79"/>
    </row>
    <row r="186" spans="1:27" ht="12.75" customHeight="1" x14ac:dyDescent="0.25">
      <c r="A186" s="72"/>
      <c r="B186" s="72"/>
      <c r="C186" s="73"/>
      <c r="D186" s="73"/>
      <c r="E186" s="73"/>
      <c r="F186" s="6"/>
      <c r="G186" s="54"/>
      <c r="H186" s="54"/>
      <c r="I186" s="7"/>
      <c r="J186" s="9"/>
      <c r="K186" s="9"/>
      <c r="L186" s="77"/>
      <c r="M186" s="77"/>
      <c r="N186" s="77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9"/>
      <c r="Z186" s="79"/>
      <c r="AA186" s="79"/>
    </row>
    <row r="187" spans="1:27" ht="12.75" customHeight="1" x14ac:dyDescent="0.25">
      <c r="A187" s="72"/>
      <c r="B187" s="72"/>
      <c r="C187" s="73"/>
      <c r="D187" s="73"/>
      <c r="E187" s="73"/>
      <c r="F187" s="6"/>
      <c r="G187" s="54"/>
      <c r="H187" s="54"/>
      <c r="I187" s="7"/>
      <c r="J187" s="9"/>
      <c r="K187" s="9"/>
      <c r="L187" s="77"/>
      <c r="M187" s="77"/>
      <c r="N187" s="77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9"/>
      <c r="Z187" s="79"/>
      <c r="AA187" s="79"/>
    </row>
    <row r="188" spans="1:27" ht="12.75" customHeight="1" x14ac:dyDescent="0.25">
      <c r="A188" s="72"/>
      <c r="B188" s="72"/>
      <c r="C188" s="73"/>
      <c r="D188" s="73"/>
      <c r="E188" s="73"/>
      <c r="F188" s="6"/>
      <c r="G188" s="54"/>
      <c r="H188" s="54"/>
      <c r="I188" s="7"/>
      <c r="J188" s="9"/>
      <c r="K188" s="9"/>
      <c r="L188" s="77"/>
      <c r="M188" s="77"/>
      <c r="N188" s="77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9"/>
      <c r="Z188" s="79"/>
      <c r="AA188" s="79"/>
    </row>
    <row r="189" spans="1:27" ht="12.75" customHeight="1" x14ac:dyDescent="0.25">
      <c r="A189" s="72"/>
      <c r="B189" s="72"/>
      <c r="C189" s="73"/>
      <c r="D189" s="73"/>
      <c r="E189" s="73"/>
      <c r="F189" s="6"/>
      <c r="G189" s="54"/>
      <c r="H189" s="54"/>
      <c r="I189" s="7"/>
      <c r="J189" s="9"/>
      <c r="K189" s="9"/>
      <c r="L189" s="77"/>
      <c r="M189" s="77"/>
      <c r="N189" s="77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9"/>
      <c r="Z189" s="79"/>
      <c r="AA189" s="79"/>
    </row>
    <row r="190" spans="1:27" ht="12.75" customHeight="1" x14ac:dyDescent="0.25">
      <c r="A190" s="72"/>
      <c r="B190" s="72"/>
      <c r="C190" s="73"/>
      <c r="D190" s="73"/>
      <c r="E190" s="73"/>
      <c r="F190" s="6"/>
      <c r="G190" s="54"/>
      <c r="H190" s="54"/>
      <c r="I190" s="7"/>
      <c r="J190" s="9"/>
      <c r="K190" s="9"/>
      <c r="L190" s="77"/>
      <c r="M190" s="77"/>
      <c r="N190" s="77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9"/>
      <c r="Z190" s="79"/>
      <c r="AA190" s="79"/>
    </row>
    <row r="191" spans="1:27" ht="12.75" customHeight="1" x14ac:dyDescent="0.25">
      <c r="A191" s="72"/>
      <c r="B191" s="72"/>
      <c r="C191" s="73"/>
      <c r="D191" s="73"/>
      <c r="E191" s="73"/>
      <c r="F191" s="6"/>
      <c r="G191" s="54"/>
      <c r="H191" s="54"/>
      <c r="I191" s="7"/>
      <c r="J191" s="9"/>
      <c r="K191" s="9"/>
      <c r="L191" s="77"/>
      <c r="M191" s="77"/>
      <c r="N191" s="77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9"/>
      <c r="Z191" s="79"/>
      <c r="AA191" s="79"/>
    </row>
    <row r="192" spans="1:27" ht="12.75" customHeight="1" x14ac:dyDescent="0.25">
      <c r="A192" s="72"/>
      <c r="B192" s="72"/>
      <c r="C192" s="73"/>
      <c r="D192" s="73"/>
      <c r="E192" s="73"/>
      <c r="F192" s="6"/>
      <c r="G192" s="54"/>
      <c r="H192" s="54"/>
      <c r="I192" s="7"/>
      <c r="J192" s="9"/>
      <c r="K192" s="9"/>
      <c r="L192" s="77"/>
      <c r="M192" s="77"/>
      <c r="N192" s="77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9"/>
      <c r="Z192" s="79"/>
      <c r="AA192" s="79"/>
    </row>
    <row r="193" spans="1:27" ht="12.75" customHeight="1" x14ac:dyDescent="0.25">
      <c r="A193" s="72"/>
      <c r="B193" s="72"/>
      <c r="C193" s="73"/>
      <c r="D193" s="73"/>
      <c r="E193" s="73"/>
      <c r="F193" s="6"/>
      <c r="G193" s="54"/>
      <c r="H193" s="54"/>
      <c r="I193" s="7"/>
      <c r="J193" s="9"/>
      <c r="K193" s="9"/>
      <c r="L193" s="77"/>
      <c r="M193" s="77"/>
      <c r="N193" s="77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9"/>
      <c r="Z193" s="79"/>
      <c r="AA193" s="79"/>
    </row>
    <row r="194" spans="1:27" ht="12.75" customHeight="1" x14ac:dyDescent="0.25">
      <c r="A194" s="72"/>
      <c r="B194" s="72"/>
      <c r="C194" s="73"/>
      <c r="D194" s="73"/>
      <c r="E194" s="73"/>
      <c r="F194" s="6"/>
      <c r="G194" s="54"/>
      <c r="H194" s="54"/>
      <c r="I194" s="7"/>
      <c r="J194" s="9"/>
      <c r="K194" s="9"/>
      <c r="L194" s="77"/>
      <c r="M194" s="77"/>
      <c r="N194" s="77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9"/>
      <c r="Z194" s="79"/>
      <c r="AA194" s="79"/>
    </row>
    <row r="195" spans="1:27" ht="12.75" customHeight="1" x14ac:dyDescent="0.25">
      <c r="A195" s="72"/>
      <c r="B195" s="72"/>
      <c r="C195" s="73"/>
      <c r="D195" s="73"/>
      <c r="E195" s="73"/>
      <c r="F195" s="6"/>
      <c r="G195" s="54"/>
      <c r="H195" s="54"/>
      <c r="I195" s="7"/>
      <c r="J195" s="9"/>
      <c r="K195" s="9"/>
      <c r="L195" s="77"/>
      <c r="M195" s="77"/>
      <c r="N195" s="77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9"/>
      <c r="Z195" s="79"/>
      <c r="AA195" s="79"/>
    </row>
    <row r="196" spans="1:27" ht="12.75" customHeight="1" x14ac:dyDescent="0.25">
      <c r="A196" s="72"/>
      <c r="B196" s="72"/>
      <c r="C196" s="73"/>
      <c r="D196" s="73"/>
      <c r="E196" s="73"/>
      <c r="F196" s="6"/>
      <c r="G196" s="54"/>
      <c r="H196" s="54"/>
      <c r="I196" s="7"/>
      <c r="J196" s="9"/>
      <c r="K196" s="9"/>
      <c r="L196" s="77"/>
      <c r="M196" s="77"/>
      <c r="N196" s="77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9"/>
      <c r="Z196" s="79"/>
      <c r="AA196" s="79"/>
    </row>
    <row r="197" spans="1:27" ht="12.75" customHeight="1" x14ac:dyDescent="0.25">
      <c r="A197" s="72"/>
      <c r="B197" s="72"/>
      <c r="C197" s="73"/>
      <c r="D197" s="73"/>
      <c r="E197" s="73"/>
      <c r="F197" s="6"/>
      <c r="G197" s="54"/>
      <c r="H197" s="54"/>
      <c r="I197" s="7"/>
      <c r="J197" s="9"/>
      <c r="K197" s="9"/>
      <c r="L197" s="77"/>
      <c r="M197" s="77"/>
      <c r="N197" s="77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9"/>
      <c r="Z197" s="79"/>
      <c r="AA197" s="79"/>
    </row>
    <row r="198" spans="1:27" ht="12.75" customHeight="1" x14ac:dyDescent="0.25">
      <c r="A198" s="72"/>
      <c r="B198" s="72"/>
      <c r="C198" s="73"/>
      <c r="D198" s="73"/>
      <c r="E198" s="73"/>
      <c r="F198" s="6"/>
      <c r="G198" s="54"/>
      <c r="H198" s="54"/>
      <c r="I198" s="7"/>
      <c r="J198" s="9"/>
      <c r="K198" s="9"/>
      <c r="L198" s="77"/>
      <c r="M198" s="77"/>
      <c r="N198" s="77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9"/>
      <c r="Z198" s="79"/>
      <c r="AA198" s="79"/>
    </row>
    <row r="199" spans="1:27" ht="12.75" customHeight="1" x14ac:dyDescent="0.25">
      <c r="A199" s="72"/>
      <c r="B199" s="72"/>
      <c r="C199" s="73"/>
      <c r="D199" s="73"/>
      <c r="E199" s="73"/>
      <c r="F199" s="6"/>
      <c r="G199" s="54"/>
      <c r="H199" s="54"/>
      <c r="I199" s="7"/>
      <c r="J199" s="9"/>
      <c r="K199" s="9"/>
      <c r="L199" s="77"/>
      <c r="M199" s="77"/>
      <c r="N199" s="77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9"/>
      <c r="Z199" s="79"/>
      <c r="AA199" s="79"/>
    </row>
    <row r="200" spans="1:27" ht="12.75" customHeight="1" x14ac:dyDescent="0.25">
      <c r="A200" s="72"/>
      <c r="B200" s="72"/>
      <c r="C200" s="73"/>
      <c r="D200" s="73"/>
      <c r="E200" s="73"/>
      <c r="F200" s="6"/>
      <c r="G200" s="54"/>
      <c r="H200" s="54"/>
      <c r="I200" s="7"/>
      <c r="J200" s="9"/>
      <c r="K200" s="9"/>
      <c r="L200" s="77"/>
      <c r="M200" s="77"/>
      <c r="N200" s="77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9"/>
      <c r="Z200" s="79"/>
      <c r="AA200" s="79"/>
    </row>
    <row r="201" spans="1:27" ht="12.75" customHeight="1" x14ac:dyDescent="0.25">
      <c r="A201" s="72"/>
      <c r="B201" s="72"/>
      <c r="C201" s="73"/>
      <c r="D201" s="73"/>
      <c r="E201" s="73"/>
      <c r="F201" s="6"/>
      <c r="G201" s="54"/>
      <c r="H201" s="54"/>
      <c r="I201" s="7"/>
      <c r="J201" s="9"/>
      <c r="K201" s="21"/>
      <c r="L201" s="77"/>
      <c r="M201" s="77"/>
      <c r="N201" s="77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9"/>
      <c r="Z201" s="79"/>
      <c r="AA201" s="79"/>
    </row>
    <row r="202" spans="1:27" ht="12.75" customHeight="1" x14ac:dyDescent="0.25">
      <c r="A202" s="72"/>
      <c r="B202" s="72"/>
      <c r="C202" s="73"/>
      <c r="D202" s="73"/>
      <c r="E202" s="73"/>
      <c r="F202" s="6"/>
      <c r="G202" s="54"/>
      <c r="H202" s="54"/>
      <c r="I202" s="7"/>
      <c r="J202" s="9"/>
      <c r="K202" s="9"/>
      <c r="L202" s="77"/>
      <c r="M202" s="77"/>
      <c r="N202" s="77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9"/>
      <c r="Z202" s="79"/>
      <c r="AA202" s="79"/>
    </row>
    <row r="203" spans="1:27" ht="12.75" customHeight="1" x14ac:dyDescent="0.25">
      <c r="A203" s="79"/>
      <c r="B203" s="79"/>
      <c r="C203" s="80"/>
      <c r="D203" s="80"/>
      <c r="E203" s="80"/>
      <c r="F203" s="6"/>
      <c r="G203" s="54"/>
      <c r="H203" s="54"/>
      <c r="I203" s="7"/>
      <c r="J203" s="9"/>
      <c r="K203" s="9"/>
      <c r="L203" s="77"/>
      <c r="M203" s="77"/>
      <c r="N203" s="77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9"/>
      <c r="Z203" s="79"/>
      <c r="AA203" s="79"/>
    </row>
    <row r="204" spans="1:27" ht="12.75" customHeight="1" x14ac:dyDescent="0.25">
      <c r="A204" s="79"/>
      <c r="B204" s="79"/>
      <c r="C204" s="80"/>
      <c r="D204" s="80"/>
      <c r="E204" s="80"/>
      <c r="F204" s="6"/>
      <c r="G204" s="54"/>
      <c r="H204" s="54"/>
      <c r="I204" s="7"/>
      <c r="J204" s="9"/>
      <c r="K204" s="9"/>
      <c r="L204" s="77"/>
      <c r="M204" s="77"/>
      <c r="N204" s="77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9"/>
      <c r="Z204" s="79"/>
      <c r="AA204" s="79"/>
    </row>
    <row r="205" spans="1:27" ht="12.75" customHeight="1" x14ac:dyDescent="0.25">
      <c r="A205" s="79"/>
      <c r="B205" s="79"/>
      <c r="C205" s="80"/>
      <c r="D205" s="80"/>
      <c r="E205" s="80"/>
      <c r="F205" s="6"/>
      <c r="G205" s="54"/>
      <c r="H205" s="54"/>
      <c r="I205" s="7"/>
      <c r="J205" s="9"/>
      <c r="K205" s="9"/>
      <c r="L205" s="77"/>
      <c r="M205" s="77"/>
      <c r="N205" s="77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9"/>
      <c r="Z205" s="79"/>
      <c r="AA205" s="79"/>
    </row>
    <row r="206" spans="1:27" ht="12.75" customHeight="1" x14ac:dyDescent="0.25">
      <c r="A206" s="79"/>
      <c r="B206" s="79"/>
      <c r="C206" s="80"/>
      <c r="D206" s="80"/>
      <c r="E206" s="80"/>
      <c r="F206" s="6"/>
      <c r="G206" s="54"/>
      <c r="H206" s="54"/>
      <c r="I206" s="7"/>
      <c r="J206" s="9"/>
      <c r="K206" s="9"/>
      <c r="L206" s="77"/>
      <c r="M206" s="77"/>
      <c r="N206" s="77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9"/>
      <c r="Z206" s="79"/>
      <c r="AA206" s="79"/>
    </row>
    <row r="207" spans="1:27" ht="12.75" customHeight="1" x14ac:dyDescent="0.25">
      <c r="A207" s="79"/>
      <c r="B207" s="79"/>
      <c r="C207" s="80"/>
      <c r="D207" s="80"/>
      <c r="E207" s="80"/>
      <c r="F207" s="6"/>
      <c r="G207" s="54"/>
      <c r="H207" s="54"/>
      <c r="I207" s="7"/>
      <c r="J207" s="9"/>
      <c r="K207" s="9"/>
      <c r="L207" s="77"/>
      <c r="M207" s="77"/>
      <c r="N207" s="77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9"/>
      <c r="Z207" s="79"/>
      <c r="AA207" s="79"/>
    </row>
    <row r="208" spans="1:27" ht="12.75" customHeight="1" x14ac:dyDescent="0.25">
      <c r="A208" s="79"/>
      <c r="B208" s="79"/>
      <c r="C208" s="80"/>
      <c r="D208" s="80"/>
      <c r="E208" s="80"/>
      <c r="F208" s="6"/>
      <c r="G208" s="54"/>
      <c r="H208" s="54"/>
      <c r="I208" s="7"/>
      <c r="J208" s="9"/>
      <c r="K208" s="9"/>
      <c r="L208" s="77"/>
      <c r="M208" s="77"/>
      <c r="N208" s="77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9"/>
      <c r="Z208" s="79"/>
      <c r="AA208" s="79"/>
    </row>
    <row r="209" spans="1:27" ht="12.75" customHeight="1" x14ac:dyDescent="0.25">
      <c r="A209" s="79"/>
      <c r="B209" s="79"/>
      <c r="C209" s="80"/>
      <c r="D209" s="80"/>
      <c r="E209" s="80"/>
      <c r="F209" s="6"/>
      <c r="G209" s="54"/>
      <c r="H209" s="54"/>
      <c r="I209" s="7"/>
      <c r="J209" s="9"/>
      <c r="K209" s="9"/>
      <c r="L209" s="77"/>
      <c r="M209" s="77"/>
      <c r="N209" s="77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9"/>
      <c r="Z209" s="79"/>
      <c r="AA209" s="79"/>
    </row>
    <row r="210" spans="1:27" ht="12.75" customHeight="1" x14ac:dyDescent="0.25">
      <c r="A210" s="79"/>
      <c r="B210" s="79"/>
      <c r="C210" s="80"/>
      <c r="D210" s="80"/>
      <c r="E210" s="80"/>
      <c r="F210" s="6"/>
      <c r="G210" s="54"/>
      <c r="H210" s="54"/>
      <c r="I210" s="7"/>
      <c r="J210" s="9"/>
      <c r="K210" s="9"/>
      <c r="L210" s="77"/>
      <c r="M210" s="77"/>
      <c r="N210" s="77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9"/>
      <c r="Z210" s="79"/>
      <c r="AA210" s="79"/>
    </row>
    <row r="211" spans="1:27" ht="12.75" customHeight="1" x14ac:dyDescent="0.25">
      <c r="A211" s="79"/>
      <c r="B211" s="79"/>
      <c r="C211" s="80"/>
      <c r="D211" s="80"/>
      <c r="E211" s="80"/>
      <c r="F211" s="6"/>
      <c r="G211" s="54"/>
      <c r="H211" s="54"/>
      <c r="I211" s="7"/>
      <c r="J211" s="9"/>
      <c r="K211" s="9"/>
      <c r="L211" s="77"/>
      <c r="M211" s="77"/>
      <c r="N211" s="77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9"/>
      <c r="Z211" s="79"/>
      <c r="AA211" s="79"/>
    </row>
    <row r="212" spans="1:27" ht="12.75" customHeight="1" x14ac:dyDescent="0.25">
      <c r="A212" s="79"/>
      <c r="B212" s="79"/>
      <c r="C212" s="80"/>
      <c r="D212" s="80"/>
      <c r="E212" s="80"/>
      <c r="F212" s="6"/>
      <c r="G212" s="54"/>
      <c r="H212" s="54"/>
      <c r="I212" s="7"/>
      <c r="J212" s="9"/>
      <c r="K212" s="9"/>
      <c r="L212" s="77"/>
      <c r="M212" s="77"/>
      <c r="N212" s="77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9"/>
      <c r="Z212" s="79"/>
      <c r="AA212" s="79"/>
    </row>
    <row r="213" spans="1:27" ht="12.75" customHeight="1" x14ac:dyDescent="0.25">
      <c r="A213" s="79"/>
      <c r="B213" s="79"/>
      <c r="C213" s="80"/>
      <c r="D213" s="80"/>
      <c r="E213" s="80"/>
      <c r="F213" s="6"/>
      <c r="G213" s="54"/>
      <c r="H213" s="54"/>
      <c r="I213" s="7"/>
      <c r="J213" s="9"/>
      <c r="K213" s="9"/>
      <c r="L213" s="77"/>
      <c r="M213" s="77"/>
      <c r="N213" s="77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9"/>
      <c r="Z213" s="79"/>
      <c r="AA213" s="79"/>
    </row>
    <row r="214" spans="1:27" ht="12.75" customHeight="1" x14ac:dyDescent="0.25">
      <c r="A214" s="79"/>
      <c r="B214" s="79"/>
      <c r="C214" s="80"/>
      <c r="D214" s="80"/>
      <c r="E214" s="80"/>
      <c r="F214" s="6"/>
      <c r="G214" s="54"/>
      <c r="H214" s="54"/>
      <c r="I214" s="7"/>
      <c r="J214" s="9"/>
      <c r="K214" s="9"/>
      <c r="L214" s="77"/>
      <c r="M214" s="77"/>
      <c r="N214" s="77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9"/>
      <c r="Z214" s="79"/>
      <c r="AA214" s="79"/>
    </row>
    <row r="215" spans="1:27" ht="12.75" customHeight="1" x14ac:dyDescent="0.25">
      <c r="A215" s="79"/>
      <c r="B215" s="79"/>
      <c r="C215" s="80"/>
      <c r="D215" s="80"/>
      <c r="E215" s="80"/>
      <c r="F215" s="6"/>
      <c r="G215" s="54"/>
      <c r="H215" s="54"/>
      <c r="I215" s="7"/>
      <c r="J215" s="9"/>
      <c r="K215" s="9"/>
      <c r="L215" s="77"/>
      <c r="M215" s="77"/>
      <c r="N215" s="77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9"/>
      <c r="Z215" s="79"/>
      <c r="AA215" s="79"/>
    </row>
    <row r="216" spans="1:27" ht="12.75" customHeight="1" x14ac:dyDescent="0.25">
      <c r="A216" s="79"/>
      <c r="B216" s="79"/>
      <c r="C216" s="80"/>
      <c r="D216" s="80"/>
      <c r="E216" s="80"/>
      <c r="F216" s="6"/>
      <c r="G216" s="54"/>
      <c r="H216" s="54"/>
      <c r="I216" s="7"/>
      <c r="J216" s="9"/>
      <c r="K216" s="9"/>
      <c r="L216" s="77"/>
      <c r="M216" s="77"/>
      <c r="N216" s="77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9"/>
      <c r="Z216" s="79"/>
      <c r="AA216" s="79"/>
    </row>
    <row r="217" spans="1:27" ht="12.75" customHeight="1" x14ac:dyDescent="0.25">
      <c r="A217" s="79"/>
      <c r="B217" s="79"/>
      <c r="C217" s="80"/>
      <c r="D217" s="80"/>
      <c r="E217" s="80"/>
      <c r="F217" s="6"/>
      <c r="G217" s="54"/>
      <c r="H217" s="54"/>
      <c r="I217" s="7"/>
      <c r="J217" s="9"/>
      <c r="K217" s="9"/>
      <c r="L217" s="77"/>
      <c r="M217" s="77"/>
      <c r="N217" s="77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9"/>
      <c r="Z217" s="79"/>
      <c r="AA217" s="79"/>
    </row>
    <row r="218" spans="1:27" ht="12.75" customHeight="1" x14ac:dyDescent="0.25">
      <c r="A218" s="79"/>
      <c r="B218" s="79"/>
      <c r="C218" s="80"/>
      <c r="D218" s="80"/>
      <c r="E218" s="80"/>
      <c r="F218" s="6"/>
      <c r="G218" s="54"/>
      <c r="H218" s="54"/>
      <c r="I218" s="7"/>
      <c r="J218" s="9"/>
      <c r="K218" s="9"/>
      <c r="L218" s="77"/>
      <c r="M218" s="77"/>
      <c r="N218" s="77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9"/>
      <c r="Z218" s="79"/>
      <c r="AA218" s="79"/>
    </row>
    <row r="219" spans="1:27" ht="12.75" customHeight="1" x14ac:dyDescent="0.25">
      <c r="A219" s="79"/>
      <c r="B219" s="79"/>
      <c r="C219" s="80"/>
      <c r="D219" s="80"/>
      <c r="E219" s="80"/>
      <c r="F219" s="6"/>
      <c r="G219" s="54"/>
      <c r="H219" s="54"/>
      <c r="I219" s="7"/>
      <c r="J219" s="9"/>
      <c r="K219" s="9"/>
      <c r="L219" s="77"/>
      <c r="M219" s="77"/>
      <c r="N219" s="77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9"/>
      <c r="Z219" s="79"/>
      <c r="AA219" s="79"/>
    </row>
    <row r="220" spans="1:27" ht="12.75" customHeight="1" x14ac:dyDescent="0.25">
      <c r="A220" s="79"/>
      <c r="B220" s="79"/>
      <c r="C220" s="80"/>
      <c r="D220" s="80"/>
      <c r="E220" s="80"/>
      <c r="F220" s="6"/>
      <c r="G220" s="54"/>
      <c r="H220" s="54"/>
      <c r="I220" s="7"/>
      <c r="J220" s="9"/>
      <c r="K220" s="9"/>
      <c r="L220" s="77"/>
      <c r="M220" s="77"/>
      <c r="N220" s="77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9"/>
      <c r="Z220" s="79"/>
      <c r="AA220" s="79"/>
    </row>
    <row r="221" spans="1:27" ht="12.75" customHeight="1" x14ac:dyDescent="0.25">
      <c r="A221" s="79"/>
      <c r="B221" s="79"/>
      <c r="C221" s="80"/>
      <c r="D221" s="80"/>
      <c r="E221" s="80"/>
      <c r="F221" s="6"/>
      <c r="G221" s="54"/>
      <c r="H221" s="54"/>
      <c r="I221" s="7"/>
      <c r="J221" s="9"/>
      <c r="K221" s="9"/>
      <c r="L221" s="77"/>
      <c r="M221" s="77"/>
      <c r="N221" s="77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9"/>
      <c r="Z221" s="79"/>
      <c r="AA221" s="79"/>
    </row>
    <row r="222" spans="1:27" ht="12.75" customHeight="1" x14ac:dyDescent="0.25">
      <c r="A222" s="79"/>
      <c r="B222" s="79"/>
      <c r="C222" s="80"/>
      <c r="D222" s="80"/>
      <c r="E222" s="80"/>
      <c r="F222" s="6"/>
      <c r="G222" s="54"/>
      <c r="H222" s="54"/>
      <c r="I222" s="7"/>
      <c r="J222" s="9"/>
      <c r="K222" s="9"/>
      <c r="L222" s="77"/>
      <c r="M222" s="77"/>
      <c r="N222" s="77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9"/>
      <c r="Z222" s="79"/>
      <c r="AA222" s="79"/>
    </row>
    <row r="223" spans="1:27" ht="12.75" customHeight="1" x14ac:dyDescent="0.25">
      <c r="A223" s="79"/>
      <c r="B223" s="79"/>
      <c r="C223" s="80"/>
      <c r="D223" s="80"/>
      <c r="E223" s="80"/>
      <c r="F223" s="6"/>
      <c r="G223" s="54"/>
      <c r="H223" s="54"/>
      <c r="I223" s="7"/>
      <c r="J223" s="9"/>
      <c r="K223" s="9"/>
      <c r="L223" s="77"/>
      <c r="M223" s="77"/>
      <c r="N223" s="77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9"/>
      <c r="Z223" s="79"/>
      <c r="AA223" s="79"/>
    </row>
    <row r="224" spans="1:27" ht="12.75" customHeight="1" x14ac:dyDescent="0.25">
      <c r="A224" s="79"/>
      <c r="B224" s="79"/>
      <c r="C224" s="80"/>
      <c r="D224" s="80"/>
      <c r="E224" s="80"/>
      <c r="F224" s="6"/>
      <c r="G224" s="54"/>
      <c r="H224" s="54"/>
      <c r="I224" s="7"/>
      <c r="J224" s="9"/>
      <c r="K224" s="9"/>
      <c r="L224" s="77"/>
      <c r="M224" s="77"/>
      <c r="N224" s="77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9"/>
      <c r="Z224" s="79"/>
      <c r="AA224" s="79"/>
    </row>
    <row r="225" spans="1:27" ht="12.75" customHeight="1" x14ac:dyDescent="0.25">
      <c r="A225" s="79"/>
      <c r="B225" s="79"/>
      <c r="C225" s="80"/>
      <c r="D225" s="80"/>
      <c r="E225" s="80"/>
      <c r="F225" s="6"/>
      <c r="G225" s="54"/>
      <c r="H225" s="54"/>
      <c r="I225" s="7"/>
      <c r="J225" s="9"/>
      <c r="K225" s="9"/>
      <c r="L225" s="77"/>
      <c r="M225" s="77"/>
      <c r="N225" s="77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9"/>
      <c r="Z225" s="79"/>
      <c r="AA225" s="79"/>
    </row>
    <row r="226" spans="1:27" ht="12.75" customHeight="1" x14ac:dyDescent="0.25">
      <c r="A226" s="79"/>
      <c r="B226" s="79"/>
      <c r="C226" s="80"/>
      <c r="D226" s="80"/>
      <c r="E226" s="80"/>
      <c r="F226" s="6"/>
      <c r="G226" s="54"/>
      <c r="H226" s="54"/>
      <c r="I226" s="7"/>
      <c r="J226" s="9"/>
      <c r="K226" s="9"/>
      <c r="L226" s="77"/>
      <c r="M226" s="77"/>
      <c r="N226" s="77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9"/>
      <c r="Z226" s="79"/>
      <c r="AA226" s="79"/>
    </row>
    <row r="227" spans="1:27" ht="12.75" customHeight="1" x14ac:dyDescent="0.25">
      <c r="A227" s="79"/>
      <c r="B227" s="79"/>
      <c r="C227" s="80"/>
      <c r="D227" s="80"/>
      <c r="E227" s="80"/>
      <c r="F227" s="6"/>
      <c r="G227" s="54"/>
      <c r="H227" s="54"/>
      <c r="I227" s="7"/>
      <c r="J227" s="9"/>
      <c r="K227" s="9"/>
      <c r="L227" s="77"/>
      <c r="M227" s="77"/>
      <c r="N227" s="77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9"/>
      <c r="Z227" s="79"/>
      <c r="AA227" s="79"/>
    </row>
    <row r="228" spans="1:27" ht="12.75" customHeight="1" x14ac:dyDescent="0.25">
      <c r="A228" s="79"/>
      <c r="B228" s="79"/>
      <c r="C228" s="80"/>
      <c r="D228" s="80"/>
      <c r="E228" s="80"/>
      <c r="F228" s="6"/>
      <c r="G228" s="54"/>
      <c r="H228" s="54"/>
      <c r="I228" s="7"/>
      <c r="J228" s="9"/>
      <c r="K228" s="9"/>
      <c r="L228" s="77"/>
      <c r="M228" s="77"/>
      <c r="N228" s="77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9"/>
      <c r="Z228" s="79"/>
      <c r="AA228" s="79"/>
    </row>
    <row r="229" spans="1:27" ht="12.75" customHeight="1" x14ac:dyDescent="0.25">
      <c r="A229" s="79"/>
      <c r="B229" s="79"/>
      <c r="C229" s="80"/>
      <c r="D229" s="80"/>
      <c r="E229" s="80"/>
      <c r="F229" s="6"/>
      <c r="G229" s="54"/>
      <c r="H229" s="54"/>
      <c r="I229" s="7"/>
      <c r="J229" s="9"/>
      <c r="K229" s="9"/>
      <c r="L229" s="77"/>
      <c r="M229" s="77"/>
      <c r="N229" s="77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9"/>
      <c r="Z229" s="79"/>
      <c r="AA229" s="79"/>
    </row>
    <row r="230" spans="1:27" ht="12.75" customHeight="1" x14ac:dyDescent="0.25">
      <c r="A230" s="79"/>
      <c r="B230" s="79"/>
      <c r="C230" s="80"/>
      <c r="D230" s="80"/>
      <c r="E230" s="80"/>
      <c r="F230" s="6"/>
      <c r="G230" s="54"/>
      <c r="H230" s="54"/>
      <c r="I230" s="7"/>
      <c r="J230" s="9"/>
      <c r="K230" s="9"/>
      <c r="L230" s="77"/>
      <c r="M230" s="77"/>
      <c r="N230" s="77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9"/>
      <c r="Z230" s="79"/>
      <c r="AA230" s="79"/>
    </row>
    <row r="231" spans="1:27" ht="12.75" customHeight="1" x14ac:dyDescent="0.25">
      <c r="A231" s="79"/>
      <c r="B231" s="79"/>
      <c r="C231" s="80"/>
      <c r="D231" s="80"/>
      <c r="E231" s="80"/>
      <c r="F231" s="6"/>
      <c r="G231" s="54"/>
      <c r="H231" s="54"/>
      <c r="I231" s="7"/>
      <c r="J231" s="9"/>
      <c r="K231" s="9"/>
      <c r="L231" s="77"/>
      <c r="M231" s="77"/>
      <c r="N231" s="77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9"/>
      <c r="Z231" s="79"/>
      <c r="AA231" s="79"/>
    </row>
    <row r="232" spans="1:27" ht="12.75" customHeight="1" x14ac:dyDescent="0.25">
      <c r="A232" s="79"/>
      <c r="B232" s="79"/>
      <c r="C232" s="80"/>
      <c r="D232" s="80"/>
      <c r="E232" s="80"/>
      <c r="F232" s="6"/>
      <c r="G232" s="54"/>
      <c r="H232" s="54"/>
      <c r="I232" s="7"/>
      <c r="J232" s="9"/>
      <c r="K232" s="9"/>
      <c r="L232" s="77"/>
      <c r="M232" s="77"/>
      <c r="N232" s="77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9"/>
      <c r="Z232" s="79"/>
      <c r="AA232" s="79"/>
    </row>
    <row r="233" spans="1:27" ht="12.75" customHeight="1" x14ac:dyDescent="0.25">
      <c r="A233" s="79"/>
      <c r="B233" s="79"/>
      <c r="C233" s="80"/>
      <c r="D233" s="80"/>
      <c r="E233" s="80"/>
      <c r="F233" s="6"/>
      <c r="G233" s="54"/>
      <c r="H233" s="54"/>
      <c r="I233" s="7"/>
      <c r="J233" s="9"/>
      <c r="K233" s="9"/>
      <c r="L233" s="77"/>
      <c r="M233" s="77"/>
      <c r="N233" s="77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9"/>
      <c r="Z233" s="79"/>
      <c r="AA233" s="79"/>
    </row>
    <row r="234" spans="1:27" ht="12.75" customHeight="1" x14ac:dyDescent="0.25">
      <c r="A234" s="79"/>
      <c r="B234" s="79"/>
      <c r="C234" s="80"/>
      <c r="D234" s="80"/>
      <c r="E234" s="80"/>
      <c r="F234" s="6"/>
      <c r="G234" s="54"/>
      <c r="H234" s="54"/>
      <c r="I234" s="7"/>
      <c r="J234" s="9"/>
      <c r="K234" s="9"/>
      <c r="L234" s="77"/>
      <c r="M234" s="77"/>
      <c r="N234" s="77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9"/>
      <c r="Z234" s="79"/>
      <c r="AA234" s="79"/>
    </row>
    <row r="235" spans="1:27" ht="12.75" customHeight="1" x14ac:dyDescent="0.25">
      <c r="A235" s="79"/>
      <c r="B235" s="79"/>
      <c r="C235" s="80"/>
      <c r="D235" s="80"/>
      <c r="E235" s="80"/>
      <c r="F235" s="6"/>
      <c r="G235" s="54"/>
      <c r="H235" s="54"/>
      <c r="I235" s="7"/>
      <c r="J235" s="9"/>
      <c r="K235" s="9"/>
      <c r="L235" s="77"/>
      <c r="M235" s="77"/>
      <c r="N235" s="77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9"/>
      <c r="Z235" s="79"/>
      <c r="AA235" s="79"/>
    </row>
    <row r="236" spans="1:27" ht="12.75" customHeight="1" x14ac:dyDescent="0.25">
      <c r="A236" s="79"/>
      <c r="B236" s="79"/>
      <c r="C236" s="80"/>
      <c r="D236" s="80"/>
      <c r="E236" s="80"/>
      <c r="F236" s="6"/>
      <c r="G236" s="54"/>
      <c r="H236" s="54"/>
      <c r="I236" s="7"/>
      <c r="J236" s="9"/>
      <c r="K236" s="9"/>
      <c r="L236" s="77"/>
      <c r="M236" s="77"/>
      <c r="N236" s="77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9"/>
      <c r="Z236" s="79"/>
      <c r="AA236" s="79"/>
    </row>
    <row r="237" spans="1:27" ht="12.75" customHeight="1" x14ac:dyDescent="0.25">
      <c r="A237" s="79"/>
      <c r="B237" s="79"/>
      <c r="C237" s="80"/>
      <c r="D237" s="80"/>
      <c r="E237" s="80"/>
      <c r="F237" s="6"/>
      <c r="G237" s="54"/>
      <c r="H237" s="54"/>
      <c r="I237" s="7"/>
      <c r="J237" s="9"/>
      <c r="K237" s="9"/>
      <c r="L237" s="77"/>
      <c r="M237" s="77"/>
      <c r="N237" s="77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9"/>
      <c r="Z237" s="79"/>
      <c r="AA237" s="79"/>
    </row>
    <row r="238" spans="1:27" ht="12.75" customHeight="1" x14ac:dyDescent="0.25">
      <c r="A238" s="79"/>
      <c r="B238" s="79"/>
      <c r="C238" s="80"/>
      <c r="D238" s="80"/>
      <c r="E238" s="80"/>
      <c r="F238" s="6"/>
      <c r="G238" s="54"/>
      <c r="H238" s="54"/>
      <c r="I238" s="7"/>
      <c r="J238" s="9"/>
      <c r="K238" s="9"/>
      <c r="L238" s="77"/>
      <c r="M238" s="77"/>
      <c r="N238" s="77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9"/>
      <c r="Z238" s="79"/>
      <c r="AA238" s="79"/>
    </row>
    <row r="239" spans="1:27" ht="12.75" customHeight="1" x14ac:dyDescent="0.25">
      <c r="A239" s="79"/>
      <c r="B239" s="79"/>
      <c r="C239" s="80"/>
      <c r="D239" s="80"/>
      <c r="E239" s="80"/>
      <c r="F239" s="6"/>
      <c r="G239" s="54"/>
      <c r="H239" s="54"/>
      <c r="I239" s="7"/>
      <c r="J239" s="9"/>
      <c r="K239" s="9"/>
      <c r="L239" s="77"/>
      <c r="M239" s="77"/>
      <c r="N239" s="77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9"/>
      <c r="Z239" s="79"/>
      <c r="AA239" s="79"/>
    </row>
    <row r="240" spans="1:27" ht="12.75" customHeight="1" x14ac:dyDescent="0.25">
      <c r="A240" s="79"/>
      <c r="B240" s="79"/>
      <c r="C240" s="80"/>
      <c r="D240" s="80"/>
      <c r="E240" s="80"/>
      <c r="F240" s="6"/>
      <c r="G240" s="54"/>
      <c r="H240" s="54"/>
      <c r="I240" s="7"/>
      <c r="J240" s="9"/>
      <c r="K240" s="9"/>
      <c r="L240" s="77"/>
      <c r="M240" s="77"/>
      <c r="N240" s="77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9"/>
      <c r="Z240" s="79"/>
      <c r="AA240" s="79"/>
    </row>
    <row r="241" spans="1:27" ht="12.75" customHeight="1" x14ac:dyDescent="0.25">
      <c r="A241" s="79"/>
      <c r="B241" s="79"/>
      <c r="C241" s="80"/>
      <c r="D241" s="80">
        <v>10.050000000000001</v>
      </c>
      <c r="E241" s="80"/>
      <c r="F241" s="6"/>
      <c r="G241" s="54"/>
      <c r="H241" s="54"/>
      <c r="I241" s="7"/>
      <c r="J241" s="9"/>
      <c r="K241" s="9"/>
      <c r="L241" s="77"/>
      <c r="M241" s="77"/>
      <c r="N241" s="77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9"/>
      <c r="Z241" s="79"/>
      <c r="AA241" s="79"/>
    </row>
    <row r="242" spans="1:27" ht="12.75" customHeight="1" x14ac:dyDescent="0.25">
      <c r="A242" s="79"/>
      <c r="B242" s="79"/>
      <c r="C242" s="80"/>
      <c r="D242" s="80"/>
      <c r="E242" s="80"/>
      <c r="F242" s="6"/>
      <c r="G242" s="54"/>
      <c r="H242" s="54"/>
      <c r="I242" s="7"/>
      <c r="J242" s="9"/>
      <c r="K242" s="9"/>
      <c r="L242" s="77"/>
      <c r="M242" s="77"/>
      <c r="N242" s="77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9"/>
      <c r="Z242" s="79"/>
      <c r="AA242" s="79"/>
    </row>
    <row r="243" spans="1:27" ht="12.75" customHeight="1" x14ac:dyDescent="0.25">
      <c r="A243" s="79"/>
      <c r="B243" s="79"/>
      <c r="C243" s="80"/>
      <c r="D243" s="80"/>
      <c r="E243" s="80"/>
      <c r="F243" s="6"/>
      <c r="G243" s="54"/>
      <c r="H243" s="54"/>
      <c r="I243" s="7"/>
      <c r="J243" s="9"/>
      <c r="K243" s="9"/>
      <c r="L243" s="77"/>
      <c r="M243" s="77"/>
      <c r="N243" s="77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9"/>
      <c r="Z243" s="79"/>
      <c r="AA243" s="79"/>
    </row>
    <row r="244" spans="1:27" ht="12.75" customHeight="1" x14ac:dyDescent="0.25">
      <c r="A244" s="79"/>
      <c r="B244" s="79"/>
      <c r="C244" s="80"/>
      <c r="D244" s="80"/>
      <c r="E244" s="80"/>
      <c r="F244" s="6"/>
      <c r="G244" s="54"/>
      <c r="H244" s="54"/>
      <c r="I244" s="7"/>
      <c r="J244" s="9"/>
      <c r="K244" s="9"/>
      <c r="L244" s="77"/>
      <c r="M244" s="77"/>
      <c r="N244" s="77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9"/>
      <c r="Z244" s="79"/>
      <c r="AA244" s="79"/>
    </row>
    <row r="245" spans="1:27" ht="12.75" customHeight="1" x14ac:dyDescent="0.25">
      <c r="A245" s="79"/>
      <c r="B245" s="79"/>
      <c r="C245" s="80"/>
      <c r="D245" s="80"/>
      <c r="E245" s="80"/>
      <c r="F245" s="6"/>
      <c r="G245" s="54"/>
      <c r="H245" s="54"/>
      <c r="I245" s="7"/>
      <c r="J245" s="9"/>
      <c r="K245" s="9"/>
      <c r="L245" s="77"/>
      <c r="M245" s="77"/>
      <c r="N245" s="77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9"/>
      <c r="Z245" s="79"/>
      <c r="AA245" s="79"/>
    </row>
    <row r="246" spans="1:27" ht="12.75" customHeight="1" x14ac:dyDescent="0.25">
      <c r="A246" s="79"/>
      <c r="B246" s="79"/>
      <c r="C246" s="80"/>
      <c r="D246" s="80"/>
      <c r="E246" s="80"/>
      <c r="F246" s="6"/>
      <c r="G246" s="54"/>
      <c r="H246" s="54"/>
      <c r="I246" s="7"/>
      <c r="J246" s="9"/>
      <c r="K246" s="9"/>
      <c r="L246" s="77"/>
      <c r="M246" s="77"/>
      <c r="N246" s="77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9"/>
      <c r="Z246" s="79"/>
      <c r="AA246" s="79"/>
    </row>
    <row r="247" spans="1:27" ht="12.75" customHeight="1" x14ac:dyDescent="0.25">
      <c r="A247" s="79"/>
      <c r="B247" s="79"/>
      <c r="C247" s="80"/>
      <c r="D247" s="80"/>
      <c r="E247" s="80"/>
      <c r="F247" s="6"/>
      <c r="G247" s="54"/>
      <c r="H247" s="54"/>
      <c r="I247" s="7"/>
      <c r="J247" s="9"/>
      <c r="K247" s="9"/>
      <c r="L247" s="77"/>
      <c r="M247" s="77"/>
      <c r="N247" s="77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9"/>
      <c r="Z247" s="79"/>
      <c r="AA247" s="79"/>
    </row>
    <row r="248" spans="1:27" ht="12.75" customHeight="1" x14ac:dyDescent="0.25">
      <c r="A248" s="79"/>
      <c r="B248" s="79"/>
      <c r="C248" s="80"/>
      <c r="D248" s="80"/>
      <c r="E248" s="80"/>
      <c r="F248" s="6"/>
      <c r="G248" s="54"/>
      <c r="H248" s="54"/>
      <c r="I248" s="7"/>
      <c r="J248" s="9"/>
      <c r="K248" s="9"/>
      <c r="L248" s="77"/>
      <c r="M248" s="77"/>
      <c r="N248" s="77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9"/>
      <c r="Z248" s="79"/>
      <c r="AA248" s="79"/>
    </row>
    <row r="249" spans="1:27" ht="12.75" customHeight="1" x14ac:dyDescent="0.25">
      <c r="A249" s="79"/>
      <c r="B249" s="79"/>
      <c r="C249" s="80"/>
      <c r="D249" s="80"/>
      <c r="E249" s="80"/>
      <c r="F249" s="6"/>
      <c r="G249" s="54"/>
      <c r="H249" s="54"/>
      <c r="I249" s="7"/>
      <c r="J249" s="9"/>
      <c r="K249" s="9"/>
      <c r="L249" s="77"/>
      <c r="M249" s="77"/>
      <c r="N249" s="77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9"/>
      <c r="Z249" s="79"/>
      <c r="AA249" s="79"/>
    </row>
    <row r="250" spans="1:27" ht="12.75" customHeight="1" x14ac:dyDescent="0.25">
      <c r="A250" s="79"/>
      <c r="B250" s="79"/>
      <c r="C250" s="80"/>
      <c r="D250" s="80"/>
      <c r="E250" s="80"/>
      <c r="F250" s="6"/>
      <c r="G250" s="54"/>
      <c r="H250" s="54"/>
      <c r="I250" s="7"/>
      <c r="J250" s="9"/>
      <c r="K250" s="9"/>
      <c r="L250" s="77"/>
      <c r="M250" s="77"/>
      <c r="N250" s="77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9"/>
      <c r="Z250" s="79"/>
      <c r="AA250" s="79"/>
    </row>
    <row r="251" spans="1:27" ht="12.75" customHeight="1" x14ac:dyDescent="0.25">
      <c r="A251" s="79"/>
      <c r="B251" s="79"/>
      <c r="C251" s="80"/>
      <c r="D251" s="80"/>
      <c r="E251" s="80"/>
      <c r="F251" s="6"/>
      <c r="G251" s="54"/>
      <c r="H251" s="54"/>
      <c r="I251" s="7"/>
      <c r="J251" s="9"/>
      <c r="K251" s="9"/>
      <c r="L251" s="77"/>
      <c r="M251" s="77"/>
      <c r="N251" s="77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9"/>
      <c r="Z251" s="79"/>
      <c r="AA251" s="79"/>
    </row>
    <row r="252" spans="1:27" ht="12.75" customHeight="1" x14ac:dyDescent="0.25">
      <c r="A252" s="79"/>
      <c r="B252" s="79"/>
      <c r="C252" s="80"/>
      <c r="D252" s="80"/>
      <c r="E252" s="80"/>
      <c r="F252" s="6"/>
      <c r="G252" s="54"/>
      <c r="H252" s="54"/>
      <c r="I252" s="7"/>
      <c r="J252" s="9"/>
      <c r="K252" s="9"/>
      <c r="L252" s="77"/>
      <c r="M252" s="77"/>
      <c r="N252" s="77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9"/>
      <c r="Z252" s="79"/>
      <c r="AA252" s="79"/>
    </row>
    <row r="253" spans="1:27" ht="12.75" customHeight="1" x14ac:dyDescent="0.25">
      <c r="A253" s="79"/>
      <c r="B253" s="79"/>
      <c r="C253" s="80"/>
      <c r="D253" s="80"/>
      <c r="E253" s="80"/>
      <c r="F253" s="6"/>
      <c r="G253" s="54"/>
      <c r="H253" s="54"/>
      <c r="I253" s="7"/>
      <c r="J253" s="9"/>
      <c r="K253" s="9"/>
      <c r="L253" s="77"/>
      <c r="M253" s="77"/>
      <c r="N253" s="77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9"/>
      <c r="Z253" s="79"/>
      <c r="AA253" s="79"/>
    </row>
    <row r="254" spans="1:27" ht="12.75" customHeight="1" x14ac:dyDescent="0.25">
      <c r="A254" s="79"/>
      <c r="B254" s="79"/>
      <c r="C254" s="80"/>
      <c r="D254" s="80"/>
      <c r="E254" s="80"/>
      <c r="F254" s="6"/>
      <c r="G254" s="54"/>
      <c r="H254" s="54"/>
      <c r="I254" s="7"/>
      <c r="J254" s="9"/>
      <c r="K254" s="9"/>
      <c r="L254" s="77"/>
      <c r="M254" s="77"/>
      <c r="N254" s="77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9"/>
      <c r="Z254" s="79"/>
      <c r="AA254" s="79"/>
    </row>
    <row r="255" spans="1:27" ht="12.75" customHeight="1" x14ac:dyDescent="0.25">
      <c r="A255" s="79"/>
      <c r="B255" s="79"/>
      <c r="C255" s="80"/>
      <c r="D255" s="80"/>
      <c r="E255" s="80"/>
      <c r="F255" s="6"/>
      <c r="G255" s="54"/>
      <c r="H255" s="54"/>
      <c r="I255" s="7"/>
      <c r="J255" s="9"/>
      <c r="K255" s="9"/>
      <c r="L255" s="77"/>
      <c r="M255" s="77"/>
      <c r="N255" s="77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9"/>
      <c r="Z255" s="79"/>
      <c r="AA255" s="79"/>
    </row>
    <row r="256" spans="1:27" ht="12.75" customHeight="1" x14ac:dyDescent="0.25">
      <c r="A256" s="79"/>
      <c r="B256" s="79"/>
      <c r="C256" s="80"/>
      <c r="D256" s="80"/>
      <c r="E256" s="80"/>
      <c r="F256" s="6"/>
      <c r="G256" s="54"/>
      <c r="H256" s="54"/>
      <c r="I256" s="7"/>
      <c r="J256" s="9"/>
      <c r="K256" s="21"/>
      <c r="L256" s="77"/>
      <c r="M256" s="77"/>
      <c r="N256" s="77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9"/>
      <c r="Z256" s="79"/>
      <c r="AA256" s="79"/>
    </row>
    <row r="257" spans="1:27" ht="12.75" customHeight="1" x14ac:dyDescent="0.25">
      <c r="A257" s="79"/>
      <c r="B257" s="79"/>
      <c r="C257" s="80"/>
      <c r="D257" s="80"/>
      <c r="E257" s="80"/>
      <c r="F257" s="6"/>
      <c r="G257" s="54"/>
      <c r="H257" s="54"/>
      <c r="I257" s="7"/>
      <c r="J257" s="9"/>
      <c r="K257" s="9"/>
      <c r="L257" s="77"/>
      <c r="M257" s="77"/>
      <c r="N257" s="77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9"/>
      <c r="Z257" s="79"/>
      <c r="AA257" s="79"/>
    </row>
    <row r="258" spans="1:27" ht="12.75" customHeight="1" x14ac:dyDescent="0.25">
      <c r="A258" s="79"/>
      <c r="B258" s="79"/>
      <c r="C258" s="80"/>
      <c r="D258" s="80"/>
      <c r="E258" s="80"/>
      <c r="F258" s="6"/>
      <c r="G258" s="54"/>
      <c r="H258" s="54"/>
      <c r="I258" s="7"/>
      <c r="J258" s="9"/>
      <c r="K258" s="9"/>
      <c r="L258" s="77"/>
      <c r="M258" s="77"/>
      <c r="N258" s="77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9"/>
      <c r="Z258" s="79"/>
      <c r="AA258" s="79"/>
    </row>
    <row r="259" spans="1:27" ht="12.75" customHeight="1" x14ac:dyDescent="0.25">
      <c r="A259" s="79"/>
      <c r="B259" s="79"/>
      <c r="C259" s="80"/>
      <c r="D259" s="80"/>
      <c r="E259" s="80"/>
      <c r="F259" s="6"/>
      <c r="G259" s="54"/>
      <c r="H259" s="54"/>
      <c r="I259" s="7"/>
      <c r="J259" s="9"/>
      <c r="K259" s="9"/>
      <c r="L259" s="77"/>
      <c r="M259" s="77"/>
      <c r="N259" s="77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9"/>
      <c r="Z259" s="79"/>
      <c r="AA259" s="79"/>
    </row>
    <row r="260" spans="1:27" ht="12.75" customHeight="1" x14ac:dyDescent="0.25">
      <c r="A260" s="79"/>
      <c r="B260" s="79"/>
      <c r="C260" s="80"/>
      <c r="D260" s="80"/>
      <c r="E260" s="80"/>
      <c r="F260" s="6"/>
      <c r="G260" s="54"/>
      <c r="H260" s="54"/>
      <c r="I260" s="7"/>
      <c r="J260" s="9"/>
      <c r="K260" s="9"/>
      <c r="L260" s="77"/>
      <c r="M260" s="77"/>
      <c r="N260" s="77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9"/>
      <c r="Z260" s="79"/>
      <c r="AA260" s="79"/>
    </row>
    <row r="261" spans="1:27" ht="12.75" customHeight="1" x14ac:dyDescent="0.25">
      <c r="A261" s="79"/>
      <c r="B261" s="79"/>
      <c r="C261" s="80"/>
      <c r="D261" s="80"/>
      <c r="E261" s="80"/>
      <c r="F261" s="6"/>
      <c r="G261" s="54"/>
      <c r="H261" s="54"/>
      <c r="I261" s="7"/>
      <c r="J261" s="9"/>
      <c r="K261" s="21"/>
      <c r="L261" s="77"/>
      <c r="M261" s="77"/>
      <c r="N261" s="77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9"/>
      <c r="Z261" s="79"/>
      <c r="AA261" s="79"/>
    </row>
    <row r="262" spans="1:27" ht="12.75" customHeight="1" x14ac:dyDescent="0.25">
      <c r="A262" s="79"/>
      <c r="B262" s="79"/>
      <c r="C262" s="80"/>
      <c r="D262" s="80"/>
      <c r="E262" s="80"/>
      <c r="F262" s="6"/>
      <c r="G262" s="54"/>
      <c r="H262" s="54"/>
      <c r="I262" s="7"/>
      <c r="J262" s="9"/>
      <c r="K262" s="21"/>
      <c r="L262" s="77"/>
      <c r="M262" s="77"/>
      <c r="N262" s="77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9"/>
      <c r="Z262" s="79"/>
      <c r="AA262" s="79"/>
    </row>
    <row r="263" spans="1:27" ht="12.75" customHeight="1" x14ac:dyDescent="0.25">
      <c r="A263" s="79"/>
      <c r="B263" s="79"/>
      <c r="C263" s="80"/>
      <c r="D263" s="80"/>
      <c r="E263" s="80"/>
      <c r="F263" s="6"/>
      <c r="G263" s="54"/>
      <c r="H263" s="54"/>
      <c r="I263" s="7"/>
      <c r="J263" s="9"/>
      <c r="K263" s="21"/>
      <c r="L263" s="77"/>
      <c r="M263" s="77"/>
      <c r="N263" s="77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9"/>
      <c r="Z263" s="79"/>
      <c r="AA263" s="79"/>
    </row>
    <row r="264" spans="1:27" ht="12.75" customHeight="1" x14ac:dyDescent="0.25">
      <c r="A264" s="79"/>
      <c r="B264" s="79"/>
      <c r="C264" s="80"/>
      <c r="D264" s="80"/>
      <c r="E264" s="80"/>
      <c r="F264" s="6"/>
      <c r="G264" s="54"/>
      <c r="H264" s="54"/>
      <c r="I264" s="7"/>
      <c r="J264" s="9"/>
      <c r="K264" s="21"/>
      <c r="L264" s="77"/>
      <c r="M264" s="77"/>
      <c r="N264" s="77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9"/>
      <c r="Z264" s="79"/>
      <c r="AA264" s="79"/>
    </row>
    <row r="265" spans="1:27" ht="12.75" customHeight="1" x14ac:dyDescent="0.25">
      <c r="A265" s="79"/>
      <c r="B265" s="79"/>
      <c r="C265" s="80"/>
      <c r="D265" s="80"/>
      <c r="E265" s="80"/>
      <c r="F265" s="6"/>
      <c r="G265" s="54"/>
      <c r="H265" s="54"/>
      <c r="I265" s="7"/>
      <c r="J265" s="9"/>
      <c r="K265" s="21"/>
      <c r="L265" s="77"/>
      <c r="M265" s="77"/>
      <c r="N265" s="77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9"/>
      <c r="Z265" s="79"/>
      <c r="AA265" s="79"/>
    </row>
    <row r="266" spans="1:27" ht="12.75" customHeight="1" x14ac:dyDescent="0.25">
      <c r="A266" s="79"/>
      <c r="B266" s="79"/>
      <c r="C266" s="80"/>
      <c r="D266" s="80"/>
      <c r="E266" s="80"/>
      <c r="F266" s="6"/>
      <c r="G266" s="54"/>
      <c r="H266" s="54"/>
      <c r="I266" s="7"/>
      <c r="J266" s="9"/>
      <c r="K266" s="21"/>
      <c r="L266" s="77"/>
      <c r="M266" s="77"/>
      <c r="N266" s="77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9"/>
      <c r="Z266" s="79"/>
      <c r="AA266" s="79"/>
    </row>
    <row r="267" spans="1:27" ht="12.75" customHeight="1" x14ac:dyDescent="0.25">
      <c r="A267" s="79"/>
      <c r="B267" s="79"/>
      <c r="C267" s="80"/>
      <c r="D267" s="80"/>
      <c r="E267" s="80"/>
      <c r="F267" s="6"/>
      <c r="G267" s="54"/>
      <c r="H267" s="54"/>
      <c r="I267" s="7"/>
      <c r="J267" s="9"/>
      <c r="K267" s="21"/>
      <c r="L267" s="77"/>
      <c r="M267" s="77"/>
      <c r="N267" s="77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9"/>
      <c r="Z267" s="79"/>
      <c r="AA267" s="79"/>
    </row>
    <row r="268" spans="1:27" ht="12.75" customHeight="1" x14ac:dyDescent="0.25">
      <c r="A268" s="79"/>
      <c r="B268" s="79"/>
      <c r="C268" s="80"/>
      <c r="D268" s="80"/>
      <c r="E268" s="80"/>
      <c r="F268" s="6"/>
      <c r="G268" s="54"/>
      <c r="H268" s="54"/>
      <c r="I268" s="7"/>
      <c r="J268" s="9"/>
      <c r="K268" s="21"/>
      <c r="L268" s="77"/>
      <c r="M268" s="77"/>
      <c r="N268" s="77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9"/>
      <c r="Z268" s="79"/>
      <c r="AA268" s="79"/>
    </row>
    <row r="269" spans="1:27" ht="12.75" customHeight="1" x14ac:dyDescent="0.25">
      <c r="A269" s="79"/>
      <c r="B269" s="79"/>
      <c r="C269" s="80"/>
      <c r="D269" s="80"/>
      <c r="E269" s="80"/>
      <c r="F269" s="6"/>
      <c r="G269" s="54"/>
      <c r="H269" s="54"/>
      <c r="I269" s="7"/>
      <c r="J269" s="9"/>
      <c r="K269" s="21"/>
      <c r="L269" s="77"/>
      <c r="M269" s="77"/>
      <c r="N269" s="77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9"/>
      <c r="Z269" s="79"/>
      <c r="AA269" s="79"/>
    </row>
    <row r="270" spans="1:27" ht="12.75" customHeight="1" x14ac:dyDescent="0.25">
      <c r="A270" s="79"/>
      <c r="B270" s="79"/>
      <c r="C270" s="80"/>
      <c r="D270" s="80"/>
      <c r="E270" s="80"/>
      <c r="F270" s="6"/>
      <c r="G270" s="54"/>
      <c r="H270" s="54"/>
      <c r="I270" s="7"/>
      <c r="J270" s="9"/>
      <c r="K270" s="21"/>
      <c r="L270" s="77"/>
      <c r="M270" s="77"/>
      <c r="N270" s="77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9"/>
      <c r="Z270" s="79"/>
      <c r="AA270" s="79"/>
    </row>
    <row r="271" spans="1:27" ht="12.75" customHeight="1" x14ac:dyDescent="0.25">
      <c r="A271" s="79"/>
      <c r="B271" s="79"/>
      <c r="C271" s="80"/>
      <c r="D271" s="80"/>
      <c r="E271" s="80"/>
      <c r="F271" s="6"/>
      <c r="G271" s="54"/>
      <c r="H271" s="54"/>
      <c r="I271" s="7"/>
      <c r="J271" s="9"/>
      <c r="K271" s="21"/>
      <c r="L271" s="77"/>
      <c r="M271" s="77"/>
      <c r="N271" s="77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9"/>
      <c r="Z271" s="79"/>
      <c r="AA271" s="79"/>
    </row>
    <row r="272" spans="1:27" ht="12.75" customHeight="1" x14ac:dyDescent="0.25">
      <c r="A272" s="79"/>
      <c r="B272" s="79"/>
      <c r="C272" s="80"/>
      <c r="D272" s="80"/>
      <c r="E272" s="80"/>
      <c r="F272" s="6"/>
      <c r="G272" s="54"/>
      <c r="H272" s="54"/>
      <c r="I272" s="7"/>
      <c r="J272" s="9"/>
      <c r="K272" s="21"/>
      <c r="L272" s="77"/>
      <c r="M272" s="77"/>
      <c r="N272" s="77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9"/>
      <c r="Z272" s="79"/>
      <c r="AA272" s="79"/>
    </row>
    <row r="273" spans="1:27" ht="12.75" customHeight="1" x14ac:dyDescent="0.25">
      <c r="A273" s="79"/>
      <c r="B273" s="79"/>
      <c r="C273" s="80"/>
      <c r="D273" s="80"/>
      <c r="E273" s="80"/>
      <c r="F273" s="6"/>
      <c r="G273" s="54"/>
      <c r="H273" s="54"/>
      <c r="I273" s="7"/>
      <c r="J273" s="9"/>
      <c r="K273" s="21"/>
      <c r="L273" s="77"/>
      <c r="M273" s="77"/>
      <c r="N273" s="77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9"/>
      <c r="Z273" s="79"/>
      <c r="AA273" s="79"/>
    </row>
    <row r="274" spans="1:27" ht="12.75" customHeight="1" x14ac:dyDescent="0.25">
      <c r="A274" s="79"/>
      <c r="B274" s="79"/>
      <c r="C274" s="80"/>
      <c r="D274" s="80"/>
      <c r="E274" s="80"/>
      <c r="F274" s="6"/>
      <c r="G274" s="54"/>
      <c r="H274" s="54"/>
      <c r="I274" s="7"/>
      <c r="J274" s="9"/>
      <c r="K274" s="21"/>
      <c r="L274" s="77"/>
      <c r="M274" s="77"/>
      <c r="N274" s="77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9"/>
      <c r="Z274" s="79"/>
      <c r="AA274" s="79"/>
    </row>
    <row r="275" spans="1:27" ht="12.75" customHeight="1" x14ac:dyDescent="0.25">
      <c r="A275" s="79"/>
      <c r="B275" s="79"/>
      <c r="C275" s="80"/>
      <c r="D275" s="80"/>
      <c r="E275" s="80"/>
      <c r="F275" s="6"/>
      <c r="G275" s="54"/>
      <c r="H275" s="54"/>
      <c r="I275" s="7"/>
      <c r="J275" s="9"/>
      <c r="K275" s="21"/>
      <c r="L275" s="77"/>
      <c r="M275" s="77"/>
      <c r="N275" s="77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9"/>
      <c r="Z275" s="79"/>
      <c r="AA275" s="79"/>
    </row>
    <row r="276" spans="1:27" ht="12.75" customHeight="1" x14ac:dyDescent="0.25">
      <c r="A276" s="79"/>
      <c r="B276" s="79"/>
      <c r="C276" s="80"/>
      <c r="D276" s="80"/>
      <c r="E276" s="80"/>
      <c r="F276" s="6"/>
      <c r="G276" s="54"/>
      <c r="H276" s="54"/>
      <c r="I276" s="7"/>
      <c r="J276" s="9"/>
      <c r="K276" s="21"/>
      <c r="L276" s="77"/>
      <c r="M276" s="77"/>
      <c r="N276" s="77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9"/>
      <c r="Z276" s="79"/>
      <c r="AA276" s="79"/>
    </row>
    <row r="277" spans="1:27" ht="12.75" customHeight="1" x14ac:dyDescent="0.25">
      <c r="A277" s="79"/>
      <c r="B277" s="79"/>
      <c r="C277" s="80"/>
      <c r="D277" s="80"/>
      <c r="E277" s="80"/>
      <c r="F277" s="6"/>
      <c r="G277" s="54"/>
      <c r="H277" s="54"/>
      <c r="I277" s="7"/>
      <c r="J277" s="9"/>
      <c r="K277" s="9"/>
      <c r="L277" s="77"/>
      <c r="M277" s="77"/>
      <c r="N277" s="77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9"/>
      <c r="Z277" s="79"/>
      <c r="AA277" s="79"/>
    </row>
    <row r="278" spans="1:27" ht="12.75" customHeight="1" x14ac:dyDescent="0.25">
      <c r="A278" s="79"/>
      <c r="B278" s="79"/>
      <c r="C278" s="80"/>
      <c r="D278" s="80"/>
      <c r="E278" s="80"/>
      <c r="F278" s="6"/>
      <c r="G278" s="54"/>
      <c r="H278" s="54"/>
      <c r="I278" s="7"/>
      <c r="J278" s="9"/>
      <c r="K278" s="21"/>
      <c r="L278" s="77"/>
      <c r="M278" s="77"/>
      <c r="N278" s="77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9"/>
      <c r="Z278" s="79"/>
      <c r="AA278" s="79"/>
    </row>
    <row r="279" spans="1:27" ht="12.75" customHeight="1" x14ac:dyDescent="0.25">
      <c r="A279" s="79"/>
      <c r="B279" s="79"/>
      <c r="C279" s="80"/>
      <c r="D279" s="80"/>
      <c r="E279" s="80"/>
      <c r="F279" s="6"/>
      <c r="G279" s="54"/>
      <c r="H279" s="54"/>
      <c r="I279" s="7"/>
      <c r="J279" s="9"/>
      <c r="K279" s="21"/>
      <c r="L279" s="77"/>
      <c r="M279" s="77"/>
      <c r="N279" s="77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9"/>
      <c r="Z279" s="79"/>
      <c r="AA279" s="79"/>
    </row>
    <row r="280" spans="1:27" ht="12.75" customHeight="1" x14ac:dyDescent="0.25">
      <c r="A280" s="79"/>
      <c r="B280" s="79"/>
      <c r="C280" s="80"/>
      <c r="D280" s="80"/>
      <c r="E280" s="80"/>
      <c r="F280" s="6"/>
      <c r="G280" s="54"/>
      <c r="H280" s="54"/>
      <c r="I280" s="7"/>
      <c r="J280" s="9"/>
      <c r="K280" s="21"/>
      <c r="L280" s="77"/>
      <c r="M280" s="77"/>
      <c r="N280" s="77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9"/>
      <c r="Z280" s="79"/>
      <c r="AA280" s="79"/>
    </row>
    <row r="281" spans="1:27" ht="12.75" customHeight="1" x14ac:dyDescent="0.25">
      <c r="A281" s="79"/>
      <c r="B281" s="79"/>
      <c r="C281" s="80"/>
      <c r="D281" s="80"/>
      <c r="E281" s="80"/>
      <c r="F281" s="6"/>
      <c r="G281" s="54"/>
      <c r="H281" s="54"/>
      <c r="I281" s="7"/>
      <c r="J281" s="9"/>
      <c r="K281" s="21"/>
      <c r="L281" s="77"/>
      <c r="M281" s="77"/>
      <c r="N281" s="77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9"/>
      <c r="Z281" s="79"/>
      <c r="AA281" s="79"/>
    </row>
    <row r="282" spans="1:27" ht="12.75" customHeight="1" x14ac:dyDescent="0.25">
      <c r="A282" s="79"/>
      <c r="B282" s="79"/>
      <c r="C282" s="80"/>
      <c r="D282" s="80"/>
      <c r="E282" s="80"/>
      <c r="F282" s="6"/>
      <c r="G282" s="54"/>
      <c r="H282" s="54"/>
      <c r="I282" s="7"/>
      <c r="J282" s="9"/>
      <c r="K282" s="21"/>
      <c r="L282" s="77"/>
      <c r="M282" s="77"/>
      <c r="N282" s="77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9"/>
      <c r="Z282" s="79"/>
      <c r="AA282" s="79"/>
    </row>
    <row r="283" spans="1:27" ht="12.75" customHeight="1" x14ac:dyDescent="0.25">
      <c r="A283" s="79"/>
      <c r="B283" s="79"/>
      <c r="C283" s="80"/>
      <c r="D283" s="80"/>
      <c r="E283" s="80"/>
      <c r="F283" s="6"/>
      <c r="G283" s="54"/>
      <c r="H283" s="54"/>
      <c r="I283" s="7"/>
      <c r="J283" s="9"/>
      <c r="K283" s="21"/>
      <c r="L283" s="77"/>
      <c r="M283" s="77"/>
      <c r="N283" s="77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9"/>
      <c r="Z283" s="79"/>
      <c r="AA283" s="79"/>
    </row>
    <row r="284" spans="1:27" ht="12.75" customHeight="1" x14ac:dyDescent="0.25">
      <c r="A284" s="79"/>
      <c r="B284" s="79"/>
      <c r="C284" s="80"/>
      <c r="D284" s="80"/>
      <c r="E284" s="80"/>
      <c r="F284" s="6"/>
      <c r="G284" s="54"/>
      <c r="H284" s="54"/>
      <c r="I284" s="7"/>
      <c r="J284" s="9"/>
      <c r="K284" s="21"/>
      <c r="L284" s="77"/>
      <c r="M284" s="77"/>
      <c r="N284" s="77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9"/>
      <c r="Z284" s="79"/>
      <c r="AA284" s="79"/>
    </row>
    <row r="285" spans="1:27" ht="12.75" customHeight="1" x14ac:dyDescent="0.25">
      <c r="A285" s="79"/>
      <c r="B285" s="79"/>
      <c r="C285" s="80"/>
      <c r="D285" s="80"/>
      <c r="E285" s="80"/>
      <c r="F285" s="6"/>
      <c r="G285" s="54"/>
      <c r="H285" s="54"/>
      <c r="I285" s="7"/>
      <c r="J285" s="9"/>
      <c r="K285" s="21"/>
      <c r="L285" s="77"/>
      <c r="M285" s="77"/>
      <c r="N285" s="77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9"/>
      <c r="Z285" s="79"/>
      <c r="AA285" s="79"/>
    </row>
    <row r="286" spans="1:27" ht="12.75" customHeight="1" x14ac:dyDescent="0.25">
      <c r="A286" s="79"/>
      <c r="B286" s="79"/>
      <c r="C286" s="80"/>
      <c r="D286" s="80"/>
      <c r="E286" s="80"/>
      <c r="F286" s="6"/>
      <c r="G286" s="54"/>
      <c r="H286" s="54"/>
      <c r="I286" s="7"/>
      <c r="J286" s="9"/>
      <c r="K286" s="21"/>
      <c r="L286" s="77"/>
      <c r="M286" s="77"/>
      <c r="N286" s="77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9"/>
      <c r="Z286" s="79"/>
      <c r="AA286" s="79"/>
    </row>
    <row r="287" spans="1:27" ht="12.75" customHeight="1" x14ac:dyDescent="0.25">
      <c r="A287" s="79"/>
      <c r="B287" s="79"/>
      <c r="C287" s="80"/>
      <c r="D287" s="80"/>
      <c r="E287" s="80"/>
      <c r="F287" s="6"/>
      <c r="G287" s="54"/>
      <c r="H287" s="54"/>
      <c r="I287" s="7"/>
      <c r="J287" s="9"/>
      <c r="K287" s="21"/>
      <c r="L287" s="77"/>
      <c r="M287" s="77"/>
      <c r="N287" s="77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9"/>
      <c r="Z287" s="79"/>
      <c r="AA287" s="79"/>
    </row>
    <row r="288" spans="1:27" ht="12.75" customHeight="1" x14ac:dyDescent="0.25">
      <c r="A288" s="79"/>
      <c r="B288" s="79"/>
      <c r="C288" s="80"/>
      <c r="D288" s="80"/>
      <c r="E288" s="80"/>
      <c r="F288" s="6"/>
      <c r="G288" s="54"/>
      <c r="H288" s="54"/>
      <c r="I288" s="7"/>
      <c r="J288" s="9"/>
      <c r="K288" s="21"/>
      <c r="L288" s="77"/>
      <c r="M288" s="77"/>
      <c r="N288" s="77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9"/>
      <c r="Z288" s="79"/>
      <c r="AA288" s="79"/>
    </row>
    <row r="289" spans="1:27" ht="12.75" customHeight="1" x14ac:dyDescent="0.25">
      <c r="A289" s="79"/>
      <c r="B289" s="79"/>
      <c r="C289" s="80"/>
      <c r="D289" s="80"/>
      <c r="E289" s="80"/>
      <c r="F289" s="6"/>
      <c r="G289" s="54"/>
      <c r="H289" s="54"/>
      <c r="I289" s="7"/>
      <c r="J289" s="9"/>
      <c r="K289" s="21"/>
      <c r="L289" s="77"/>
      <c r="M289" s="77"/>
      <c r="N289" s="77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9"/>
      <c r="Z289" s="79"/>
      <c r="AA289" s="79"/>
    </row>
    <row r="290" spans="1:27" ht="12.75" customHeight="1" x14ac:dyDescent="0.25">
      <c r="A290" s="79"/>
      <c r="B290" s="79"/>
      <c r="C290" s="80"/>
      <c r="D290" s="80"/>
      <c r="E290" s="80"/>
      <c r="F290" s="6"/>
      <c r="G290" s="54"/>
      <c r="H290" s="54"/>
      <c r="I290" s="7"/>
      <c r="J290" s="9"/>
      <c r="K290" s="21"/>
      <c r="L290" s="77"/>
      <c r="M290" s="77"/>
      <c r="N290" s="77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9"/>
      <c r="Z290" s="79"/>
      <c r="AA290" s="79"/>
    </row>
    <row r="291" spans="1:27" ht="12.75" customHeight="1" x14ac:dyDescent="0.25">
      <c r="A291" s="79"/>
      <c r="B291" s="79"/>
      <c r="C291" s="80"/>
      <c r="D291" s="80"/>
      <c r="E291" s="80"/>
      <c r="F291" s="6"/>
      <c r="G291" s="54"/>
      <c r="H291" s="54"/>
      <c r="I291" s="7"/>
      <c r="J291" s="9"/>
      <c r="K291" s="21"/>
      <c r="L291" s="77"/>
      <c r="M291" s="77"/>
      <c r="N291" s="77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9"/>
      <c r="Z291" s="79"/>
      <c r="AA291" s="79"/>
    </row>
    <row r="292" spans="1:27" ht="12.75" customHeight="1" x14ac:dyDescent="0.25">
      <c r="A292" s="79"/>
      <c r="B292" s="79"/>
      <c r="C292" s="80"/>
      <c r="D292" s="80"/>
      <c r="E292" s="80"/>
      <c r="F292" s="6"/>
      <c r="G292" s="54"/>
      <c r="H292" s="54"/>
      <c r="I292" s="7"/>
      <c r="J292" s="9"/>
      <c r="K292" s="21"/>
      <c r="L292" s="77"/>
      <c r="M292" s="77"/>
      <c r="N292" s="77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9"/>
      <c r="Z292" s="79"/>
      <c r="AA292" s="79"/>
    </row>
    <row r="293" spans="1:27" ht="12.75" customHeight="1" x14ac:dyDescent="0.25">
      <c r="A293" s="79"/>
      <c r="B293" s="79"/>
      <c r="C293" s="80"/>
      <c r="D293" s="80"/>
      <c r="E293" s="80"/>
      <c r="F293" s="6"/>
      <c r="G293" s="54"/>
      <c r="H293" s="54"/>
      <c r="I293" s="7"/>
      <c r="J293" s="9"/>
      <c r="K293" s="21"/>
      <c r="L293" s="77"/>
      <c r="M293" s="77"/>
      <c r="N293" s="77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9"/>
      <c r="Z293" s="79"/>
      <c r="AA293" s="79"/>
    </row>
    <row r="294" spans="1:27" ht="12.75" customHeight="1" x14ac:dyDescent="0.25">
      <c r="A294" s="79"/>
      <c r="B294" s="79"/>
      <c r="C294" s="80"/>
      <c r="D294" s="80"/>
      <c r="E294" s="80"/>
      <c r="F294" s="6"/>
      <c r="G294" s="54"/>
      <c r="H294" s="54"/>
      <c r="I294" s="7"/>
      <c r="J294" s="9"/>
      <c r="K294" s="21"/>
      <c r="L294" s="77"/>
      <c r="M294" s="77"/>
      <c r="N294" s="77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9"/>
      <c r="Z294" s="79"/>
      <c r="AA294" s="79"/>
    </row>
    <row r="295" spans="1:27" ht="12.75" customHeight="1" x14ac:dyDescent="0.25">
      <c r="A295" s="79"/>
      <c r="B295" s="79"/>
      <c r="C295" s="80"/>
      <c r="D295" s="80"/>
      <c r="E295" s="80"/>
      <c r="F295" s="6"/>
      <c r="G295" s="54"/>
      <c r="H295" s="54"/>
      <c r="I295" s="7"/>
      <c r="J295" s="9"/>
      <c r="K295" s="21"/>
      <c r="L295" s="77"/>
      <c r="M295" s="77"/>
      <c r="N295" s="77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9"/>
      <c r="Z295" s="79"/>
      <c r="AA295" s="79"/>
    </row>
    <row r="296" spans="1:27" ht="12.75" customHeight="1" x14ac:dyDescent="0.25">
      <c r="A296" s="79"/>
      <c r="B296" s="79"/>
      <c r="C296" s="80"/>
      <c r="D296" s="80"/>
      <c r="E296" s="80"/>
      <c r="F296" s="6"/>
      <c r="G296" s="54"/>
      <c r="H296" s="54"/>
      <c r="I296" s="7"/>
      <c r="J296" s="9"/>
      <c r="K296" s="21"/>
      <c r="L296" s="77"/>
      <c r="M296" s="77"/>
      <c r="N296" s="77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9"/>
      <c r="Z296" s="79"/>
      <c r="AA296" s="79"/>
    </row>
    <row r="297" spans="1:27" ht="12.75" customHeight="1" x14ac:dyDescent="0.25">
      <c r="A297" s="79"/>
      <c r="B297" s="79"/>
      <c r="C297" s="80"/>
      <c r="D297" s="80"/>
      <c r="E297" s="80"/>
      <c r="F297" s="6"/>
      <c r="G297" s="54"/>
      <c r="H297" s="54"/>
      <c r="I297" s="7"/>
      <c r="J297" s="9"/>
      <c r="K297" s="21"/>
      <c r="L297" s="77"/>
      <c r="M297" s="77"/>
      <c r="N297" s="77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9"/>
      <c r="Z297" s="79"/>
      <c r="AA297" s="79"/>
    </row>
    <row r="298" spans="1:27" ht="12.75" customHeight="1" x14ac:dyDescent="0.25">
      <c r="A298" s="79"/>
      <c r="B298" s="79"/>
      <c r="C298" s="80"/>
      <c r="D298" s="80"/>
      <c r="E298" s="80"/>
      <c r="F298" s="6"/>
      <c r="G298" s="54"/>
      <c r="H298" s="54"/>
      <c r="I298" s="7"/>
      <c r="J298" s="9"/>
      <c r="K298" s="21"/>
      <c r="L298" s="77"/>
      <c r="M298" s="77"/>
      <c r="N298" s="77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9"/>
      <c r="Z298" s="79"/>
      <c r="AA298" s="79"/>
    </row>
    <row r="299" spans="1:27" ht="12.75" customHeight="1" x14ac:dyDescent="0.25">
      <c r="A299" s="79"/>
      <c r="B299" s="79"/>
      <c r="C299" s="80"/>
      <c r="D299" s="80"/>
      <c r="E299" s="80"/>
      <c r="F299" s="6"/>
      <c r="G299" s="54"/>
      <c r="H299" s="54"/>
      <c r="I299" s="7"/>
      <c r="J299" s="9"/>
      <c r="K299" s="21"/>
      <c r="L299" s="77"/>
      <c r="M299" s="77"/>
      <c r="N299" s="77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9"/>
      <c r="Z299" s="79"/>
      <c r="AA299" s="79"/>
    </row>
    <row r="300" spans="1:27" ht="12.75" customHeight="1" x14ac:dyDescent="0.25">
      <c r="A300" s="79"/>
      <c r="B300" s="79"/>
      <c r="C300" s="80"/>
      <c r="D300" s="80"/>
      <c r="E300" s="80"/>
      <c r="F300" s="6"/>
      <c r="G300" s="54"/>
      <c r="H300" s="54"/>
      <c r="I300" s="7"/>
      <c r="J300" s="9"/>
      <c r="K300" s="21"/>
      <c r="L300" s="77"/>
      <c r="M300" s="77"/>
      <c r="N300" s="77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9"/>
      <c r="Z300" s="79"/>
      <c r="AA300" s="79"/>
    </row>
    <row r="301" spans="1:27" ht="12.75" customHeight="1" x14ac:dyDescent="0.25">
      <c r="A301" s="79"/>
      <c r="B301" s="79"/>
      <c r="C301" s="80"/>
      <c r="D301" s="80"/>
      <c r="E301" s="80"/>
      <c r="F301" s="6"/>
      <c r="G301" s="54"/>
      <c r="H301" s="54"/>
      <c r="I301" s="7"/>
      <c r="J301" s="9"/>
      <c r="K301" s="21"/>
      <c r="L301" s="77"/>
      <c r="M301" s="77"/>
      <c r="N301" s="77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9"/>
      <c r="Z301" s="79"/>
      <c r="AA301" s="79"/>
    </row>
    <row r="302" spans="1:27" ht="12.75" customHeight="1" x14ac:dyDescent="0.25">
      <c r="A302" s="79"/>
      <c r="B302" s="79"/>
      <c r="C302" s="80"/>
      <c r="D302" s="80"/>
      <c r="E302" s="80"/>
      <c r="F302" s="6"/>
      <c r="G302" s="54"/>
      <c r="H302" s="54"/>
      <c r="I302" s="7"/>
      <c r="J302" s="9"/>
      <c r="K302" s="21"/>
      <c r="L302" s="77"/>
      <c r="M302" s="77"/>
      <c r="N302" s="77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9"/>
      <c r="Z302" s="79"/>
      <c r="AA302" s="79"/>
    </row>
    <row r="303" spans="1:27" ht="12.75" customHeight="1" x14ac:dyDescent="0.25">
      <c r="A303" s="79"/>
      <c r="B303" s="79"/>
      <c r="C303" s="80"/>
      <c r="D303" s="80"/>
      <c r="E303" s="80"/>
      <c r="F303" s="6"/>
      <c r="G303" s="54"/>
      <c r="H303" s="54"/>
      <c r="I303" s="7"/>
      <c r="J303" s="9"/>
      <c r="K303" s="21"/>
      <c r="L303" s="77"/>
      <c r="M303" s="77"/>
      <c r="N303" s="77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9"/>
      <c r="Z303" s="79"/>
      <c r="AA303" s="79"/>
    </row>
    <row r="304" spans="1:27" ht="12.75" customHeight="1" x14ac:dyDescent="0.25">
      <c r="A304" s="79"/>
      <c r="B304" s="79"/>
      <c r="C304" s="80"/>
      <c r="D304" s="80"/>
      <c r="E304" s="80"/>
      <c r="F304" s="6"/>
      <c r="G304" s="54"/>
      <c r="H304" s="54"/>
      <c r="I304" s="7"/>
      <c r="J304" s="9"/>
      <c r="K304" s="21"/>
      <c r="L304" s="77"/>
      <c r="M304" s="77"/>
      <c r="N304" s="77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9"/>
      <c r="Z304" s="79"/>
      <c r="AA304" s="79"/>
    </row>
    <row r="305" spans="1:27" ht="12.75" customHeight="1" x14ac:dyDescent="0.25">
      <c r="A305" s="79"/>
      <c r="B305" s="79"/>
      <c r="C305" s="80"/>
      <c r="D305" s="80"/>
      <c r="E305" s="80"/>
      <c r="F305" s="6"/>
      <c r="G305" s="54"/>
      <c r="H305" s="54"/>
      <c r="I305" s="7"/>
      <c r="J305" s="9"/>
      <c r="K305" s="21"/>
      <c r="L305" s="77"/>
      <c r="M305" s="77"/>
      <c r="N305" s="77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9"/>
      <c r="Z305" s="79"/>
      <c r="AA305" s="79"/>
    </row>
    <row r="306" spans="1:27" ht="12.75" customHeight="1" x14ac:dyDescent="0.25">
      <c r="A306" s="79"/>
      <c r="B306" s="79"/>
      <c r="C306" s="80"/>
      <c r="D306" s="80"/>
      <c r="E306" s="80"/>
      <c r="F306" s="6"/>
      <c r="G306" s="54"/>
      <c r="H306" s="54"/>
      <c r="I306" s="7"/>
      <c r="J306" s="9"/>
      <c r="K306" s="21"/>
      <c r="L306" s="77"/>
      <c r="M306" s="77"/>
      <c r="N306" s="77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9"/>
      <c r="Z306" s="79"/>
      <c r="AA306" s="79"/>
    </row>
    <row r="307" spans="1:27" ht="12.75" customHeight="1" x14ac:dyDescent="0.25">
      <c r="A307" s="79"/>
      <c r="B307" s="79"/>
      <c r="C307" s="80"/>
      <c r="D307" s="80"/>
      <c r="E307" s="80"/>
      <c r="F307" s="6"/>
      <c r="G307" s="54"/>
      <c r="H307" s="54"/>
      <c r="I307" s="7"/>
      <c r="J307" s="9"/>
      <c r="K307" s="21"/>
      <c r="L307" s="77"/>
      <c r="M307" s="77"/>
      <c r="N307" s="77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9"/>
      <c r="Z307" s="79"/>
      <c r="AA307" s="79"/>
    </row>
    <row r="308" spans="1:27" ht="12.75" customHeight="1" x14ac:dyDescent="0.25">
      <c r="A308" s="79"/>
      <c r="B308" s="79"/>
      <c r="C308" s="80"/>
      <c r="D308" s="80"/>
      <c r="E308" s="80"/>
      <c r="F308" s="6"/>
      <c r="G308" s="54"/>
      <c r="H308" s="54"/>
      <c r="I308" s="7"/>
      <c r="J308" s="9"/>
      <c r="K308" s="21"/>
      <c r="L308" s="77"/>
      <c r="M308" s="77"/>
      <c r="N308" s="77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9"/>
      <c r="Z308" s="79"/>
      <c r="AA308" s="79"/>
    </row>
    <row r="309" spans="1:27" ht="12.75" customHeight="1" x14ac:dyDescent="0.25">
      <c r="A309" s="79"/>
      <c r="B309" s="79"/>
      <c r="C309" s="80"/>
      <c r="D309" s="80"/>
      <c r="E309" s="80"/>
      <c r="F309" s="6"/>
      <c r="G309" s="54"/>
      <c r="H309" s="54"/>
      <c r="I309" s="7"/>
      <c r="J309" s="9"/>
      <c r="K309" s="21"/>
      <c r="L309" s="77"/>
      <c r="M309" s="77"/>
      <c r="N309" s="77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9"/>
      <c r="Z309" s="79"/>
      <c r="AA309" s="79"/>
    </row>
    <row r="310" spans="1:27" ht="12.75" customHeight="1" x14ac:dyDescent="0.25">
      <c r="A310" s="79"/>
      <c r="B310" s="79"/>
      <c r="C310" s="80"/>
      <c r="D310" s="80"/>
      <c r="E310" s="80"/>
      <c r="F310" s="6"/>
      <c r="G310" s="54"/>
      <c r="H310" s="54"/>
      <c r="I310" s="7"/>
      <c r="J310" s="9"/>
      <c r="K310" s="21"/>
      <c r="L310" s="77"/>
      <c r="M310" s="77"/>
      <c r="N310" s="77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9"/>
      <c r="Z310" s="79"/>
      <c r="AA310" s="79"/>
    </row>
    <row r="311" spans="1:27" ht="12.75" customHeight="1" x14ac:dyDescent="0.25">
      <c r="A311" s="79"/>
      <c r="B311" s="79"/>
      <c r="C311" s="80"/>
      <c r="D311" s="80"/>
      <c r="E311" s="80"/>
      <c r="F311" s="6"/>
      <c r="G311" s="54"/>
      <c r="H311" s="54"/>
      <c r="I311" s="7"/>
      <c r="J311" s="9"/>
      <c r="K311" s="21"/>
      <c r="L311" s="77"/>
      <c r="M311" s="77"/>
      <c r="N311" s="77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9"/>
      <c r="Z311" s="79"/>
      <c r="AA311" s="79"/>
    </row>
    <row r="312" spans="1:27" ht="12.75" customHeight="1" x14ac:dyDescent="0.25">
      <c r="A312" s="79"/>
      <c r="B312" s="79"/>
      <c r="C312" s="80"/>
      <c r="D312" s="80"/>
      <c r="E312" s="80"/>
      <c r="F312" s="6"/>
      <c r="G312" s="54"/>
      <c r="H312" s="54"/>
      <c r="I312" s="7"/>
      <c r="J312" s="9"/>
      <c r="K312" s="21"/>
      <c r="L312" s="77"/>
      <c r="M312" s="77"/>
      <c r="N312" s="77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9"/>
      <c r="Z312" s="79"/>
      <c r="AA312" s="79"/>
    </row>
    <row r="313" spans="1:27" ht="12.75" customHeight="1" x14ac:dyDescent="0.25">
      <c r="A313" s="79"/>
      <c r="B313" s="79"/>
      <c r="C313" s="80"/>
      <c r="D313" s="80"/>
      <c r="E313" s="80"/>
      <c r="F313" s="6"/>
      <c r="G313" s="54"/>
      <c r="H313" s="54"/>
      <c r="I313" s="7"/>
      <c r="J313" s="9"/>
      <c r="K313" s="21"/>
      <c r="L313" s="77"/>
      <c r="M313" s="77"/>
      <c r="N313" s="77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9"/>
      <c r="Z313" s="79"/>
      <c r="AA313" s="79"/>
    </row>
    <row r="314" spans="1:27" ht="12.75" customHeight="1" x14ac:dyDescent="0.25">
      <c r="A314" s="79"/>
      <c r="B314" s="79"/>
      <c r="C314" s="80"/>
      <c r="D314" s="80"/>
      <c r="E314" s="80"/>
      <c r="F314" s="6"/>
      <c r="G314" s="54"/>
      <c r="H314" s="54"/>
      <c r="I314" s="7"/>
      <c r="J314" s="9"/>
      <c r="K314" s="21"/>
      <c r="L314" s="77"/>
      <c r="M314" s="77"/>
      <c r="N314" s="77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9"/>
      <c r="Z314" s="79"/>
      <c r="AA314" s="79"/>
    </row>
    <row r="315" spans="1:27" ht="12.75" customHeight="1" x14ac:dyDescent="0.25">
      <c r="A315" s="79"/>
      <c r="B315" s="79"/>
      <c r="C315" s="80"/>
      <c r="D315" s="80"/>
      <c r="E315" s="80"/>
      <c r="F315" s="6"/>
      <c r="G315" s="54"/>
      <c r="H315" s="54"/>
      <c r="I315" s="7"/>
      <c r="J315" s="9"/>
      <c r="K315" s="21"/>
      <c r="L315" s="77"/>
      <c r="M315" s="77"/>
      <c r="N315" s="77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9"/>
      <c r="Z315" s="79"/>
      <c r="AA315" s="79"/>
    </row>
    <row r="316" spans="1:27" ht="12.75" customHeight="1" x14ac:dyDescent="0.25">
      <c r="A316" s="79"/>
      <c r="B316" s="79"/>
      <c r="C316" s="80"/>
      <c r="D316" s="80"/>
      <c r="E316" s="80"/>
      <c r="F316" s="6"/>
      <c r="G316" s="54"/>
      <c r="H316" s="54"/>
      <c r="I316" s="7"/>
      <c r="J316" s="9"/>
      <c r="K316" s="21"/>
      <c r="L316" s="77"/>
      <c r="M316" s="77"/>
      <c r="N316" s="77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9"/>
      <c r="Z316" s="79"/>
      <c r="AA316" s="79"/>
    </row>
    <row r="317" spans="1:27" ht="12.75" customHeight="1" x14ac:dyDescent="0.25">
      <c r="A317" s="79"/>
      <c r="B317" s="79"/>
      <c r="C317" s="80"/>
      <c r="D317" s="80"/>
      <c r="E317" s="80"/>
      <c r="F317" s="6"/>
      <c r="G317" s="54"/>
      <c r="H317" s="54"/>
      <c r="I317" s="7"/>
      <c r="J317" s="9"/>
      <c r="K317" s="21"/>
      <c r="L317" s="77"/>
      <c r="M317" s="77"/>
      <c r="N317" s="77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9"/>
      <c r="Z317" s="79"/>
      <c r="AA317" s="79"/>
    </row>
    <row r="318" spans="1:27" ht="12.75" customHeight="1" x14ac:dyDescent="0.25">
      <c r="A318" s="79"/>
      <c r="B318" s="79"/>
      <c r="C318" s="80"/>
      <c r="D318" s="80"/>
      <c r="E318" s="80"/>
      <c r="F318" s="6"/>
      <c r="G318" s="54"/>
      <c r="H318" s="54"/>
      <c r="I318" s="7"/>
      <c r="J318" s="9"/>
      <c r="K318" s="21"/>
      <c r="L318" s="77"/>
      <c r="M318" s="77"/>
      <c r="N318" s="77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9"/>
      <c r="Z318" s="79"/>
      <c r="AA318" s="79"/>
    </row>
    <row r="319" spans="1:27" ht="12.75" customHeight="1" x14ac:dyDescent="0.25">
      <c r="A319" s="79"/>
      <c r="B319" s="79"/>
      <c r="C319" s="80"/>
      <c r="D319" s="80"/>
      <c r="E319" s="80"/>
      <c r="F319" s="6"/>
      <c r="G319" s="54"/>
      <c r="H319" s="54"/>
      <c r="I319" s="7"/>
      <c r="J319" s="9"/>
      <c r="K319" s="21"/>
      <c r="L319" s="77"/>
      <c r="M319" s="77"/>
      <c r="N319" s="77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9"/>
      <c r="Z319" s="79"/>
      <c r="AA319" s="79"/>
    </row>
    <row r="320" spans="1:27" ht="12.75" customHeight="1" x14ac:dyDescent="0.25">
      <c r="A320" s="79"/>
      <c r="B320" s="79"/>
      <c r="C320" s="80"/>
      <c r="D320" s="80"/>
      <c r="E320" s="80"/>
      <c r="F320" s="6"/>
      <c r="G320" s="54"/>
      <c r="H320" s="54"/>
      <c r="I320" s="7"/>
      <c r="J320" s="9"/>
      <c r="K320" s="21"/>
      <c r="L320" s="77"/>
      <c r="M320" s="77"/>
      <c r="N320" s="77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9"/>
      <c r="Z320" s="79"/>
      <c r="AA320" s="79"/>
    </row>
    <row r="321" spans="1:27" ht="12.75" customHeight="1" x14ac:dyDescent="0.25">
      <c r="A321" s="79"/>
      <c r="B321" s="79"/>
      <c r="C321" s="80"/>
      <c r="D321" s="80"/>
      <c r="E321" s="80"/>
      <c r="F321" s="6"/>
      <c r="G321" s="54"/>
      <c r="H321" s="54"/>
      <c r="I321" s="7"/>
      <c r="J321" s="9"/>
      <c r="K321" s="21"/>
      <c r="L321" s="77"/>
      <c r="M321" s="77"/>
      <c r="N321" s="77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9"/>
      <c r="Z321" s="79"/>
      <c r="AA321" s="79"/>
    </row>
    <row r="322" spans="1:27" ht="12.75" customHeight="1" x14ac:dyDescent="0.25">
      <c r="A322" s="79"/>
      <c r="B322" s="79"/>
      <c r="C322" s="80"/>
      <c r="D322" s="80"/>
      <c r="E322" s="80"/>
      <c r="F322" s="6"/>
      <c r="G322" s="54"/>
      <c r="H322" s="54"/>
      <c r="I322" s="7"/>
      <c r="J322" s="9"/>
      <c r="K322" s="21"/>
      <c r="L322" s="77"/>
      <c r="M322" s="77"/>
      <c r="N322" s="77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9"/>
      <c r="Z322" s="79"/>
      <c r="AA322" s="79"/>
    </row>
    <row r="323" spans="1:27" ht="12.75" customHeight="1" x14ac:dyDescent="0.25">
      <c r="A323" s="79"/>
      <c r="B323" s="79"/>
      <c r="C323" s="80"/>
      <c r="D323" s="80"/>
      <c r="E323" s="80"/>
      <c r="F323" s="6"/>
      <c r="G323" s="54"/>
      <c r="H323" s="54"/>
      <c r="I323" s="7"/>
      <c r="J323" s="9"/>
      <c r="K323" s="21"/>
      <c r="L323" s="77"/>
      <c r="M323" s="77"/>
      <c r="N323" s="77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9"/>
      <c r="Z323" s="79"/>
      <c r="AA323" s="79"/>
    </row>
    <row r="324" spans="1:27" ht="12.75" customHeight="1" x14ac:dyDescent="0.25">
      <c r="A324" s="79"/>
      <c r="B324" s="79"/>
      <c r="C324" s="80"/>
      <c r="D324" s="80"/>
      <c r="E324" s="80"/>
      <c r="F324" s="6"/>
      <c r="G324" s="54"/>
      <c r="H324" s="54"/>
      <c r="I324" s="7"/>
      <c r="J324" s="9"/>
      <c r="K324" s="21"/>
      <c r="L324" s="77"/>
      <c r="M324" s="77"/>
      <c r="N324" s="77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9"/>
      <c r="Z324" s="79"/>
      <c r="AA324" s="79"/>
    </row>
    <row r="325" spans="1:27" ht="12.75" customHeight="1" x14ac:dyDescent="0.25">
      <c r="A325" s="79"/>
      <c r="B325" s="79"/>
      <c r="C325" s="80"/>
      <c r="D325" s="80"/>
      <c r="E325" s="80"/>
      <c r="F325" s="6"/>
      <c r="G325" s="54"/>
      <c r="H325" s="54"/>
      <c r="I325" s="7"/>
      <c r="J325" s="9"/>
      <c r="K325" s="21"/>
      <c r="L325" s="77"/>
      <c r="M325" s="77"/>
      <c r="N325" s="77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9"/>
      <c r="Z325" s="79"/>
      <c r="AA325" s="79"/>
    </row>
    <row r="326" spans="1:27" ht="12.75" customHeight="1" x14ac:dyDescent="0.25">
      <c r="A326" s="79"/>
      <c r="B326" s="79"/>
      <c r="C326" s="80"/>
      <c r="D326" s="80"/>
      <c r="E326" s="80"/>
      <c r="F326" s="6"/>
      <c r="G326" s="54"/>
      <c r="H326" s="54"/>
      <c r="I326" s="7"/>
      <c r="J326" s="9"/>
      <c r="K326" s="21"/>
      <c r="L326" s="77"/>
      <c r="M326" s="77"/>
      <c r="N326" s="77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9"/>
      <c r="Z326" s="79"/>
      <c r="AA326" s="79"/>
    </row>
    <row r="327" spans="1:27" ht="12.75" customHeight="1" x14ac:dyDescent="0.25">
      <c r="A327" s="79"/>
      <c r="B327" s="79"/>
      <c r="C327" s="80"/>
      <c r="D327" s="80"/>
      <c r="E327" s="80"/>
      <c r="F327" s="6"/>
      <c r="G327" s="54"/>
      <c r="H327" s="54"/>
      <c r="I327" s="7"/>
      <c r="J327" s="9"/>
      <c r="K327" s="21"/>
      <c r="L327" s="77"/>
      <c r="M327" s="77"/>
      <c r="N327" s="77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9"/>
      <c r="Z327" s="79"/>
      <c r="AA327" s="79"/>
    </row>
    <row r="328" spans="1:27" ht="12.75" customHeight="1" x14ac:dyDescent="0.25">
      <c r="A328" s="79"/>
      <c r="B328" s="79"/>
      <c r="C328" s="80"/>
      <c r="D328" s="80"/>
      <c r="E328" s="80"/>
      <c r="F328" s="6"/>
      <c r="G328" s="54"/>
      <c r="H328" s="54"/>
      <c r="I328" s="7"/>
      <c r="J328" s="9"/>
      <c r="K328" s="21"/>
      <c r="L328" s="77"/>
      <c r="M328" s="77"/>
      <c r="N328" s="77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9"/>
      <c r="Z328" s="79"/>
      <c r="AA328" s="79"/>
    </row>
    <row r="329" spans="1:27" ht="12.75" customHeight="1" x14ac:dyDescent="0.25">
      <c r="A329" s="79"/>
      <c r="B329" s="79"/>
      <c r="C329" s="80"/>
      <c r="D329" s="80"/>
      <c r="E329" s="80"/>
      <c r="F329" s="6"/>
      <c r="G329" s="54"/>
      <c r="H329" s="54"/>
      <c r="I329" s="7"/>
      <c r="J329" s="9"/>
      <c r="K329" s="21"/>
      <c r="L329" s="77"/>
      <c r="M329" s="77"/>
      <c r="N329" s="77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9"/>
      <c r="Z329" s="79"/>
      <c r="AA329" s="79"/>
    </row>
    <row r="330" spans="1:27" ht="12.75" customHeight="1" x14ac:dyDescent="0.25">
      <c r="A330" s="79"/>
      <c r="B330" s="79"/>
      <c r="C330" s="80"/>
      <c r="D330" s="80"/>
      <c r="E330" s="80"/>
      <c r="F330" s="6"/>
      <c r="G330" s="54"/>
      <c r="H330" s="54"/>
      <c r="I330" s="7"/>
      <c r="J330" s="9"/>
      <c r="K330" s="21"/>
      <c r="L330" s="77"/>
      <c r="M330" s="77"/>
      <c r="N330" s="77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9"/>
      <c r="Z330" s="79"/>
      <c r="AA330" s="79"/>
    </row>
    <row r="331" spans="1:27" ht="12.75" customHeight="1" x14ac:dyDescent="0.25">
      <c r="A331" s="79"/>
      <c r="B331" s="79"/>
      <c r="C331" s="80"/>
      <c r="D331" s="80"/>
      <c r="E331" s="80"/>
      <c r="F331" s="6"/>
      <c r="G331" s="54"/>
      <c r="H331" s="54"/>
      <c r="I331" s="7"/>
      <c r="J331" s="9"/>
      <c r="K331" s="21"/>
      <c r="L331" s="77"/>
      <c r="M331" s="77"/>
      <c r="N331" s="77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9"/>
      <c r="Z331" s="79"/>
      <c r="AA331" s="79"/>
    </row>
    <row r="332" spans="1:27" ht="12.75" customHeight="1" x14ac:dyDescent="0.25">
      <c r="A332" s="79"/>
      <c r="B332" s="79"/>
      <c r="C332" s="80"/>
      <c r="D332" s="80"/>
      <c r="E332" s="80"/>
      <c r="F332" s="6"/>
      <c r="G332" s="54"/>
      <c r="H332" s="54"/>
      <c r="I332" s="7"/>
      <c r="J332" s="9"/>
      <c r="K332" s="21"/>
      <c r="L332" s="77"/>
      <c r="M332" s="77"/>
      <c r="N332" s="77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9"/>
      <c r="Z332" s="79"/>
      <c r="AA332" s="79"/>
    </row>
    <row r="333" spans="1:27" ht="12.75" customHeight="1" x14ac:dyDescent="0.25">
      <c r="A333" s="79"/>
      <c r="B333" s="79"/>
      <c r="C333" s="80"/>
      <c r="D333" s="80"/>
      <c r="E333" s="80"/>
      <c r="F333" s="6"/>
      <c r="G333" s="54"/>
      <c r="H333" s="54"/>
      <c r="I333" s="7"/>
      <c r="J333" s="9"/>
      <c r="K333" s="21"/>
      <c r="L333" s="77"/>
      <c r="M333" s="77"/>
      <c r="N333" s="77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9"/>
      <c r="Z333" s="79"/>
      <c r="AA333" s="79"/>
    </row>
    <row r="334" spans="1:27" ht="12.75" customHeight="1" x14ac:dyDescent="0.25">
      <c r="A334" s="79"/>
      <c r="B334" s="79"/>
      <c r="C334" s="80"/>
      <c r="D334" s="80"/>
      <c r="E334" s="80"/>
      <c r="F334" s="6"/>
      <c r="G334" s="54"/>
      <c r="H334" s="54"/>
      <c r="I334" s="7"/>
      <c r="J334" s="9"/>
      <c r="K334" s="21"/>
      <c r="L334" s="77"/>
      <c r="M334" s="77"/>
      <c r="N334" s="77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9"/>
      <c r="Z334" s="79"/>
      <c r="AA334" s="79"/>
    </row>
    <row r="335" spans="1:27" ht="12.75" customHeight="1" x14ac:dyDescent="0.25">
      <c r="A335" s="79"/>
      <c r="B335" s="79"/>
      <c r="C335" s="80"/>
      <c r="D335" s="80"/>
      <c r="E335" s="80"/>
      <c r="F335" s="6"/>
      <c r="G335" s="54"/>
      <c r="H335" s="54"/>
      <c r="I335" s="7"/>
      <c r="J335" s="9"/>
      <c r="K335" s="21"/>
      <c r="L335" s="77"/>
      <c r="M335" s="77"/>
      <c r="N335" s="77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9"/>
      <c r="Z335" s="79"/>
      <c r="AA335" s="79"/>
    </row>
    <row r="336" spans="1:27" ht="12.75" customHeight="1" x14ac:dyDescent="0.25">
      <c r="A336" s="79"/>
      <c r="B336" s="79"/>
      <c r="C336" s="80"/>
      <c r="D336" s="80"/>
      <c r="E336" s="80"/>
      <c r="F336" s="6"/>
      <c r="G336" s="54"/>
      <c r="H336" s="54"/>
      <c r="I336" s="7"/>
      <c r="J336" s="9"/>
      <c r="K336" s="21"/>
      <c r="L336" s="77"/>
      <c r="M336" s="77"/>
      <c r="N336" s="77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9"/>
      <c r="Z336" s="79"/>
      <c r="AA336" s="79"/>
    </row>
    <row r="337" spans="1:27" ht="12.75" customHeight="1" x14ac:dyDescent="0.25">
      <c r="A337" s="79"/>
      <c r="B337" s="79"/>
      <c r="C337" s="80"/>
      <c r="D337" s="80"/>
      <c r="E337" s="80"/>
      <c r="F337" s="6"/>
      <c r="G337" s="54"/>
      <c r="H337" s="54"/>
      <c r="I337" s="7"/>
      <c r="J337" s="9"/>
      <c r="K337" s="21"/>
      <c r="L337" s="77"/>
      <c r="M337" s="77"/>
      <c r="N337" s="77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9"/>
      <c r="Z337" s="79"/>
      <c r="AA337" s="79"/>
    </row>
    <row r="338" spans="1:27" ht="12.75" customHeight="1" x14ac:dyDescent="0.25">
      <c r="A338" s="79"/>
      <c r="B338" s="79"/>
      <c r="C338" s="80"/>
      <c r="D338" s="80"/>
      <c r="E338" s="80"/>
      <c r="F338" s="6"/>
      <c r="G338" s="54"/>
      <c r="H338" s="54"/>
      <c r="I338" s="7"/>
      <c r="J338" s="9"/>
      <c r="K338" s="21"/>
      <c r="L338" s="77"/>
      <c r="M338" s="77"/>
      <c r="N338" s="77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9"/>
      <c r="Z338" s="79"/>
      <c r="AA338" s="79"/>
    </row>
    <row r="339" spans="1:27" ht="12.75" customHeight="1" x14ac:dyDescent="0.25">
      <c r="A339" s="79"/>
      <c r="B339" s="79"/>
      <c r="C339" s="80"/>
      <c r="D339" s="80"/>
      <c r="E339" s="80"/>
      <c r="F339" s="6"/>
      <c r="G339" s="54"/>
      <c r="H339" s="54"/>
      <c r="I339" s="7"/>
      <c r="J339" s="9"/>
      <c r="K339" s="21"/>
      <c r="L339" s="77"/>
      <c r="M339" s="77"/>
      <c r="N339" s="77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9"/>
      <c r="Z339" s="79"/>
      <c r="AA339" s="79"/>
    </row>
    <row r="340" spans="1:27" ht="12.75" customHeight="1" x14ac:dyDescent="0.25">
      <c r="A340" s="79"/>
      <c r="B340" s="79"/>
      <c r="C340" s="80"/>
      <c r="D340" s="80"/>
      <c r="E340" s="80"/>
      <c r="F340" s="6"/>
      <c r="G340" s="54"/>
      <c r="H340" s="54"/>
      <c r="I340" s="7"/>
      <c r="J340" s="9"/>
      <c r="K340" s="21"/>
      <c r="L340" s="77"/>
      <c r="M340" s="77"/>
      <c r="N340" s="77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9"/>
      <c r="Z340" s="79"/>
      <c r="AA340" s="79"/>
    </row>
    <row r="341" spans="1:27" ht="12.75" customHeight="1" x14ac:dyDescent="0.25">
      <c r="A341" s="79"/>
      <c r="B341" s="79"/>
      <c r="C341" s="80"/>
      <c r="D341" s="80"/>
      <c r="E341" s="80"/>
      <c r="F341" s="6"/>
      <c r="G341" s="54"/>
      <c r="H341" s="54"/>
      <c r="I341" s="7"/>
      <c r="J341" s="9"/>
      <c r="K341" s="21"/>
      <c r="L341" s="77"/>
      <c r="M341" s="77"/>
      <c r="N341" s="77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9"/>
      <c r="Z341" s="79"/>
      <c r="AA341" s="79"/>
    </row>
    <row r="342" spans="1:27" ht="12.75" customHeight="1" x14ac:dyDescent="0.25">
      <c r="A342" s="79"/>
      <c r="B342" s="79"/>
      <c r="C342" s="80"/>
      <c r="D342" s="80"/>
      <c r="E342" s="80"/>
      <c r="F342" s="6"/>
      <c r="G342" s="54"/>
      <c r="H342" s="54"/>
      <c r="I342" s="7"/>
      <c r="J342" s="9"/>
      <c r="K342" s="21"/>
      <c r="L342" s="77"/>
      <c r="M342" s="77"/>
      <c r="N342" s="77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9"/>
      <c r="Z342" s="79"/>
      <c r="AA342" s="79"/>
    </row>
    <row r="343" spans="1:27" ht="12.75" customHeight="1" x14ac:dyDescent="0.25">
      <c r="A343" s="79"/>
      <c r="B343" s="79"/>
      <c r="C343" s="80"/>
      <c r="D343" s="80"/>
      <c r="E343" s="80"/>
      <c r="F343" s="6"/>
      <c r="G343" s="54"/>
      <c r="H343" s="54"/>
      <c r="I343" s="7"/>
      <c r="J343" s="9"/>
      <c r="K343" s="21"/>
      <c r="L343" s="77"/>
      <c r="M343" s="77"/>
      <c r="N343" s="77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9"/>
      <c r="Z343" s="79"/>
      <c r="AA343" s="79"/>
    </row>
    <row r="344" spans="1:27" ht="12.75" customHeight="1" x14ac:dyDescent="0.25">
      <c r="A344" s="79"/>
      <c r="B344" s="79"/>
      <c r="C344" s="80"/>
      <c r="D344" s="80"/>
      <c r="E344" s="80"/>
      <c r="F344" s="6"/>
      <c r="G344" s="54"/>
      <c r="H344" s="54"/>
      <c r="I344" s="7"/>
      <c r="J344" s="9"/>
      <c r="K344" s="21"/>
      <c r="L344" s="77"/>
      <c r="M344" s="77"/>
      <c r="N344" s="77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9"/>
      <c r="Z344" s="79"/>
      <c r="AA344" s="79"/>
    </row>
    <row r="345" spans="1:27" ht="12.75" customHeight="1" x14ac:dyDescent="0.25">
      <c r="A345" s="79"/>
      <c r="B345" s="79"/>
      <c r="C345" s="80"/>
      <c r="D345" s="80"/>
      <c r="E345" s="80"/>
      <c r="F345" s="6"/>
      <c r="G345" s="54"/>
      <c r="H345" s="54"/>
      <c r="I345" s="7"/>
      <c r="J345" s="9"/>
      <c r="K345" s="21"/>
      <c r="L345" s="77"/>
      <c r="M345" s="77"/>
      <c r="N345" s="77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9"/>
      <c r="Z345" s="79"/>
      <c r="AA345" s="79"/>
    </row>
    <row r="346" spans="1:27" ht="12.75" customHeight="1" x14ac:dyDescent="0.25">
      <c r="A346" s="79"/>
      <c r="B346" s="79"/>
      <c r="C346" s="80"/>
      <c r="D346" s="80"/>
      <c r="E346" s="80"/>
      <c r="F346" s="6"/>
      <c r="G346" s="54"/>
      <c r="H346" s="54"/>
      <c r="I346" s="7"/>
      <c r="J346" s="9"/>
      <c r="K346" s="21"/>
      <c r="L346" s="77"/>
      <c r="M346" s="77"/>
      <c r="N346" s="77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9"/>
      <c r="Z346" s="79"/>
      <c r="AA346" s="79"/>
    </row>
    <row r="347" spans="1:27" ht="12.75" customHeight="1" x14ac:dyDescent="0.25">
      <c r="A347" s="79"/>
      <c r="B347" s="79"/>
      <c r="C347" s="80"/>
      <c r="D347" s="80"/>
      <c r="E347" s="80"/>
      <c r="F347" s="6"/>
      <c r="G347" s="54"/>
      <c r="H347" s="54"/>
      <c r="I347" s="7"/>
      <c r="J347" s="9"/>
      <c r="K347" s="21"/>
      <c r="L347" s="77"/>
      <c r="M347" s="77"/>
      <c r="N347" s="77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9"/>
      <c r="Z347" s="79"/>
      <c r="AA347" s="79"/>
    </row>
    <row r="348" spans="1:27" ht="12.75" customHeight="1" x14ac:dyDescent="0.25">
      <c r="A348" s="79"/>
      <c r="B348" s="79"/>
      <c r="C348" s="80"/>
      <c r="D348" s="80"/>
      <c r="E348" s="80"/>
      <c r="F348" s="6"/>
      <c r="G348" s="54"/>
      <c r="H348" s="54"/>
      <c r="I348" s="7"/>
      <c r="J348" s="9"/>
      <c r="K348" s="21"/>
      <c r="L348" s="77"/>
      <c r="M348" s="77"/>
      <c r="N348" s="77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9"/>
      <c r="Z348" s="79"/>
      <c r="AA348" s="79"/>
    </row>
    <row r="349" spans="1:27" ht="12.75" customHeight="1" x14ac:dyDescent="0.25">
      <c r="A349" s="79"/>
      <c r="B349" s="79"/>
      <c r="C349" s="80"/>
      <c r="D349" s="80"/>
      <c r="E349" s="80"/>
      <c r="F349" s="6"/>
      <c r="G349" s="54"/>
      <c r="H349" s="54"/>
      <c r="I349" s="7"/>
      <c r="J349" s="9"/>
      <c r="K349" s="21"/>
      <c r="L349" s="77"/>
      <c r="M349" s="77"/>
      <c r="N349" s="77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9"/>
      <c r="Z349" s="79"/>
      <c r="AA349" s="79"/>
    </row>
    <row r="350" spans="1:27" ht="12.75" customHeight="1" x14ac:dyDescent="0.25">
      <c r="A350" s="79"/>
      <c r="B350" s="79"/>
      <c r="C350" s="80"/>
      <c r="D350" s="80"/>
      <c r="E350" s="80"/>
      <c r="F350" s="6"/>
      <c r="G350" s="54"/>
      <c r="H350" s="54"/>
      <c r="I350" s="7"/>
      <c r="J350" s="9"/>
      <c r="K350" s="21"/>
      <c r="L350" s="77"/>
      <c r="M350" s="77"/>
      <c r="N350" s="77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9"/>
      <c r="Z350" s="79"/>
      <c r="AA350" s="79"/>
    </row>
    <row r="351" spans="1:27" ht="12.75" customHeight="1" x14ac:dyDescent="0.25">
      <c r="A351" s="79"/>
      <c r="B351" s="79"/>
      <c r="C351" s="80"/>
      <c r="D351" s="80"/>
      <c r="E351" s="80"/>
      <c r="F351" s="6"/>
      <c r="G351" s="54"/>
      <c r="H351" s="54"/>
      <c r="I351" s="7"/>
      <c r="J351" s="9"/>
      <c r="K351" s="21"/>
      <c r="L351" s="77"/>
      <c r="M351" s="77"/>
      <c r="N351" s="77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9"/>
      <c r="Z351" s="79"/>
      <c r="AA351" s="79"/>
    </row>
    <row r="352" spans="1:27" ht="12.75" customHeight="1" x14ac:dyDescent="0.25">
      <c r="A352" s="79"/>
      <c r="B352" s="79"/>
      <c r="C352" s="80"/>
      <c r="D352" s="80"/>
      <c r="E352" s="80"/>
      <c r="F352" s="6"/>
      <c r="G352" s="54"/>
      <c r="H352" s="54"/>
      <c r="I352" s="7"/>
      <c r="J352" s="9"/>
      <c r="K352" s="21"/>
      <c r="L352" s="77"/>
      <c r="M352" s="77"/>
      <c r="N352" s="77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9"/>
      <c r="Z352" s="79"/>
      <c r="AA352" s="79"/>
    </row>
    <row r="353" spans="1:27" ht="12.75" customHeight="1" x14ac:dyDescent="0.25">
      <c r="A353" s="79"/>
      <c r="B353" s="79"/>
      <c r="C353" s="80"/>
      <c r="D353" s="80"/>
      <c r="E353" s="80"/>
      <c r="F353" s="6"/>
      <c r="G353" s="54"/>
      <c r="H353" s="54"/>
      <c r="I353" s="7"/>
      <c r="J353" s="9"/>
      <c r="K353" s="21"/>
      <c r="L353" s="77"/>
      <c r="M353" s="77"/>
      <c r="N353" s="77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9"/>
      <c r="Z353" s="79"/>
      <c r="AA353" s="79"/>
    </row>
    <row r="354" spans="1:27" ht="12.75" customHeight="1" x14ac:dyDescent="0.25">
      <c r="A354" s="79"/>
      <c r="B354" s="79"/>
      <c r="C354" s="80"/>
      <c r="D354" s="80"/>
      <c r="E354" s="80"/>
      <c r="F354" s="6"/>
      <c r="G354" s="54"/>
      <c r="H354" s="54"/>
      <c r="I354" s="7"/>
      <c r="J354" s="9"/>
      <c r="K354" s="21"/>
      <c r="L354" s="77"/>
      <c r="M354" s="77"/>
      <c r="N354" s="77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9"/>
      <c r="Z354" s="79"/>
      <c r="AA354" s="79"/>
    </row>
    <row r="355" spans="1:27" ht="12.75" customHeight="1" x14ac:dyDescent="0.25">
      <c r="A355" s="79"/>
      <c r="B355" s="79"/>
      <c r="C355" s="80"/>
      <c r="D355" s="80"/>
      <c r="E355" s="80"/>
      <c r="F355" s="6"/>
      <c r="G355" s="54"/>
      <c r="H355" s="54"/>
      <c r="I355" s="7"/>
      <c r="J355" s="9"/>
      <c r="K355" s="21"/>
      <c r="L355" s="77"/>
      <c r="M355" s="77"/>
      <c r="N355" s="77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9"/>
      <c r="Z355" s="79"/>
      <c r="AA355" s="79"/>
    </row>
    <row r="356" spans="1:27" ht="12.75" customHeight="1" x14ac:dyDescent="0.25">
      <c r="A356" s="79"/>
      <c r="B356" s="79"/>
      <c r="C356" s="80"/>
      <c r="D356" s="80"/>
      <c r="E356" s="80"/>
      <c r="F356" s="6"/>
      <c r="G356" s="54"/>
      <c r="H356" s="54"/>
      <c r="I356" s="7"/>
      <c r="J356" s="9"/>
      <c r="K356" s="21"/>
      <c r="L356" s="77"/>
      <c r="M356" s="77"/>
      <c r="N356" s="77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9"/>
      <c r="Z356" s="79"/>
      <c r="AA356" s="79"/>
    </row>
    <row r="357" spans="1:27" ht="12.75" customHeight="1" x14ac:dyDescent="0.25">
      <c r="A357" s="79"/>
      <c r="B357" s="79"/>
      <c r="C357" s="80"/>
      <c r="D357" s="80"/>
      <c r="E357" s="80"/>
      <c r="F357" s="6"/>
      <c r="G357" s="54"/>
      <c r="H357" s="54"/>
      <c r="I357" s="7"/>
      <c r="J357" s="9"/>
      <c r="K357" s="21"/>
      <c r="L357" s="77"/>
      <c r="M357" s="77"/>
      <c r="N357" s="77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9"/>
      <c r="Z357" s="79"/>
      <c r="AA357" s="79"/>
    </row>
    <row r="358" spans="1:27" ht="12.75" customHeight="1" x14ac:dyDescent="0.25">
      <c r="A358" s="79"/>
      <c r="B358" s="79"/>
      <c r="C358" s="80"/>
      <c r="D358" s="80"/>
      <c r="E358" s="80"/>
      <c r="F358" s="6"/>
      <c r="G358" s="54"/>
      <c r="H358" s="54"/>
      <c r="I358" s="7"/>
      <c r="J358" s="9"/>
      <c r="K358" s="21"/>
      <c r="L358" s="77"/>
      <c r="M358" s="77"/>
      <c r="N358" s="77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9"/>
      <c r="Z358" s="79"/>
      <c r="AA358" s="79"/>
    </row>
    <row r="359" spans="1:27" ht="12.75" customHeight="1" x14ac:dyDescent="0.25">
      <c r="A359" s="79"/>
      <c r="B359" s="79"/>
      <c r="C359" s="80"/>
      <c r="D359" s="80"/>
      <c r="E359" s="80"/>
      <c r="F359" s="6"/>
      <c r="G359" s="54"/>
      <c r="H359" s="54"/>
      <c r="I359" s="7"/>
      <c r="J359" s="9"/>
      <c r="K359" s="21"/>
      <c r="L359" s="77"/>
      <c r="M359" s="77"/>
      <c r="N359" s="77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9"/>
      <c r="Z359" s="79"/>
      <c r="AA359" s="79"/>
    </row>
    <row r="360" spans="1:27" ht="12.75" customHeight="1" x14ac:dyDescent="0.25">
      <c r="A360" s="79"/>
      <c r="B360" s="79"/>
      <c r="C360" s="80"/>
      <c r="D360" s="80"/>
      <c r="E360" s="80"/>
      <c r="F360" s="6"/>
      <c r="G360" s="54"/>
      <c r="H360" s="54"/>
      <c r="I360" s="7"/>
      <c r="J360" s="9"/>
      <c r="K360" s="21"/>
      <c r="L360" s="77"/>
      <c r="M360" s="77"/>
      <c r="N360" s="77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9"/>
      <c r="Z360" s="79"/>
      <c r="AA360" s="79"/>
    </row>
    <row r="361" spans="1:27" ht="12.75" customHeight="1" x14ac:dyDescent="0.25">
      <c r="A361" s="79"/>
      <c r="B361" s="79"/>
      <c r="C361" s="80"/>
      <c r="D361" s="80"/>
      <c r="E361" s="80"/>
      <c r="F361" s="6"/>
      <c r="G361" s="54"/>
      <c r="H361" s="54"/>
      <c r="I361" s="7"/>
      <c r="J361" s="9"/>
      <c r="K361" s="21"/>
      <c r="L361" s="77"/>
      <c r="M361" s="77"/>
      <c r="N361" s="77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9"/>
      <c r="Z361" s="79"/>
      <c r="AA361" s="79"/>
    </row>
    <row r="362" spans="1:27" ht="12.75" customHeight="1" x14ac:dyDescent="0.25">
      <c r="A362" s="79"/>
      <c r="B362" s="79"/>
      <c r="C362" s="80"/>
      <c r="D362" s="80"/>
      <c r="E362" s="80"/>
      <c r="F362" s="6"/>
      <c r="G362" s="54"/>
      <c r="H362" s="54"/>
      <c r="I362" s="7"/>
      <c r="J362" s="9"/>
      <c r="K362" s="21"/>
      <c r="L362" s="77"/>
      <c r="M362" s="77"/>
      <c r="N362" s="77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9"/>
      <c r="Z362" s="79"/>
      <c r="AA362" s="79"/>
    </row>
    <row r="363" spans="1:27" ht="12.75" customHeight="1" x14ac:dyDescent="0.25">
      <c r="A363" s="79"/>
      <c r="B363" s="79"/>
      <c r="C363" s="80"/>
      <c r="D363" s="80"/>
      <c r="E363" s="80"/>
      <c r="F363" s="6"/>
      <c r="G363" s="54"/>
      <c r="H363" s="54"/>
      <c r="I363" s="7"/>
      <c r="J363" s="9"/>
      <c r="K363" s="21"/>
      <c r="L363" s="77"/>
      <c r="M363" s="77"/>
      <c r="N363" s="77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9"/>
      <c r="Z363" s="79"/>
      <c r="AA363" s="79"/>
    </row>
    <row r="364" spans="1:27" ht="12.75" customHeight="1" x14ac:dyDescent="0.25">
      <c r="A364" s="79"/>
      <c r="B364" s="79"/>
      <c r="C364" s="80"/>
      <c r="D364" s="80"/>
      <c r="E364" s="80"/>
      <c r="F364" s="6"/>
      <c r="G364" s="54"/>
      <c r="H364" s="54"/>
      <c r="I364" s="7"/>
      <c r="J364" s="9"/>
      <c r="K364" s="21"/>
      <c r="L364" s="77"/>
      <c r="M364" s="77"/>
      <c r="N364" s="77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9"/>
      <c r="Z364" s="79"/>
      <c r="AA364" s="79"/>
    </row>
    <row r="365" spans="1:27" ht="12.75" customHeight="1" x14ac:dyDescent="0.25">
      <c r="A365" s="79"/>
      <c r="B365" s="79"/>
      <c r="C365" s="80"/>
      <c r="D365" s="80"/>
      <c r="E365" s="80"/>
      <c r="F365" s="6"/>
      <c r="G365" s="54"/>
      <c r="H365" s="54"/>
      <c r="I365" s="7"/>
      <c r="J365" s="9"/>
      <c r="K365" s="21"/>
      <c r="L365" s="77"/>
      <c r="M365" s="77"/>
      <c r="N365" s="77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9"/>
      <c r="Z365" s="79"/>
      <c r="AA365" s="79"/>
    </row>
    <row r="366" spans="1:27" ht="12.75" customHeight="1" x14ac:dyDescent="0.25">
      <c r="A366" s="79"/>
      <c r="B366" s="79"/>
      <c r="C366" s="80"/>
      <c r="D366" s="80"/>
      <c r="E366" s="80"/>
      <c r="F366" s="6"/>
      <c r="G366" s="54"/>
      <c r="H366" s="54"/>
      <c r="I366" s="7"/>
      <c r="J366" s="9"/>
      <c r="K366" s="21"/>
      <c r="L366" s="77"/>
      <c r="M366" s="77"/>
      <c r="N366" s="77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9"/>
      <c r="Z366" s="79"/>
      <c r="AA366" s="79"/>
    </row>
    <row r="367" spans="1:27" ht="12.75" customHeight="1" x14ac:dyDescent="0.25">
      <c r="A367" s="79"/>
      <c r="B367" s="79"/>
      <c r="C367" s="80"/>
      <c r="D367" s="80"/>
      <c r="E367" s="80"/>
      <c r="F367" s="6"/>
      <c r="G367" s="54"/>
      <c r="H367" s="54"/>
      <c r="I367" s="7"/>
      <c r="J367" s="9"/>
      <c r="K367" s="21"/>
      <c r="L367" s="77"/>
      <c r="M367" s="77"/>
      <c r="N367" s="77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9"/>
      <c r="Z367" s="79"/>
      <c r="AA367" s="79"/>
    </row>
    <row r="368" spans="1:27" ht="12.75" customHeight="1" x14ac:dyDescent="0.25">
      <c r="A368" s="79"/>
      <c r="B368" s="79"/>
      <c r="C368" s="80"/>
      <c r="D368" s="80"/>
      <c r="E368" s="80"/>
      <c r="F368" s="6"/>
      <c r="G368" s="54"/>
      <c r="H368" s="54"/>
      <c r="I368" s="7"/>
      <c r="J368" s="9"/>
      <c r="K368" s="21"/>
      <c r="L368" s="77"/>
      <c r="M368" s="77"/>
      <c r="N368" s="77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9"/>
      <c r="Z368" s="79"/>
      <c r="AA368" s="79"/>
    </row>
    <row r="369" spans="1:27" ht="12.75" customHeight="1" x14ac:dyDescent="0.25">
      <c r="A369" s="79"/>
      <c r="B369" s="79"/>
      <c r="C369" s="80"/>
      <c r="D369" s="80"/>
      <c r="E369" s="80"/>
      <c r="F369" s="6"/>
      <c r="G369" s="54"/>
      <c r="H369" s="54"/>
      <c r="I369" s="7"/>
      <c r="J369" s="9"/>
      <c r="K369" s="21"/>
      <c r="L369" s="77"/>
      <c r="M369" s="77"/>
      <c r="N369" s="77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9"/>
      <c r="Z369" s="79"/>
      <c r="AA369" s="79"/>
    </row>
    <row r="370" spans="1:27" ht="12.75" customHeight="1" x14ac:dyDescent="0.25">
      <c r="A370" s="79"/>
      <c r="B370" s="79"/>
      <c r="C370" s="80"/>
      <c r="D370" s="80"/>
      <c r="E370" s="80"/>
      <c r="F370" s="6"/>
      <c r="G370" s="54"/>
      <c r="H370" s="54"/>
      <c r="I370" s="7"/>
      <c r="J370" s="9"/>
      <c r="K370" s="21"/>
      <c r="L370" s="77"/>
      <c r="M370" s="77"/>
      <c r="N370" s="77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9"/>
      <c r="Z370" s="79"/>
      <c r="AA370" s="79"/>
    </row>
    <row r="371" spans="1:27" ht="12.75" customHeight="1" x14ac:dyDescent="0.25">
      <c r="A371" s="79"/>
      <c r="B371" s="79"/>
      <c r="C371" s="80"/>
      <c r="D371" s="80"/>
      <c r="E371" s="80"/>
      <c r="F371" s="6"/>
      <c r="G371" s="54"/>
      <c r="H371" s="54"/>
      <c r="I371" s="7"/>
      <c r="J371" s="9"/>
      <c r="K371" s="21"/>
      <c r="L371" s="77"/>
      <c r="M371" s="77"/>
      <c r="N371" s="77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9"/>
      <c r="Z371" s="79"/>
      <c r="AA371" s="79"/>
    </row>
    <row r="372" spans="1:27" ht="12.75" customHeight="1" x14ac:dyDescent="0.25">
      <c r="A372" s="79"/>
      <c r="B372" s="79"/>
      <c r="C372" s="80"/>
      <c r="D372" s="80"/>
      <c r="E372" s="80"/>
      <c r="F372" s="6"/>
      <c r="G372" s="54"/>
      <c r="H372" s="54"/>
      <c r="I372" s="7"/>
      <c r="J372" s="9"/>
      <c r="K372" s="21"/>
      <c r="L372" s="77"/>
      <c r="M372" s="77"/>
      <c r="N372" s="77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9"/>
      <c r="Z372" s="79"/>
      <c r="AA372" s="79"/>
    </row>
    <row r="373" spans="1:27" ht="12.75" customHeight="1" x14ac:dyDescent="0.25">
      <c r="A373" s="79"/>
      <c r="B373" s="79"/>
      <c r="C373" s="80"/>
      <c r="D373" s="80"/>
      <c r="E373" s="80"/>
      <c r="F373" s="6"/>
      <c r="G373" s="54"/>
      <c r="H373" s="54"/>
      <c r="I373" s="7"/>
      <c r="J373" s="9"/>
      <c r="K373" s="21"/>
      <c r="L373" s="77"/>
      <c r="M373" s="77"/>
      <c r="N373" s="77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9"/>
      <c r="Z373" s="79"/>
      <c r="AA373" s="79"/>
    </row>
    <row r="374" spans="1:27" ht="12.75" customHeight="1" x14ac:dyDescent="0.25">
      <c r="A374" s="79"/>
      <c r="B374" s="79"/>
      <c r="C374" s="80"/>
      <c r="D374" s="80"/>
      <c r="E374" s="80"/>
      <c r="F374" s="6"/>
      <c r="G374" s="54"/>
      <c r="H374" s="54"/>
      <c r="I374" s="7"/>
      <c r="J374" s="9"/>
      <c r="K374" s="21"/>
      <c r="L374" s="77"/>
      <c r="M374" s="77"/>
      <c r="N374" s="77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9"/>
      <c r="Z374" s="79"/>
      <c r="AA374" s="79"/>
    </row>
    <row r="375" spans="1:27" ht="12.75" customHeight="1" x14ac:dyDescent="0.25">
      <c r="A375" s="79"/>
      <c r="B375" s="79"/>
      <c r="C375" s="80"/>
      <c r="D375" s="80"/>
      <c r="E375" s="80"/>
      <c r="F375" s="6"/>
      <c r="G375" s="54"/>
      <c r="H375" s="54"/>
      <c r="I375" s="7"/>
      <c r="J375" s="9"/>
      <c r="K375" s="21"/>
      <c r="L375" s="77"/>
      <c r="M375" s="77"/>
      <c r="N375" s="77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9"/>
      <c r="Z375" s="79"/>
      <c r="AA375" s="79"/>
    </row>
    <row r="376" spans="1:27" ht="12.75" customHeight="1" x14ac:dyDescent="0.25">
      <c r="A376" s="79"/>
      <c r="B376" s="79"/>
      <c r="C376" s="80"/>
      <c r="D376" s="80"/>
      <c r="E376" s="80"/>
      <c r="F376" s="6"/>
      <c r="G376" s="54"/>
      <c r="H376" s="54"/>
      <c r="I376" s="7"/>
      <c r="J376" s="9"/>
      <c r="K376" s="21"/>
      <c r="L376" s="77"/>
      <c r="M376" s="77"/>
      <c r="N376" s="77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9"/>
      <c r="Z376" s="79"/>
      <c r="AA376" s="79"/>
    </row>
    <row r="377" spans="1:27" ht="12.75" customHeight="1" x14ac:dyDescent="0.25">
      <c r="A377" s="79"/>
      <c r="B377" s="79"/>
      <c r="C377" s="80"/>
      <c r="D377" s="80"/>
      <c r="E377" s="80"/>
      <c r="F377" s="6"/>
      <c r="G377" s="54"/>
      <c r="H377" s="54"/>
      <c r="I377" s="7"/>
      <c r="J377" s="9"/>
      <c r="K377" s="21"/>
      <c r="L377" s="77"/>
      <c r="M377" s="77"/>
      <c r="N377" s="77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9"/>
      <c r="Z377" s="79"/>
      <c r="AA377" s="79"/>
    </row>
    <row r="378" spans="1:27" ht="12.75" customHeight="1" x14ac:dyDescent="0.25">
      <c r="A378" s="79"/>
      <c r="B378" s="79"/>
      <c r="C378" s="80"/>
      <c r="D378" s="80"/>
      <c r="E378" s="80"/>
      <c r="F378" s="6"/>
      <c r="G378" s="54"/>
      <c r="H378" s="54"/>
      <c r="I378" s="7"/>
      <c r="J378" s="9"/>
      <c r="K378" s="21"/>
      <c r="L378" s="77"/>
      <c r="M378" s="77"/>
      <c r="N378" s="77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9"/>
      <c r="Z378" s="79"/>
      <c r="AA378" s="79"/>
    </row>
    <row r="379" spans="1:27" ht="12.75" customHeight="1" x14ac:dyDescent="0.25">
      <c r="A379" s="79"/>
      <c r="B379" s="79"/>
      <c r="C379" s="80"/>
      <c r="D379" s="80"/>
      <c r="E379" s="80"/>
      <c r="F379" s="6"/>
      <c r="G379" s="54"/>
      <c r="H379" s="54"/>
      <c r="I379" s="7"/>
      <c r="J379" s="9"/>
      <c r="K379" s="21"/>
      <c r="L379" s="77"/>
      <c r="M379" s="77"/>
      <c r="N379" s="77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9"/>
      <c r="Z379" s="79"/>
      <c r="AA379" s="79"/>
    </row>
    <row r="380" spans="1:27" ht="12.75" customHeight="1" x14ac:dyDescent="0.25">
      <c r="A380" s="79"/>
      <c r="B380" s="79"/>
      <c r="C380" s="80"/>
      <c r="D380" s="80"/>
      <c r="E380" s="80"/>
      <c r="F380" s="6"/>
      <c r="G380" s="54"/>
      <c r="H380" s="54"/>
      <c r="I380" s="7"/>
      <c r="J380" s="9"/>
      <c r="K380" s="21"/>
      <c r="L380" s="77"/>
      <c r="M380" s="77"/>
      <c r="N380" s="77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9"/>
      <c r="Z380" s="79"/>
      <c r="AA380" s="79"/>
    </row>
    <row r="381" spans="1:27" ht="12.75" customHeight="1" x14ac:dyDescent="0.25">
      <c r="A381" s="79"/>
      <c r="B381" s="79"/>
      <c r="C381" s="80"/>
      <c r="D381" s="80"/>
      <c r="E381" s="80"/>
      <c r="F381" s="6"/>
      <c r="G381" s="54"/>
      <c r="H381" s="54"/>
      <c r="I381" s="7"/>
      <c r="J381" s="9"/>
      <c r="K381" s="21"/>
      <c r="L381" s="77"/>
      <c r="M381" s="77"/>
      <c r="N381" s="77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9"/>
      <c r="Z381" s="79"/>
      <c r="AA381" s="79"/>
    </row>
    <row r="382" spans="1:27" ht="12.75" customHeight="1" x14ac:dyDescent="0.25">
      <c r="A382" s="79"/>
      <c r="B382" s="79"/>
      <c r="C382" s="80"/>
      <c r="D382" s="80"/>
      <c r="E382" s="80"/>
      <c r="F382" s="6"/>
      <c r="G382" s="54"/>
      <c r="H382" s="54"/>
      <c r="I382" s="7"/>
      <c r="J382" s="9"/>
      <c r="K382" s="21"/>
      <c r="L382" s="77"/>
      <c r="M382" s="77"/>
      <c r="N382" s="77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9"/>
      <c r="Z382" s="79"/>
      <c r="AA382" s="79"/>
    </row>
    <row r="383" spans="1:27" ht="12.75" customHeight="1" x14ac:dyDescent="0.25">
      <c r="A383" s="79"/>
      <c r="B383" s="79"/>
      <c r="C383" s="80"/>
      <c r="D383" s="80"/>
      <c r="E383" s="80"/>
      <c r="F383" s="6"/>
      <c r="G383" s="54"/>
      <c r="H383" s="54"/>
      <c r="I383" s="7"/>
      <c r="J383" s="9"/>
      <c r="K383" s="21"/>
      <c r="L383" s="77"/>
      <c r="M383" s="77"/>
      <c r="N383" s="77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9"/>
      <c r="Z383" s="79"/>
      <c r="AA383" s="79"/>
    </row>
    <row r="384" spans="1:27" ht="12.75" customHeight="1" x14ac:dyDescent="0.25">
      <c r="A384" s="79"/>
      <c r="B384" s="79"/>
      <c r="C384" s="80"/>
      <c r="D384" s="80"/>
      <c r="E384" s="80"/>
      <c r="F384" s="6"/>
      <c r="G384" s="54"/>
      <c r="H384" s="54"/>
      <c r="I384" s="7"/>
      <c r="J384" s="9"/>
      <c r="K384" s="21"/>
      <c r="L384" s="77"/>
      <c r="M384" s="77"/>
      <c r="N384" s="77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9"/>
      <c r="Z384" s="79"/>
      <c r="AA384" s="79"/>
    </row>
    <row r="385" spans="1:27" ht="12.75" customHeight="1" x14ac:dyDescent="0.25">
      <c r="A385" s="79"/>
      <c r="B385" s="79"/>
      <c r="C385" s="80"/>
      <c r="D385" s="80"/>
      <c r="E385" s="80"/>
      <c r="F385" s="6"/>
      <c r="G385" s="54"/>
      <c r="H385" s="54"/>
      <c r="I385" s="7"/>
      <c r="J385" s="9"/>
      <c r="K385" s="21"/>
      <c r="L385" s="77"/>
      <c r="M385" s="77"/>
      <c r="N385" s="77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9"/>
      <c r="Z385" s="79"/>
      <c r="AA385" s="79"/>
    </row>
    <row r="386" spans="1:27" ht="12.75" customHeight="1" x14ac:dyDescent="0.25">
      <c r="A386" s="79"/>
      <c r="B386" s="79"/>
      <c r="C386" s="80"/>
      <c r="D386" s="80"/>
      <c r="E386" s="80"/>
      <c r="F386" s="6"/>
      <c r="G386" s="54"/>
      <c r="H386" s="54"/>
      <c r="I386" s="7"/>
      <c r="J386" s="9"/>
      <c r="K386" s="21"/>
      <c r="L386" s="77"/>
      <c r="M386" s="77"/>
      <c r="N386" s="77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9"/>
      <c r="Z386" s="79"/>
      <c r="AA386" s="79"/>
    </row>
    <row r="387" spans="1:27" ht="12.75" customHeight="1" x14ac:dyDescent="0.25">
      <c r="A387" s="79"/>
      <c r="B387" s="79"/>
      <c r="C387" s="80"/>
      <c r="D387" s="80"/>
      <c r="E387" s="80"/>
      <c r="F387" s="6"/>
      <c r="G387" s="54"/>
      <c r="H387" s="54"/>
      <c r="I387" s="7"/>
      <c r="J387" s="9"/>
      <c r="K387" s="21"/>
      <c r="L387" s="77"/>
      <c r="M387" s="77"/>
      <c r="N387" s="77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9"/>
      <c r="Z387" s="79"/>
      <c r="AA387" s="79"/>
    </row>
    <row r="388" spans="1:27" ht="12.75" customHeight="1" x14ac:dyDescent="0.25">
      <c r="A388" s="79"/>
      <c r="B388" s="79"/>
      <c r="C388" s="80"/>
      <c r="D388" s="80"/>
      <c r="E388" s="80"/>
      <c r="F388" s="6"/>
      <c r="G388" s="54"/>
      <c r="H388" s="54"/>
      <c r="I388" s="7"/>
      <c r="J388" s="9"/>
      <c r="K388" s="21"/>
      <c r="L388" s="77"/>
      <c r="M388" s="77"/>
      <c r="N388" s="77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9"/>
      <c r="Z388" s="79"/>
      <c r="AA388" s="79"/>
    </row>
    <row r="389" spans="1:27" ht="12.75" customHeight="1" x14ac:dyDescent="0.25">
      <c r="A389" s="79"/>
      <c r="B389" s="79"/>
      <c r="C389" s="80"/>
      <c r="D389" s="80"/>
      <c r="E389" s="80"/>
      <c r="F389" s="6"/>
      <c r="G389" s="54"/>
      <c r="H389" s="54"/>
      <c r="I389" s="7"/>
      <c r="J389" s="9"/>
      <c r="K389" s="21"/>
      <c r="L389" s="77"/>
      <c r="M389" s="77"/>
      <c r="N389" s="77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9"/>
      <c r="Z389" s="79"/>
      <c r="AA389" s="79"/>
    </row>
    <row r="390" spans="1:27" ht="12.75" customHeight="1" x14ac:dyDescent="0.25">
      <c r="A390" s="79"/>
      <c r="B390" s="79"/>
      <c r="C390" s="80"/>
      <c r="D390" s="80"/>
      <c r="E390" s="80"/>
      <c r="F390" s="6"/>
      <c r="G390" s="54"/>
      <c r="H390" s="54"/>
      <c r="I390" s="7"/>
      <c r="J390" s="9"/>
      <c r="K390" s="21"/>
      <c r="L390" s="77"/>
      <c r="M390" s="77"/>
      <c r="N390" s="77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9"/>
      <c r="Z390" s="79"/>
      <c r="AA390" s="79"/>
    </row>
    <row r="391" spans="1:27" ht="12.75" customHeight="1" x14ac:dyDescent="0.25">
      <c r="A391" s="79"/>
      <c r="B391" s="79"/>
      <c r="C391" s="80"/>
      <c r="D391" s="80"/>
      <c r="E391" s="80"/>
      <c r="F391" s="6"/>
      <c r="G391" s="54"/>
      <c r="H391" s="54"/>
      <c r="I391" s="7"/>
      <c r="J391" s="9"/>
      <c r="K391" s="21"/>
      <c r="L391" s="77"/>
      <c r="M391" s="77"/>
      <c r="N391" s="77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9"/>
      <c r="Z391" s="79"/>
      <c r="AA391" s="79"/>
    </row>
    <row r="392" spans="1:27" ht="12.75" customHeight="1" x14ac:dyDescent="0.25">
      <c r="A392" s="79"/>
      <c r="B392" s="79"/>
      <c r="C392" s="80"/>
      <c r="D392" s="80"/>
      <c r="E392" s="80"/>
      <c r="F392" s="6"/>
      <c r="G392" s="54"/>
      <c r="H392" s="54"/>
      <c r="I392" s="7"/>
      <c r="J392" s="9"/>
      <c r="K392" s="21"/>
      <c r="L392" s="77"/>
      <c r="M392" s="77"/>
      <c r="N392" s="77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9"/>
      <c r="Z392" s="79"/>
      <c r="AA392" s="79"/>
    </row>
    <row r="393" spans="1:27" ht="12.75" customHeight="1" x14ac:dyDescent="0.25">
      <c r="A393" s="79"/>
      <c r="B393" s="79"/>
      <c r="C393" s="80"/>
      <c r="D393" s="80"/>
      <c r="E393" s="80"/>
      <c r="F393" s="6"/>
      <c r="G393" s="54"/>
      <c r="H393" s="54"/>
      <c r="I393" s="7"/>
      <c r="J393" s="9"/>
      <c r="K393" s="21"/>
      <c r="L393" s="77"/>
      <c r="M393" s="77"/>
      <c r="N393" s="77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9"/>
      <c r="Z393" s="79"/>
      <c r="AA393" s="79"/>
    </row>
    <row r="394" spans="1:27" ht="12.75" customHeight="1" x14ac:dyDescent="0.25">
      <c r="A394" s="79"/>
      <c r="B394" s="79"/>
      <c r="C394" s="80"/>
      <c r="D394" s="80"/>
      <c r="E394" s="80"/>
      <c r="F394" s="6"/>
      <c r="G394" s="54"/>
      <c r="H394" s="54"/>
      <c r="I394" s="7"/>
      <c r="J394" s="9"/>
      <c r="K394" s="21"/>
      <c r="L394" s="77"/>
      <c r="M394" s="77"/>
      <c r="N394" s="77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9"/>
      <c r="Z394" s="79"/>
      <c r="AA394" s="79"/>
    </row>
    <row r="395" spans="1:27" ht="12.75" customHeight="1" x14ac:dyDescent="0.25">
      <c r="A395" s="79"/>
      <c r="B395" s="79"/>
      <c r="C395" s="80"/>
      <c r="D395" s="80"/>
      <c r="E395" s="80"/>
      <c r="F395" s="6"/>
      <c r="G395" s="54"/>
      <c r="H395" s="54"/>
      <c r="I395" s="7"/>
      <c r="J395" s="9"/>
      <c r="K395" s="21"/>
      <c r="L395" s="77"/>
      <c r="M395" s="77"/>
      <c r="N395" s="77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9"/>
      <c r="Z395" s="79"/>
      <c r="AA395" s="79"/>
    </row>
    <row r="396" spans="1:27" ht="12.75" customHeight="1" x14ac:dyDescent="0.25">
      <c r="A396" s="79"/>
      <c r="B396" s="79"/>
      <c r="C396" s="80"/>
      <c r="D396" s="80"/>
      <c r="E396" s="80"/>
      <c r="F396" s="6"/>
      <c r="G396" s="54"/>
      <c r="H396" s="54"/>
      <c r="I396" s="7"/>
      <c r="J396" s="9"/>
      <c r="K396" s="21"/>
      <c r="L396" s="77"/>
      <c r="M396" s="77"/>
      <c r="N396" s="77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9"/>
      <c r="Z396" s="79"/>
      <c r="AA396" s="79"/>
    </row>
    <row r="397" spans="1:27" ht="12.75" customHeight="1" x14ac:dyDescent="0.25">
      <c r="A397" s="79"/>
      <c r="B397" s="79"/>
      <c r="C397" s="80"/>
      <c r="D397" s="80"/>
      <c r="E397" s="80"/>
      <c r="F397" s="6"/>
      <c r="G397" s="54"/>
      <c r="H397" s="54"/>
      <c r="I397" s="7"/>
      <c r="J397" s="9"/>
      <c r="K397" s="21"/>
      <c r="L397" s="77"/>
      <c r="M397" s="77"/>
      <c r="N397" s="77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9"/>
      <c r="Z397" s="79"/>
      <c r="AA397" s="79"/>
    </row>
    <row r="398" spans="1:27" ht="12.75" customHeight="1" x14ac:dyDescent="0.25">
      <c r="A398" s="79"/>
      <c r="B398" s="79"/>
      <c r="C398" s="80"/>
      <c r="D398" s="80"/>
      <c r="E398" s="80"/>
      <c r="F398" s="6"/>
      <c r="G398" s="54"/>
      <c r="H398" s="54"/>
      <c r="I398" s="7"/>
      <c r="J398" s="9"/>
      <c r="K398" s="21"/>
      <c r="L398" s="77"/>
      <c r="M398" s="77"/>
      <c r="N398" s="77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9"/>
      <c r="Z398" s="79"/>
      <c r="AA398" s="79"/>
    </row>
    <row r="399" spans="1:27" ht="12.75" customHeight="1" x14ac:dyDescent="0.25">
      <c r="A399" s="79"/>
      <c r="B399" s="79"/>
      <c r="C399" s="80"/>
      <c r="D399" s="80"/>
      <c r="E399" s="80"/>
      <c r="F399" s="6"/>
      <c r="G399" s="54"/>
      <c r="H399" s="54"/>
      <c r="I399" s="7"/>
      <c r="J399" s="9"/>
      <c r="K399" s="21"/>
      <c r="L399" s="77"/>
      <c r="M399" s="77"/>
      <c r="N399" s="77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9"/>
      <c r="Z399" s="79"/>
      <c r="AA399" s="79"/>
    </row>
    <row r="400" spans="1:27" ht="12.75" customHeight="1" x14ac:dyDescent="0.25">
      <c r="A400" s="79"/>
      <c r="B400" s="79"/>
      <c r="C400" s="80"/>
      <c r="D400" s="80"/>
      <c r="E400" s="80"/>
      <c r="F400" s="6"/>
      <c r="G400" s="54"/>
      <c r="H400" s="54"/>
      <c r="I400" s="7"/>
      <c r="J400" s="9"/>
      <c r="K400" s="21"/>
      <c r="L400" s="77"/>
      <c r="M400" s="77"/>
      <c r="N400" s="77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9"/>
      <c r="Z400" s="79"/>
      <c r="AA400" s="79"/>
    </row>
    <row r="401" spans="1:27" ht="12.75" customHeight="1" x14ac:dyDescent="0.25">
      <c r="A401" s="79"/>
      <c r="B401" s="79"/>
      <c r="C401" s="80"/>
      <c r="D401" s="80"/>
      <c r="E401" s="80"/>
      <c r="F401" s="6"/>
      <c r="G401" s="54"/>
      <c r="H401" s="54"/>
      <c r="I401" s="7"/>
      <c r="J401" s="9"/>
      <c r="K401" s="21"/>
      <c r="L401" s="77"/>
      <c r="M401" s="77"/>
      <c r="N401" s="77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9"/>
      <c r="Z401" s="79"/>
      <c r="AA401" s="79"/>
    </row>
    <row r="402" spans="1:27" ht="12.75" customHeight="1" x14ac:dyDescent="0.25">
      <c r="A402" s="79"/>
      <c r="B402" s="79"/>
      <c r="C402" s="80"/>
      <c r="D402" s="80"/>
      <c r="E402" s="80"/>
      <c r="F402" s="6"/>
      <c r="G402" s="54"/>
      <c r="H402" s="54"/>
      <c r="I402" s="7"/>
      <c r="J402" s="9"/>
      <c r="K402" s="21"/>
      <c r="L402" s="77"/>
      <c r="M402" s="77"/>
      <c r="N402" s="77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9"/>
      <c r="Z402" s="79"/>
      <c r="AA402" s="79"/>
    </row>
    <row r="403" spans="1:27" ht="12.75" customHeight="1" x14ac:dyDescent="0.25">
      <c r="A403" s="79"/>
      <c r="B403" s="79"/>
      <c r="C403" s="80"/>
      <c r="D403" s="80"/>
      <c r="E403" s="80"/>
      <c r="F403" s="6"/>
      <c r="G403" s="54"/>
      <c r="H403" s="54"/>
      <c r="I403" s="7"/>
      <c r="J403" s="9"/>
      <c r="K403" s="21"/>
      <c r="L403" s="77"/>
      <c r="M403" s="77"/>
      <c r="N403" s="77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9"/>
      <c r="Z403" s="79"/>
      <c r="AA403" s="79"/>
    </row>
    <row r="404" spans="1:27" ht="12.75" customHeight="1" x14ac:dyDescent="0.25">
      <c r="A404" s="79"/>
      <c r="B404" s="79"/>
      <c r="C404" s="80"/>
      <c r="D404" s="80"/>
      <c r="E404" s="80"/>
      <c r="F404" s="6"/>
      <c r="G404" s="54"/>
      <c r="H404" s="54"/>
      <c r="I404" s="7"/>
      <c r="J404" s="9"/>
      <c r="K404" s="21"/>
      <c r="L404" s="77"/>
      <c r="M404" s="77"/>
      <c r="N404" s="77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9"/>
      <c r="Z404" s="79"/>
      <c r="AA404" s="79"/>
    </row>
    <row r="405" spans="1:27" ht="12.75" customHeight="1" x14ac:dyDescent="0.25">
      <c r="A405" s="79"/>
      <c r="B405" s="79"/>
      <c r="C405" s="80"/>
      <c r="D405" s="80"/>
      <c r="E405" s="80"/>
      <c r="F405" s="6"/>
      <c r="G405" s="54"/>
      <c r="H405" s="54"/>
      <c r="I405" s="7"/>
      <c r="J405" s="9"/>
      <c r="K405" s="21"/>
      <c r="L405" s="77"/>
      <c r="M405" s="77"/>
      <c r="N405" s="77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9"/>
      <c r="Z405" s="79"/>
      <c r="AA405" s="79"/>
    </row>
    <row r="406" spans="1:27" ht="12.75" customHeight="1" x14ac:dyDescent="0.25">
      <c r="A406" s="79"/>
      <c r="B406" s="79"/>
      <c r="C406" s="80"/>
      <c r="D406" s="80"/>
      <c r="E406" s="80"/>
      <c r="F406" s="6"/>
      <c r="G406" s="54"/>
      <c r="H406" s="54"/>
      <c r="I406" s="7"/>
      <c r="J406" s="9"/>
      <c r="K406" s="21"/>
      <c r="L406" s="77"/>
      <c r="M406" s="77"/>
      <c r="N406" s="77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9"/>
      <c r="Z406" s="79"/>
      <c r="AA406" s="79"/>
    </row>
    <row r="407" spans="1:27" ht="12.75" customHeight="1" x14ac:dyDescent="0.25">
      <c r="A407" s="79"/>
      <c r="B407" s="79"/>
      <c r="C407" s="80"/>
      <c r="D407" s="80"/>
      <c r="E407" s="80"/>
      <c r="F407" s="6"/>
      <c r="G407" s="54"/>
      <c r="H407" s="54"/>
      <c r="I407" s="7"/>
      <c r="J407" s="9"/>
      <c r="K407" s="21"/>
      <c r="L407" s="77"/>
      <c r="M407" s="77"/>
      <c r="N407" s="77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9"/>
      <c r="Z407" s="79"/>
      <c r="AA407" s="79"/>
    </row>
    <row r="408" spans="1:27" ht="12.75" customHeight="1" x14ac:dyDescent="0.25">
      <c r="A408" s="79"/>
      <c r="B408" s="79"/>
      <c r="C408" s="80"/>
      <c r="D408" s="80"/>
      <c r="E408" s="80"/>
      <c r="F408" s="6"/>
      <c r="G408" s="54"/>
      <c r="H408" s="54"/>
      <c r="I408" s="7"/>
      <c r="J408" s="9"/>
      <c r="K408" s="21"/>
      <c r="L408" s="77"/>
      <c r="M408" s="77"/>
      <c r="N408" s="77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9"/>
      <c r="Z408" s="79"/>
      <c r="AA408" s="79"/>
    </row>
    <row r="409" spans="1:27" ht="12.75" customHeight="1" x14ac:dyDescent="0.25">
      <c r="A409" s="79"/>
      <c r="B409" s="79"/>
      <c r="C409" s="80"/>
      <c r="D409" s="80"/>
      <c r="E409" s="80"/>
      <c r="F409" s="6"/>
      <c r="G409" s="54"/>
      <c r="H409" s="54"/>
      <c r="I409" s="7"/>
      <c r="J409" s="9"/>
      <c r="K409" s="21"/>
      <c r="L409" s="77"/>
      <c r="M409" s="77"/>
      <c r="N409" s="77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9"/>
      <c r="Z409" s="79"/>
      <c r="AA409" s="79"/>
    </row>
    <row r="410" spans="1:27" ht="12.75" customHeight="1" x14ac:dyDescent="0.25">
      <c r="A410" s="79"/>
      <c r="B410" s="79"/>
      <c r="C410" s="80"/>
      <c r="D410" s="80"/>
      <c r="E410" s="80"/>
      <c r="F410" s="6"/>
      <c r="G410" s="54"/>
      <c r="H410" s="54"/>
      <c r="I410" s="7"/>
      <c r="J410" s="9"/>
      <c r="K410" s="21"/>
      <c r="L410" s="77"/>
      <c r="M410" s="77"/>
      <c r="N410" s="77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9"/>
      <c r="Z410" s="79"/>
      <c r="AA410" s="79"/>
    </row>
    <row r="411" spans="1:27" ht="12.75" customHeight="1" x14ac:dyDescent="0.25">
      <c r="A411" s="79"/>
      <c r="B411" s="79"/>
      <c r="C411" s="80"/>
      <c r="D411" s="80"/>
      <c r="E411" s="80"/>
      <c r="F411" s="6"/>
      <c r="G411" s="54"/>
      <c r="H411" s="54"/>
      <c r="I411" s="7"/>
      <c r="J411" s="9"/>
      <c r="K411" s="21"/>
      <c r="L411" s="77"/>
      <c r="M411" s="77"/>
      <c r="N411" s="77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9"/>
      <c r="Z411" s="79"/>
      <c r="AA411" s="79"/>
    </row>
    <row r="412" spans="1:27" ht="12.75" customHeight="1" x14ac:dyDescent="0.25">
      <c r="A412" s="79"/>
      <c r="B412" s="79"/>
      <c r="C412" s="80"/>
      <c r="D412" s="80"/>
      <c r="E412" s="80"/>
      <c r="F412" s="6"/>
      <c r="G412" s="54"/>
      <c r="H412" s="54"/>
      <c r="I412" s="7"/>
      <c r="J412" s="9"/>
      <c r="K412" s="21"/>
      <c r="L412" s="77"/>
      <c r="M412" s="77"/>
      <c r="N412" s="77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9"/>
      <c r="Z412" s="79"/>
      <c r="AA412" s="79"/>
    </row>
    <row r="413" spans="1:27" ht="12.75" customHeight="1" x14ac:dyDescent="0.25">
      <c r="A413" s="79"/>
      <c r="B413" s="79"/>
      <c r="C413" s="80"/>
      <c r="D413" s="80"/>
      <c r="E413" s="80"/>
      <c r="F413" s="6"/>
      <c r="G413" s="54"/>
      <c r="H413" s="54"/>
      <c r="I413" s="7"/>
      <c r="J413" s="9"/>
      <c r="K413" s="21"/>
      <c r="L413" s="77"/>
      <c r="M413" s="77"/>
      <c r="N413" s="77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9"/>
      <c r="Z413" s="79"/>
      <c r="AA413" s="79"/>
    </row>
    <row r="414" spans="1:27" ht="12.75" customHeight="1" x14ac:dyDescent="0.25">
      <c r="A414" s="79"/>
      <c r="B414" s="79"/>
      <c r="C414" s="80"/>
      <c r="D414" s="80"/>
      <c r="E414" s="80"/>
      <c r="F414" s="6"/>
      <c r="G414" s="54"/>
      <c r="H414" s="54"/>
      <c r="I414" s="7"/>
      <c r="J414" s="9"/>
      <c r="K414" s="21"/>
      <c r="L414" s="77"/>
      <c r="M414" s="77"/>
      <c r="N414" s="77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9"/>
      <c r="Z414" s="79"/>
      <c r="AA414" s="79"/>
    </row>
    <row r="415" spans="1:27" ht="12.75" customHeight="1" x14ac:dyDescent="0.25">
      <c r="A415" s="79"/>
      <c r="B415" s="79"/>
      <c r="C415" s="80"/>
      <c r="D415" s="80"/>
      <c r="E415" s="80"/>
      <c r="F415" s="6"/>
      <c r="G415" s="54"/>
      <c r="H415" s="54"/>
      <c r="I415" s="7"/>
      <c r="J415" s="9"/>
      <c r="K415" s="21"/>
      <c r="L415" s="77"/>
      <c r="M415" s="77"/>
      <c r="N415" s="77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9"/>
      <c r="Z415" s="79"/>
      <c r="AA415" s="79"/>
    </row>
    <row r="416" spans="1:27" ht="12.75" customHeight="1" x14ac:dyDescent="0.25">
      <c r="A416" s="79"/>
      <c r="B416" s="79"/>
      <c r="C416" s="80"/>
      <c r="D416" s="80"/>
      <c r="E416" s="80"/>
      <c r="F416" s="6"/>
      <c r="G416" s="54"/>
      <c r="H416" s="54"/>
      <c r="I416" s="7"/>
      <c r="J416" s="9"/>
      <c r="K416" s="21"/>
      <c r="L416" s="77"/>
      <c r="M416" s="77"/>
      <c r="N416" s="77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9"/>
      <c r="Z416" s="79"/>
      <c r="AA416" s="79"/>
    </row>
    <row r="417" spans="1:27" ht="12.75" customHeight="1" x14ac:dyDescent="0.25">
      <c r="A417" s="79"/>
      <c r="B417" s="79"/>
      <c r="C417" s="80"/>
      <c r="D417" s="80"/>
      <c r="E417" s="80"/>
      <c r="F417" s="6"/>
      <c r="G417" s="54"/>
      <c r="H417" s="54"/>
      <c r="I417" s="7"/>
      <c r="J417" s="9"/>
      <c r="K417" s="21"/>
      <c r="L417" s="77"/>
      <c r="M417" s="77"/>
      <c r="N417" s="77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9"/>
      <c r="Z417" s="79"/>
      <c r="AA417" s="79"/>
    </row>
    <row r="418" spans="1:27" ht="12.75" customHeight="1" x14ac:dyDescent="0.25">
      <c r="A418" s="79"/>
      <c r="B418" s="79"/>
      <c r="C418" s="80"/>
      <c r="D418" s="80"/>
      <c r="E418" s="80"/>
      <c r="F418" s="6"/>
      <c r="G418" s="54"/>
      <c r="H418" s="54"/>
      <c r="I418" s="7"/>
      <c r="J418" s="9"/>
      <c r="K418" s="21"/>
      <c r="L418" s="77"/>
      <c r="M418" s="77"/>
      <c r="N418" s="77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9"/>
      <c r="Z418" s="79"/>
      <c r="AA418" s="79"/>
    </row>
    <row r="419" spans="1:27" ht="12.75" customHeight="1" x14ac:dyDescent="0.25">
      <c r="A419" s="79"/>
      <c r="B419" s="79"/>
      <c r="C419" s="80"/>
      <c r="D419" s="80"/>
      <c r="E419" s="80"/>
      <c r="F419" s="6"/>
      <c r="G419" s="54"/>
      <c r="H419" s="54"/>
      <c r="I419" s="7"/>
      <c r="J419" s="9"/>
      <c r="K419" s="21"/>
      <c r="L419" s="77"/>
      <c r="M419" s="77"/>
      <c r="N419" s="77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9"/>
      <c r="Z419" s="79"/>
      <c r="AA419" s="79"/>
    </row>
    <row r="420" spans="1:27" ht="12.75" customHeight="1" x14ac:dyDescent="0.25">
      <c r="A420" s="79"/>
      <c r="B420" s="79"/>
      <c r="C420" s="80"/>
      <c r="D420" s="80"/>
      <c r="E420" s="80"/>
      <c r="F420" s="6"/>
      <c r="G420" s="54"/>
      <c r="H420" s="54"/>
      <c r="I420" s="7"/>
      <c r="J420" s="9"/>
      <c r="K420" s="21"/>
      <c r="L420" s="77"/>
      <c r="M420" s="77"/>
      <c r="N420" s="77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9"/>
      <c r="Z420" s="79"/>
      <c r="AA420" s="79"/>
    </row>
    <row r="421" spans="1:27" ht="12.75" customHeight="1" x14ac:dyDescent="0.25">
      <c r="A421" s="79"/>
      <c r="B421" s="79"/>
      <c r="C421" s="80"/>
      <c r="D421" s="80"/>
      <c r="E421" s="80"/>
      <c r="F421" s="6"/>
      <c r="G421" s="54"/>
      <c r="H421" s="54"/>
      <c r="I421" s="7"/>
      <c r="J421" s="9"/>
      <c r="K421" s="21"/>
      <c r="L421" s="77"/>
      <c r="M421" s="77"/>
      <c r="N421" s="77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9"/>
      <c r="Z421" s="79"/>
      <c r="AA421" s="79"/>
    </row>
    <row r="422" spans="1:27" ht="12.75" customHeight="1" x14ac:dyDescent="0.25">
      <c r="A422" s="79"/>
      <c r="B422" s="79"/>
      <c r="C422" s="80"/>
      <c r="D422" s="80"/>
      <c r="E422" s="80"/>
      <c r="F422" s="6"/>
      <c r="G422" s="54"/>
      <c r="H422" s="54"/>
      <c r="I422" s="7"/>
      <c r="J422" s="9"/>
      <c r="K422" s="21"/>
      <c r="L422" s="77"/>
      <c r="M422" s="77"/>
      <c r="N422" s="77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9"/>
      <c r="Z422" s="79"/>
      <c r="AA422" s="79"/>
    </row>
    <row r="423" spans="1:27" ht="12.75" customHeight="1" x14ac:dyDescent="0.25">
      <c r="A423" s="79"/>
      <c r="B423" s="79"/>
      <c r="C423" s="80"/>
      <c r="D423" s="80"/>
      <c r="E423" s="80"/>
      <c r="F423" s="6"/>
      <c r="G423" s="54"/>
      <c r="H423" s="54"/>
      <c r="I423" s="7"/>
      <c r="J423" s="9"/>
      <c r="K423" s="21"/>
      <c r="L423" s="77"/>
      <c r="M423" s="77"/>
      <c r="N423" s="77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9"/>
      <c r="Z423" s="79"/>
      <c r="AA423" s="79"/>
    </row>
    <row r="424" spans="1:27" ht="12.75" customHeight="1" x14ac:dyDescent="0.25">
      <c r="A424" s="79"/>
      <c r="B424" s="79"/>
      <c r="C424" s="80"/>
      <c r="D424" s="80"/>
      <c r="E424" s="80"/>
      <c r="F424" s="6"/>
      <c r="G424" s="54"/>
      <c r="H424" s="54"/>
      <c r="I424" s="7"/>
      <c r="J424" s="9"/>
      <c r="K424" s="21"/>
      <c r="L424" s="77"/>
      <c r="M424" s="77"/>
      <c r="N424" s="77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9"/>
      <c r="Z424" s="79"/>
      <c r="AA424" s="79"/>
    </row>
    <row r="425" spans="1:27" ht="12.75" customHeight="1" x14ac:dyDescent="0.25">
      <c r="A425" s="79"/>
      <c r="B425" s="79"/>
      <c r="C425" s="80"/>
      <c r="D425" s="80"/>
      <c r="E425" s="80"/>
      <c r="F425" s="6"/>
      <c r="G425" s="54"/>
      <c r="H425" s="54"/>
      <c r="I425" s="7"/>
      <c r="J425" s="9"/>
      <c r="K425" s="21"/>
      <c r="L425" s="77"/>
      <c r="M425" s="77"/>
      <c r="N425" s="77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9"/>
      <c r="Z425" s="79"/>
      <c r="AA425" s="79"/>
    </row>
    <row r="426" spans="1:27" ht="12.75" customHeight="1" x14ac:dyDescent="0.25">
      <c r="A426" s="79"/>
      <c r="B426" s="79"/>
      <c r="C426" s="80"/>
      <c r="D426" s="80"/>
      <c r="E426" s="80"/>
      <c r="F426" s="6"/>
      <c r="G426" s="54"/>
      <c r="H426" s="54"/>
      <c r="I426" s="7"/>
      <c r="J426" s="9"/>
      <c r="K426" s="21"/>
      <c r="L426" s="77"/>
      <c r="M426" s="77"/>
      <c r="N426" s="77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9"/>
      <c r="Z426" s="79"/>
      <c r="AA426" s="79"/>
    </row>
    <row r="427" spans="1:27" ht="12.75" customHeight="1" x14ac:dyDescent="0.25">
      <c r="A427" s="79"/>
      <c r="B427" s="79"/>
      <c r="C427" s="80"/>
      <c r="D427" s="80"/>
      <c r="E427" s="80"/>
      <c r="F427" s="6"/>
      <c r="G427" s="54"/>
      <c r="H427" s="54"/>
      <c r="I427" s="7"/>
      <c r="J427" s="9"/>
      <c r="K427" s="21"/>
      <c r="L427" s="77"/>
      <c r="M427" s="77"/>
      <c r="N427" s="77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9"/>
      <c r="Z427" s="79"/>
      <c r="AA427" s="79"/>
    </row>
    <row r="428" spans="1:27" ht="12.75" customHeight="1" x14ac:dyDescent="0.25">
      <c r="A428" s="79"/>
      <c r="B428" s="79"/>
      <c r="C428" s="80"/>
      <c r="D428" s="80"/>
      <c r="E428" s="80"/>
      <c r="F428" s="6"/>
      <c r="G428" s="54"/>
      <c r="H428" s="54"/>
      <c r="I428" s="7"/>
      <c r="J428" s="9"/>
      <c r="K428" s="21"/>
      <c r="L428" s="77"/>
      <c r="M428" s="77"/>
      <c r="N428" s="77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9"/>
      <c r="Z428" s="79"/>
      <c r="AA428" s="79"/>
    </row>
    <row r="429" spans="1:27" ht="12.75" customHeight="1" x14ac:dyDescent="0.25">
      <c r="A429" s="79"/>
      <c r="B429" s="79"/>
      <c r="C429" s="80"/>
      <c r="D429" s="80"/>
      <c r="E429" s="80"/>
      <c r="F429" s="6"/>
      <c r="G429" s="54"/>
      <c r="H429" s="54"/>
      <c r="I429" s="7"/>
      <c r="J429" s="9"/>
      <c r="K429" s="21"/>
      <c r="L429" s="77"/>
      <c r="M429" s="77"/>
      <c r="N429" s="77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9"/>
      <c r="Z429" s="79"/>
      <c r="AA429" s="79"/>
    </row>
    <row r="430" spans="1:27" ht="12.75" customHeight="1" x14ac:dyDescent="0.25">
      <c r="A430" s="79"/>
      <c r="B430" s="79"/>
      <c r="C430" s="80"/>
      <c r="D430" s="80"/>
      <c r="E430" s="80"/>
      <c r="F430" s="6"/>
      <c r="G430" s="54"/>
      <c r="H430" s="54"/>
      <c r="I430" s="7"/>
      <c r="J430" s="9"/>
      <c r="K430" s="21"/>
      <c r="L430" s="77"/>
      <c r="M430" s="77"/>
      <c r="N430" s="77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9"/>
      <c r="Z430" s="79"/>
      <c r="AA430" s="79"/>
    </row>
    <row r="431" spans="1:27" ht="12.75" customHeight="1" x14ac:dyDescent="0.25">
      <c r="A431" s="79"/>
      <c r="B431" s="79"/>
      <c r="C431" s="80"/>
      <c r="D431" s="80"/>
      <c r="E431" s="80"/>
      <c r="F431" s="6"/>
      <c r="G431" s="54"/>
      <c r="H431" s="54"/>
      <c r="I431" s="7"/>
      <c r="J431" s="9"/>
      <c r="K431" s="21"/>
      <c r="L431" s="77"/>
      <c r="M431" s="77"/>
      <c r="N431" s="77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9"/>
      <c r="Z431" s="79"/>
      <c r="AA431" s="79"/>
    </row>
    <row r="432" spans="1:27" ht="12.75" customHeight="1" x14ac:dyDescent="0.25">
      <c r="A432" s="79"/>
      <c r="B432" s="79"/>
      <c r="C432" s="80"/>
      <c r="D432" s="80"/>
      <c r="E432" s="80"/>
      <c r="F432" s="6"/>
      <c r="G432" s="54"/>
      <c r="H432" s="54"/>
      <c r="I432" s="7"/>
      <c r="J432" s="9"/>
      <c r="K432" s="21"/>
      <c r="L432" s="77"/>
      <c r="M432" s="77"/>
      <c r="N432" s="77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9"/>
      <c r="Z432" s="79"/>
      <c r="AA432" s="79"/>
    </row>
    <row r="433" spans="1:27" ht="12.75" customHeight="1" x14ac:dyDescent="0.25">
      <c r="A433" s="79"/>
      <c r="B433" s="79"/>
      <c r="C433" s="80"/>
      <c r="D433" s="80"/>
      <c r="E433" s="80"/>
      <c r="F433" s="6"/>
      <c r="G433" s="54"/>
      <c r="H433" s="54"/>
      <c r="I433" s="7"/>
      <c r="J433" s="9"/>
      <c r="K433" s="21"/>
      <c r="L433" s="77"/>
      <c r="M433" s="77"/>
      <c r="N433" s="77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9"/>
      <c r="Z433" s="79"/>
      <c r="AA433" s="79"/>
    </row>
    <row r="434" spans="1:27" ht="12.75" customHeight="1" x14ac:dyDescent="0.25">
      <c r="A434" s="79"/>
      <c r="B434" s="79"/>
      <c r="C434" s="80"/>
      <c r="D434" s="80"/>
      <c r="E434" s="80"/>
      <c r="F434" s="6"/>
      <c r="G434" s="54"/>
      <c r="H434" s="54"/>
      <c r="I434" s="7"/>
      <c r="J434" s="9"/>
      <c r="K434" s="21"/>
      <c r="L434" s="77"/>
      <c r="M434" s="77"/>
      <c r="N434" s="77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9"/>
      <c r="Z434" s="79"/>
      <c r="AA434" s="79"/>
    </row>
    <row r="435" spans="1:27" ht="12.75" customHeight="1" x14ac:dyDescent="0.25">
      <c r="A435" s="79"/>
      <c r="B435" s="79"/>
      <c r="C435" s="80"/>
      <c r="D435" s="80"/>
      <c r="E435" s="80"/>
      <c r="F435" s="6"/>
      <c r="G435" s="54"/>
      <c r="H435" s="54"/>
      <c r="I435" s="7"/>
      <c r="J435" s="9"/>
      <c r="K435" s="21"/>
      <c r="L435" s="77"/>
      <c r="M435" s="77"/>
      <c r="N435" s="77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9"/>
      <c r="Z435" s="79"/>
      <c r="AA435" s="79"/>
    </row>
    <row r="436" spans="1:27" ht="12.75" customHeight="1" x14ac:dyDescent="0.25">
      <c r="A436" s="79"/>
      <c r="B436" s="79"/>
      <c r="C436" s="80"/>
      <c r="D436" s="80"/>
      <c r="E436" s="80"/>
      <c r="F436" s="6"/>
      <c r="G436" s="54"/>
      <c r="H436" s="54"/>
      <c r="I436" s="7"/>
      <c r="J436" s="9"/>
      <c r="K436" s="21"/>
      <c r="L436" s="77"/>
      <c r="M436" s="77"/>
      <c r="N436" s="77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9"/>
      <c r="Z436" s="79"/>
      <c r="AA436" s="79"/>
    </row>
    <row r="437" spans="1:27" ht="12.75" customHeight="1" x14ac:dyDescent="0.25">
      <c r="A437" s="79"/>
      <c r="B437" s="79"/>
      <c r="C437" s="80"/>
      <c r="D437" s="80"/>
      <c r="E437" s="80"/>
      <c r="F437" s="6"/>
      <c r="G437" s="54"/>
      <c r="H437" s="54"/>
      <c r="I437" s="7"/>
      <c r="J437" s="9"/>
      <c r="K437" s="21"/>
      <c r="L437" s="77"/>
      <c r="M437" s="77"/>
      <c r="N437" s="77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9"/>
      <c r="Z437" s="79"/>
      <c r="AA437" s="79"/>
    </row>
    <row r="438" spans="1:27" ht="12.75" customHeight="1" x14ac:dyDescent="0.25">
      <c r="A438" s="79"/>
      <c r="B438" s="79"/>
      <c r="C438" s="80"/>
      <c r="D438" s="80"/>
      <c r="E438" s="80"/>
      <c r="F438" s="6"/>
      <c r="G438" s="54"/>
      <c r="H438" s="54"/>
      <c r="I438" s="7"/>
      <c r="J438" s="9"/>
      <c r="K438" s="21"/>
      <c r="L438" s="77"/>
      <c r="M438" s="77"/>
      <c r="N438" s="77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9"/>
      <c r="Z438" s="79"/>
      <c r="AA438" s="79"/>
    </row>
    <row r="439" spans="1:27" ht="12.75" customHeight="1" x14ac:dyDescent="0.25">
      <c r="A439" s="79"/>
      <c r="B439" s="79"/>
      <c r="C439" s="80"/>
      <c r="D439" s="80"/>
      <c r="E439" s="80"/>
      <c r="F439" s="6"/>
      <c r="G439" s="54"/>
      <c r="H439" s="54"/>
      <c r="I439" s="7"/>
      <c r="J439" s="9"/>
      <c r="K439" s="21"/>
      <c r="L439" s="77"/>
      <c r="M439" s="77"/>
      <c r="N439" s="77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9"/>
      <c r="Z439" s="79"/>
      <c r="AA439" s="79"/>
    </row>
    <row r="440" spans="1:27" ht="12.75" customHeight="1" x14ac:dyDescent="0.25">
      <c r="A440" s="79"/>
      <c r="B440" s="79"/>
      <c r="C440" s="80"/>
      <c r="D440" s="80"/>
      <c r="E440" s="80"/>
      <c r="F440" s="6"/>
      <c r="G440" s="54"/>
      <c r="H440" s="54"/>
      <c r="I440" s="7"/>
      <c r="J440" s="9"/>
      <c r="K440" s="21"/>
      <c r="L440" s="77"/>
      <c r="M440" s="77"/>
      <c r="N440" s="77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9"/>
      <c r="Z440" s="79"/>
      <c r="AA440" s="79"/>
    </row>
    <row r="441" spans="1:27" ht="12.75" customHeight="1" x14ac:dyDescent="0.25">
      <c r="A441" s="79"/>
      <c r="B441" s="79"/>
      <c r="C441" s="80"/>
      <c r="D441" s="80"/>
      <c r="E441" s="80"/>
      <c r="F441" s="6"/>
      <c r="G441" s="54"/>
      <c r="H441" s="54"/>
      <c r="I441" s="7"/>
      <c r="J441" s="9"/>
      <c r="K441" s="21"/>
      <c r="L441" s="77"/>
      <c r="M441" s="77"/>
      <c r="N441" s="77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9"/>
      <c r="Z441" s="79"/>
      <c r="AA441" s="79"/>
    </row>
    <row r="442" spans="1:27" ht="99" customHeight="1" x14ac:dyDescent="0.25">
      <c r="A442" s="79"/>
      <c r="B442" s="79"/>
      <c r="C442" s="80"/>
      <c r="D442" s="80"/>
      <c r="E442" s="80"/>
      <c r="F442" s="6"/>
      <c r="G442" s="54"/>
      <c r="H442" s="54"/>
      <c r="I442" s="7"/>
      <c r="J442" s="9"/>
      <c r="K442" s="21"/>
      <c r="L442" s="77"/>
      <c r="M442" s="77"/>
      <c r="N442" s="77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9"/>
      <c r="Z442" s="79"/>
      <c r="AA442" s="79"/>
    </row>
    <row r="443" spans="1:27" ht="99" customHeight="1" x14ac:dyDescent="0.25">
      <c r="A443" s="79"/>
      <c r="B443" s="79"/>
      <c r="C443" s="80"/>
      <c r="D443" s="80"/>
      <c r="E443" s="80"/>
      <c r="F443" s="6"/>
      <c r="G443" s="54"/>
      <c r="H443" s="54"/>
      <c r="I443" s="7"/>
      <c r="J443" s="9"/>
      <c r="K443" s="21"/>
      <c r="L443" s="77"/>
      <c r="M443" s="77"/>
      <c r="N443" s="77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9"/>
      <c r="Z443" s="79"/>
      <c r="AA443" s="79"/>
    </row>
    <row r="444" spans="1:27" ht="99" customHeight="1" x14ac:dyDescent="0.25">
      <c r="A444" s="79"/>
      <c r="B444" s="79"/>
      <c r="C444" s="80"/>
      <c r="D444" s="80"/>
      <c r="E444" s="80"/>
      <c r="F444" s="6"/>
      <c r="G444" s="54"/>
      <c r="H444" s="54"/>
      <c r="I444" s="7"/>
      <c r="J444" s="9"/>
      <c r="K444" s="21"/>
      <c r="L444" s="77"/>
      <c r="M444" s="77"/>
      <c r="N444" s="77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9"/>
      <c r="Z444" s="79"/>
      <c r="AA444" s="79"/>
    </row>
    <row r="445" spans="1:27" ht="99" customHeight="1" x14ac:dyDescent="0.25">
      <c r="A445" s="79"/>
      <c r="B445" s="79"/>
      <c r="C445" s="80"/>
      <c r="D445" s="80"/>
      <c r="E445" s="80"/>
      <c r="F445" s="6"/>
      <c r="G445" s="54"/>
      <c r="H445" s="54"/>
      <c r="I445" s="7"/>
      <c r="J445" s="9"/>
      <c r="K445" s="21"/>
      <c r="L445" s="77"/>
      <c r="M445" s="77"/>
      <c r="N445" s="77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9"/>
      <c r="Z445" s="79"/>
      <c r="AA445" s="79"/>
    </row>
    <row r="446" spans="1:27" ht="99" customHeight="1" x14ac:dyDescent="0.25">
      <c r="A446" s="79"/>
      <c r="B446" s="79"/>
      <c r="C446" s="80"/>
      <c r="D446" s="80"/>
      <c r="E446" s="80"/>
      <c r="F446" s="6"/>
      <c r="G446" s="54"/>
      <c r="H446" s="54"/>
      <c r="I446" s="7"/>
      <c r="J446" s="9"/>
      <c r="K446" s="21"/>
      <c r="L446" s="77"/>
      <c r="M446" s="77"/>
      <c r="N446" s="77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9"/>
      <c r="Z446" s="79"/>
      <c r="AA446" s="79"/>
    </row>
    <row r="447" spans="1:27" ht="99" customHeight="1" x14ac:dyDescent="0.25">
      <c r="A447" s="79"/>
      <c r="B447" s="79"/>
      <c r="C447" s="80"/>
      <c r="D447" s="80"/>
      <c r="E447" s="80"/>
      <c r="F447" s="6"/>
      <c r="G447" s="54"/>
      <c r="H447" s="54"/>
      <c r="I447" s="7"/>
      <c r="J447" s="9"/>
      <c r="K447" s="21"/>
      <c r="L447" s="77"/>
      <c r="M447" s="77"/>
      <c r="N447" s="77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9"/>
      <c r="Z447" s="79"/>
      <c r="AA447" s="79"/>
    </row>
    <row r="448" spans="1:27" ht="99" customHeight="1" x14ac:dyDescent="0.25">
      <c r="A448" s="79"/>
      <c r="B448" s="79"/>
      <c r="C448" s="80"/>
      <c r="D448" s="80"/>
      <c r="E448" s="80"/>
      <c r="F448" s="6"/>
      <c r="G448" s="54"/>
      <c r="H448" s="54"/>
      <c r="I448" s="7"/>
      <c r="J448" s="9"/>
      <c r="K448" s="21"/>
      <c r="L448" s="77"/>
      <c r="M448" s="77"/>
      <c r="N448" s="77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9"/>
      <c r="Z448" s="79"/>
      <c r="AA448" s="79"/>
    </row>
    <row r="449" spans="1:27" ht="99" customHeight="1" x14ac:dyDescent="0.25">
      <c r="A449" s="79"/>
      <c r="B449" s="79"/>
      <c r="C449" s="80"/>
      <c r="D449" s="80"/>
      <c r="E449" s="80"/>
      <c r="F449" s="6"/>
      <c r="G449" s="54"/>
      <c r="H449" s="54"/>
      <c r="I449" s="7"/>
      <c r="J449" s="9"/>
      <c r="K449" s="21"/>
      <c r="L449" s="77"/>
      <c r="M449" s="77"/>
      <c r="N449" s="77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9"/>
      <c r="Z449" s="79"/>
      <c r="AA449" s="79"/>
    </row>
    <row r="450" spans="1:27" ht="99" customHeight="1" x14ac:dyDescent="0.25">
      <c r="A450" s="79"/>
      <c r="B450" s="79"/>
      <c r="C450" s="80"/>
      <c r="D450" s="80"/>
      <c r="E450" s="80"/>
      <c r="F450" s="6"/>
      <c r="G450" s="54"/>
      <c r="H450" s="54"/>
      <c r="I450" s="7"/>
      <c r="J450" s="9"/>
      <c r="K450" s="21"/>
      <c r="L450" s="77"/>
      <c r="M450" s="77"/>
      <c r="N450" s="77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9"/>
      <c r="Z450" s="79"/>
      <c r="AA450" s="79"/>
    </row>
    <row r="451" spans="1:27" ht="99" customHeight="1" x14ac:dyDescent="0.25">
      <c r="A451" s="79"/>
      <c r="B451" s="79"/>
      <c r="C451" s="80"/>
      <c r="D451" s="80"/>
      <c r="E451" s="80"/>
      <c r="F451" s="6"/>
      <c r="G451" s="54"/>
      <c r="H451" s="54"/>
      <c r="I451" s="7"/>
      <c r="J451" s="9"/>
      <c r="K451" s="21"/>
      <c r="L451" s="77"/>
      <c r="M451" s="77"/>
      <c r="N451" s="77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9"/>
      <c r="Z451" s="79"/>
      <c r="AA451" s="79"/>
    </row>
    <row r="452" spans="1:27" ht="99" customHeight="1" x14ac:dyDescent="0.25">
      <c r="A452" s="79"/>
      <c r="B452" s="79"/>
      <c r="C452" s="80"/>
      <c r="D452" s="80"/>
      <c r="E452" s="80"/>
      <c r="F452" s="6"/>
      <c r="G452" s="54"/>
      <c r="H452" s="54"/>
      <c r="I452" s="7"/>
      <c r="J452" s="9"/>
      <c r="K452" s="21"/>
      <c r="L452" s="77"/>
      <c r="M452" s="77"/>
      <c r="N452" s="77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9"/>
      <c r="Z452" s="79"/>
      <c r="AA452" s="79"/>
    </row>
    <row r="453" spans="1:27" ht="99" customHeight="1" x14ac:dyDescent="0.25">
      <c r="A453" s="79"/>
      <c r="B453" s="79"/>
      <c r="C453" s="80"/>
      <c r="D453" s="80"/>
      <c r="E453" s="80"/>
      <c r="F453" s="6"/>
      <c r="G453" s="54"/>
      <c r="H453" s="54"/>
      <c r="I453" s="7"/>
      <c r="J453" s="9"/>
      <c r="K453" s="21"/>
      <c r="L453" s="77"/>
      <c r="M453" s="77"/>
      <c r="N453" s="77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9"/>
      <c r="Z453" s="79"/>
      <c r="AA453" s="79"/>
    </row>
    <row r="454" spans="1:27" ht="99" customHeight="1" x14ac:dyDescent="0.25">
      <c r="A454" s="79"/>
      <c r="B454" s="79"/>
      <c r="C454" s="80"/>
      <c r="D454" s="80"/>
      <c r="E454" s="80"/>
      <c r="F454" s="6"/>
      <c r="G454" s="54"/>
      <c r="H454" s="54"/>
      <c r="I454" s="7"/>
      <c r="J454" s="9"/>
      <c r="K454" s="21"/>
      <c r="L454" s="77"/>
      <c r="M454" s="77"/>
      <c r="N454" s="77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9"/>
      <c r="Z454" s="79"/>
      <c r="AA454" s="79"/>
    </row>
    <row r="455" spans="1:27" ht="99" customHeight="1" x14ac:dyDescent="0.25">
      <c r="A455" s="79"/>
      <c r="B455" s="79"/>
      <c r="C455" s="80"/>
      <c r="D455" s="80"/>
      <c r="E455" s="80"/>
      <c r="F455" s="6"/>
      <c r="G455" s="54"/>
      <c r="H455" s="54"/>
      <c r="I455" s="7"/>
      <c r="J455" s="9"/>
      <c r="K455" s="21"/>
      <c r="L455" s="77"/>
      <c r="M455" s="77"/>
      <c r="N455" s="77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9"/>
      <c r="Z455" s="79"/>
      <c r="AA455" s="79"/>
    </row>
    <row r="456" spans="1:27" ht="99" customHeight="1" x14ac:dyDescent="0.25">
      <c r="A456" s="79"/>
      <c r="B456" s="79"/>
      <c r="C456" s="80"/>
      <c r="D456" s="80"/>
      <c r="E456" s="80"/>
      <c r="F456" s="6"/>
      <c r="G456" s="54"/>
      <c r="H456" s="54"/>
      <c r="I456" s="7"/>
      <c r="J456" s="9"/>
      <c r="K456" s="21"/>
      <c r="L456" s="77"/>
      <c r="M456" s="77"/>
      <c r="N456" s="77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9"/>
      <c r="Z456" s="79"/>
      <c r="AA456" s="79"/>
    </row>
    <row r="457" spans="1:27" ht="99" customHeight="1" x14ac:dyDescent="0.25">
      <c r="A457" s="79"/>
      <c r="B457" s="79"/>
      <c r="C457" s="80"/>
      <c r="D457" s="80"/>
      <c r="E457" s="80"/>
      <c r="F457" s="6"/>
      <c r="G457" s="54"/>
      <c r="H457" s="54"/>
      <c r="I457" s="7"/>
      <c r="J457" s="9"/>
      <c r="K457" s="21"/>
      <c r="L457" s="77"/>
      <c r="M457" s="77"/>
      <c r="N457" s="77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9"/>
      <c r="Z457" s="79"/>
      <c r="AA457" s="79"/>
    </row>
    <row r="458" spans="1:27" ht="99" customHeight="1" x14ac:dyDescent="0.25">
      <c r="A458" s="79"/>
      <c r="B458" s="79"/>
      <c r="C458" s="80"/>
      <c r="D458" s="80"/>
      <c r="E458" s="80"/>
      <c r="F458" s="6"/>
      <c r="G458" s="54"/>
      <c r="H458" s="54"/>
      <c r="I458" s="7"/>
      <c r="J458" s="9"/>
      <c r="K458" s="21"/>
      <c r="L458" s="77"/>
      <c r="M458" s="77"/>
      <c r="N458" s="77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9"/>
      <c r="Z458" s="79"/>
      <c r="AA458" s="79"/>
    </row>
    <row r="459" spans="1:27" ht="99" customHeight="1" x14ac:dyDescent="0.25">
      <c r="A459" s="79"/>
      <c r="B459" s="79"/>
      <c r="C459" s="80"/>
      <c r="D459" s="80"/>
      <c r="E459" s="80"/>
      <c r="F459" s="6"/>
      <c r="G459" s="54"/>
      <c r="H459" s="54"/>
      <c r="I459" s="7"/>
      <c r="J459" s="9"/>
      <c r="K459" s="21"/>
      <c r="L459" s="77"/>
      <c r="M459" s="77"/>
      <c r="N459" s="77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9"/>
      <c r="Z459" s="79"/>
      <c r="AA459" s="79"/>
    </row>
    <row r="460" spans="1:27" ht="99" customHeight="1" x14ac:dyDescent="0.25">
      <c r="A460" s="79"/>
      <c r="B460" s="79"/>
      <c r="C460" s="80"/>
      <c r="D460" s="80"/>
      <c r="E460" s="80"/>
      <c r="F460" s="6"/>
      <c r="G460" s="54"/>
      <c r="H460" s="54"/>
      <c r="I460" s="7"/>
      <c r="J460" s="9"/>
      <c r="K460" s="21"/>
      <c r="L460" s="77"/>
      <c r="M460" s="77"/>
      <c r="N460" s="77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9"/>
      <c r="Z460" s="79"/>
      <c r="AA460" s="79"/>
    </row>
    <row r="461" spans="1:27" ht="99" customHeight="1" x14ac:dyDescent="0.25">
      <c r="A461" s="79"/>
      <c r="B461" s="79"/>
      <c r="C461" s="80"/>
      <c r="D461" s="80"/>
      <c r="E461" s="80"/>
      <c r="F461" s="6"/>
      <c r="G461" s="54"/>
      <c r="H461" s="54"/>
      <c r="I461" s="7"/>
      <c r="J461" s="9"/>
      <c r="K461" s="21"/>
      <c r="L461" s="77"/>
      <c r="M461" s="77"/>
      <c r="N461" s="77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9"/>
      <c r="Z461" s="79"/>
      <c r="AA461" s="79"/>
    </row>
    <row r="462" spans="1:27" ht="99" customHeight="1" x14ac:dyDescent="0.25">
      <c r="A462" s="79"/>
      <c r="B462" s="79"/>
      <c r="C462" s="80"/>
      <c r="D462" s="80"/>
      <c r="E462" s="80"/>
      <c r="F462" s="6"/>
      <c r="G462" s="54"/>
      <c r="H462" s="54"/>
      <c r="I462" s="7"/>
      <c r="J462" s="9"/>
      <c r="K462" s="21"/>
      <c r="L462" s="77"/>
      <c r="M462" s="77"/>
      <c r="N462" s="77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9"/>
      <c r="Z462" s="79"/>
      <c r="AA462" s="79"/>
    </row>
    <row r="463" spans="1:27" ht="99" customHeight="1" x14ac:dyDescent="0.25">
      <c r="A463" s="79"/>
      <c r="B463" s="79"/>
      <c r="C463" s="80"/>
      <c r="D463" s="80"/>
      <c r="E463" s="80"/>
      <c r="F463" s="6"/>
      <c r="G463" s="54"/>
      <c r="H463" s="54"/>
      <c r="I463" s="7"/>
      <c r="J463" s="9"/>
      <c r="K463" s="21"/>
      <c r="L463" s="77"/>
      <c r="M463" s="77"/>
      <c r="N463" s="77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9"/>
      <c r="Z463" s="79"/>
      <c r="AA463" s="79"/>
    </row>
    <row r="464" spans="1:27" ht="99" customHeight="1" x14ac:dyDescent="0.25">
      <c r="A464" s="79"/>
      <c r="B464" s="79"/>
      <c r="C464" s="80"/>
      <c r="D464" s="80"/>
      <c r="E464" s="80"/>
      <c r="F464" s="6"/>
      <c r="G464" s="54"/>
      <c r="H464" s="54"/>
      <c r="I464" s="7"/>
      <c r="J464" s="9"/>
      <c r="K464" s="21"/>
      <c r="L464" s="77"/>
      <c r="M464" s="77"/>
      <c r="N464" s="77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9"/>
      <c r="Z464" s="79"/>
      <c r="AA464" s="79"/>
    </row>
    <row r="465" spans="1:27" ht="99" customHeight="1" x14ac:dyDescent="0.25">
      <c r="A465" s="79"/>
      <c r="B465" s="79"/>
      <c r="C465" s="80"/>
      <c r="D465" s="80"/>
      <c r="E465" s="80"/>
      <c r="F465" s="6"/>
      <c r="G465" s="54"/>
      <c r="H465" s="54"/>
      <c r="I465" s="7"/>
      <c r="J465" s="9"/>
      <c r="K465" s="21"/>
      <c r="L465" s="77"/>
      <c r="M465" s="77"/>
      <c r="N465" s="77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9"/>
      <c r="Z465" s="79"/>
      <c r="AA465" s="79"/>
    </row>
    <row r="466" spans="1:27" ht="99" customHeight="1" x14ac:dyDescent="0.25">
      <c r="A466" s="79"/>
      <c r="B466" s="79"/>
      <c r="C466" s="80"/>
      <c r="D466" s="80"/>
      <c r="E466" s="80"/>
      <c r="F466" s="6"/>
      <c r="G466" s="54"/>
      <c r="H466" s="54"/>
      <c r="I466" s="7"/>
      <c r="J466" s="9"/>
      <c r="K466" s="21"/>
      <c r="L466" s="77"/>
      <c r="M466" s="77"/>
      <c r="N466" s="77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9"/>
      <c r="Z466" s="79"/>
      <c r="AA466" s="79"/>
    </row>
    <row r="467" spans="1:27" ht="99" customHeight="1" x14ac:dyDescent="0.25">
      <c r="A467" s="79"/>
      <c r="B467" s="79"/>
      <c r="C467" s="80"/>
      <c r="D467" s="80"/>
      <c r="E467" s="80"/>
      <c r="F467" s="6"/>
      <c r="G467" s="54"/>
      <c r="H467" s="54"/>
      <c r="I467" s="7"/>
      <c r="J467" s="9"/>
      <c r="K467" s="21"/>
      <c r="L467" s="77"/>
      <c r="M467" s="77"/>
      <c r="N467" s="77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9"/>
      <c r="Z467" s="79"/>
      <c r="AA467" s="79"/>
    </row>
    <row r="468" spans="1:27" ht="99" customHeight="1" x14ac:dyDescent="0.25">
      <c r="A468" s="79"/>
      <c r="B468" s="79"/>
      <c r="C468" s="80"/>
      <c r="D468" s="80"/>
      <c r="E468" s="80"/>
      <c r="F468" s="6"/>
      <c r="G468" s="54"/>
      <c r="H468" s="54"/>
      <c r="I468" s="7"/>
      <c r="J468" s="9"/>
      <c r="K468" s="21"/>
      <c r="L468" s="77"/>
      <c r="M468" s="77"/>
      <c r="N468" s="77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9"/>
      <c r="Z468" s="79"/>
      <c r="AA468" s="79"/>
    </row>
    <row r="469" spans="1:27" ht="99" customHeight="1" x14ac:dyDescent="0.25">
      <c r="A469" s="79"/>
      <c r="B469" s="79"/>
      <c r="C469" s="80"/>
      <c r="D469" s="80"/>
      <c r="E469" s="80"/>
      <c r="F469" s="6"/>
      <c r="G469" s="54"/>
      <c r="H469" s="54"/>
      <c r="I469" s="7"/>
      <c r="J469" s="9"/>
      <c r="K469" s="21"/>
      <c r="L469" s="77"/>
      <c r="M469" s="77"/>
      <c r="N469" s="77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9"/>
      <c r="Z469" s="79"/>
      <c r="AA469" s="79"/>
    </row>
    <row r="470" spans="1:27" ht="99" customHeight="1" x14ac:dyDescent="0.25">
      <c r="A470" s="79"/>
      <c r="B470" s="79"/>
      <c r="C470" s="80"/>
      <c r="D470" s="80"/>
      <c r="E470" s="80"/>
      <c r="F470" s="6"/>
      <c r="G470" s="54"/>
      <c r="H470" s="54"/>
      <c r="I470" s="7"/>
      <c r="J470" s="9"/>
      <c r="K470" s="21"/>
      <c r="L470" s="77"/>
      <c r="M470" s="77"/>
      <c r="N470" s="77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9"/>
      <c r="Z470" s="79"/>
      <c r="AA470" s="79"/>
    </row>
    <row r="471" spans="1:27" ht="99" customHeight="1" x14ac:dyDescent="0.25">
      <c r="A471" s="79"/>
      <c r="B471" s="79"/>
      <c r="C471" s="80"/>
      <c r="D471" s="80"/>
      <c r="E471" s="80"/>
      <c r="F471" s="6"/>
      <c r="G471" s="54"/>
      <c r="H471" s="54"/>
      <c r="I471" s="7"/>
      <c r="J471" s="9"/>
      <c r="K471" s="21"/>
      <c r="L471" s="77"/>
      <c r="M471" s="77"/>
      <c r="N471" s="77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9"/>
      <c r="Z471" s="79"/>
      <c r="AA471" s="79"/>
    </row>
    <row r="472" spans="1:27" ht="99" customHeight="1" x14ac:dyDescent="0.25">
      <c r="A472" s="79"/>
      <c r="B472" s="79"/>
      <c r="C472" s="80"/>
      <c r="D472" s="80"/>
      <c r="E472" s="80"/>
      <c r="F472" s="6"/>
      <c r="G472" s="54"/>
      <c r="H472" s="54"/>
      <c r="I472" s="7"/>
      <c r="J472" s="9"/>
      <c r="K472" s="21"/>
      <c r="L472" s="77"/>
      <c r="M472" s="77"/>
      <c r="N472" s="77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9"/>
      <c r="Z472" s="79"/>
      <c r="AA472" s="79"/>
    </row>
    <row r="473" spans="1:27" ht="99" customHeight="1" x14ac:dyDescent="0.25">
      <c r="A473" s="79"/>
      <c r="B473" s="79"/>
      <c r="C473" s="80"/>
      <c r="D473" s="80"/>
      <c r="E473" s="80"/>
      <c r="F473" s="6"/>
      <c r="G473" s="54"/>
      <c r="H473" s="54"/>
      <c r="I473" s="7"/>
      <c r="J473" s="9"/>
      <c r="K473" s="21"/>
      <c r="L473" s="77"/>
      <c r="M473" s="77"/>
      <c r="N473" s="77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9"/>
      <c r="Z473" s="79"/>
      <c r="AA473" s="79"/>
    </row>
    <row r="474" spans="1:27" ht="99" customHeight="1" x14ac:dyDescent="0.25">
      <c r="A474" s="79"/>
      <c r="B474" s="79"/>
      <c r="C474" s="80"/>
      <c r="D474" s="80"/>
      <c r="E474" s="80"/>
      <c r="F474" s="6"/>
      <c r="G474" s="54"/>
      <c r="H474" s="54"/>
      <c r="I474" s="7"/>
      <c r="J474" s="9"/>
      <c r="K474" s="21"/>
      <c r="L474" s="77"/>
      <c r="M474" s="77"/>
      <c r="N474" s="77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9"/>
      <c r="Z474" s="79"/>
      <c r="AA474" s="79"/>
    </row>
    <row r="475" spans="1:27" ht="99" customHeight="1" x14ac:dyDescent="0.25">
      <c r="A475" s="79"/>
      <c r="B475" s="79"/>
      <c r="C475" s="80"/>
      <c r="D475" s="80"/>
      <c r="E475" s="80"/>
      <c r="F475" s="6"/>
      <c r="G475" s="54"/>
      <c r="H475" s="54"/>
      <c r="I475" s="7"/>
      <c r="J475" s="9"/>
      <c r="K475" s="21"/>
      <c r="L475" s="77"/>
      <c r="M475" s="77"/>
      <c r="N475" s="77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9"/>
      <c r="Z475" s="79"/>
      <c r="AA475" s="79"/>
    </row>
    <row r="476" spans="1:27" ht="99" customHeight="1" x14ac:dyDescent="0.25">
      <c r="A476" s="79"/>
      <c r="B476" s="79"/>
      <c r="C476" s="80"/>
      <c r="D476" s="80"/>
      <c r="E476" s="80"/>
      <c r="F476" s="6"/>
      <c r="G476" s="54"/>
      <c r="H476" s="54"/>
      <c r="I476" s="7"/>
      <c r="J476" s="9"/>
      <c r="K476" s="21"/>
      <c r="L476" s="77"/>
      <c r="M476" s="77"/>
      <c r="N476" s="77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9"/>
      <c r="Z476" s="79"/>
      <c r="AA476" s="79"/>
    </row>
    <row r="477" spans="1:27" ht="99" customHeight="1" x14ac:dyDescent="0.25">
      <c r="A477" s="79"/>
      <c r="B477" s="79"/>
      <c r="C477" s="80"/>
      <c r="D477" s="80"/>
      <c r="E477" s="80"/>
      <c r="F477" s="6"/>
      <c r="G477" s="54"/>
      <c r="H477" s="54"/>
      <c r="I477" s="7"/>
      <c r="J477" s="9"/>
      <c r="K477" s="21"/>
      <c r="L477" s="77"/>
      <c r="M477" s="77"/>
      <c r="N477" s="77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9"/>
      <c r="Z477" s="79"/>
      <c r="AA477" s="79"/>
    </row>
    <row r="478" spans="1:27" ht="99" customHeight="1" x14ac:dyDescent="0.25">
      <c r="A478" s="79"/>
      <c r="B478" s="79"/>
      <c r="C478" s="80"/>
      <c r="D478" s="80"/>
      <c r="E478" s="80"/>
      <c r="F478" s="6"/>
      <c r="G478" s="54"/>
      <c r="H478" s="54"/>
      <c r="I478" s="7"/>
      <c r="J478" s="9"/>
      <c r="K478" s="21"/>
      <c r="L478" s="77"/>
      <c r="M478" s="77"/>
      <c r="N478" s="77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9"/>
      <c r="Z478" s="79"/>
      <c r="AA478" s="79"/>
    </row>
    <row r="479" spans="1:27" ht="99" customHeight="1" x14ac:dyDescent="0.25">
      <c r="A479" s="79"/>
      <c r="B479" s="79"/>
      <c r="C479" s="80"/>
      <c r="D479" s="80"/>
      <c r="E479" s="80"/>
      <c r="F479" s="6"/>
      <c r="G479" s="54"/>
      <c r="H479" s="54"/>
      <c r="I479" s="7"/>
      <c r="J479" s="9"/>
      <c r="K479" s="21"/>
      <c r="L479" s="77"/>
      <c r="M479" s="77"/>
      <c r="N479" s="77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9"/>
      <c r="Z479" s="79"/>
      <c r="AA479" s="79"/>
    </row>
    <row r="480" spans="1:27" ht="99" customHeight="1" x14ac:dyDescent="0.25">
      <c r="A480" s="79"/>
      <c r="B480" s="79"/>
      <c r="C480" s="80"/>
      <c r="D480" s="80"/>
      <c r="E480" s="80"/>
      <c r="F480" s="6"/>
      <c r="G480" s="54"/>
      <c r="H480" s="54"/>
      <c r="I480" s="7"/>
      <c r="J480" s="9"/>
      <c r="K480" s="21"/>
      <c r="L480" s="77"/>
      <c r="M480" s="77"/>
      <c r="N480" s="77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9"/>
      <c r="Z480" s="79"/>
      <c r="AA480" s="79"/>
    </row>
    <row r="481" spans="1:27" ht="99" customHeight="1" x14ac:dyDescent="0.25">
      <c r="A481" s="79"/>
      <c r="B481" s="79"/>
      <c r="C481" s="80"/>
      <c r="D481" s="80"/>
      <c r="E481" s="80"/>
      <c r="F481" s="6"/>
      <c r="G481" s="54"/>
      <c r="H481" s="54"/>
      <c r="I481" s="7"/>
      <c r="J481" s="9"/>
      <c r="K481" s="21"/>
      <c r="L481" s="77"/>
      <c r="M481" s="77"/>
      <c r="N481" s="77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9"/>
      <c r="Z481" s="79"/>
      <c r="AA481" s="79"/>
    </row>
    <row r="482" spans="1:27" ht="99" customHeight="1" x14ac:dyDescent="0.25">
      <c r="A482" s="79"/>
      <c r="B482" s="79"/>
      <c r="C482" s="80"/>
      <c r="D482" s="80"/>
      <c r="E482" s="80"/>
      <c r="F482" s="6"/>
      <c r="G482" s="54"/>
      <c r="H482" s="54"/>
      <c r="I482" s="7"/>
      <c r="J482" s="9"/>
      <c r="K482" s="21"/>
      <c r="L482" s="77"/>
      <c r="M482" s="77"/>
      <c r="N482" s="77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9"/>
      <c r="Z482" s="79"/>
      <c r="AA482" s="79"/>
    </row>
    <row r="483" spans="1:27" ht="99" customHeight="1" x14ac:dyDescent="0.25">
      <c r="A483" s="79"/>
      <c r="B483" s="79"/>
      <c r="C483" s="80"/>
      <c r="D483" s="80"/>
      <c r="E483" s="80"/>
      <c r="F483" s="6"/>
      <c r="G483" s="54"/>
      <c r="H483" s="54"/>
      <c r="I483" s="7"/>
      <c r="J483" s="9"/>
      <c r="K483" s="21"/>
      <c r="L483" s="77"/>
      <c r="M483" s="77"/>
      <c r="N483" s="77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9"/>
      <c r="Z483" s="79"/>
      <c r="AA483" s="79"/>
    </row>
    <row r="484" spans="1:27" ht="99" customHeight="1" x14ac:dyDescent="0.25">
      <c r="A484" s="79"/>
      <c r="B484" s="79"/>
      <c r="C484" s="80"/>
      <c r="D484" s="80"/>
      <c r="E484" s="80"/>
      <c r="F484" s="6"/>
      <c r="G484" s="54"/>
      <c r="H484" s="54"/>
      <c r="I484" s="7"/>
      <c r="J484" s="9"/>
      <c r="K484" s="21"/>
      <c r="L484" s="77"/>
      <c r="M484" s="77"/>
      <c r="N484" s="77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9"/>
      <c r="Z484" s="79"/>
      <c r="AA484" s="79"/>
    </row>
    <row r="485" spans="1:27" ht="99" customHeight="1" x14ac:dyDescent="0.25">
      <c r="A485" s="79"/>
      <c r="B485" s="79"/>
      <c r="C485" s="80"/>
      <c r="D485" s="80"/>
      <c r="E485" s="80"/>
      <c r="F485" s="6"/>
      <c r="G485" s="54"/>
      <c r="H485" s="54"/>
      <c r="I485" s="7"/>
      <c r="J485" s="9"/>
      <c r="K485" s="21"/>
      <c r="L485" s="77"/>
      <c r="M485" s="77"/>
      <c r="N485" s="77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9"/>
      <c r="Z485" s="79"/>
      <c r="AA485" s="79"/>
    </row>
    <row r="486" spans="1:27" ht="99" customHeight="1" x14ac:dyDescent="0.25">
      <c r="A486" s="79"/>
      <c r="B486" s="79"/>
      <c r="C486" s="80"/>
      <c r="D486" s="80"/>
      <c r="E486" s="80"/>
      <c r="F486" s="6"/>
      <c r="G486" s="54"/>
      <c r="H486" s="54"/>
      <c r="I486" s="7"/>
      <c r="J486" s="9"/>
      <c r="K486" s="21"/>
      <c r="L486" s="77"/>
      <c r="M486" s="77"/>
      <c r="N486" s="77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9"/>
      <c r="Z486" s="79"/>
      <c r="AA486" s="79"/>
    </row>
    <row r="487" spans="1:27" ht="99" customHeight="1" x14ac:dyDescent="0.25">
      <c r="A487" s="79"/>
      <c r="B487" s="79"/>
      <c r="C487" s="80"/>
      <c r="D487" s="80"/>
      <c r="E487" s="80"/>
      <c r="F487" s="6"/>
      <c r="G487" s="54"/>
      <c r="H487" s="54"/>
      <c r="I487" s="7"/>
      <c r="J487" s="9"/>
      <c r="K487" s="21"/>
      <c r="L487" s="77"/>
      <c r="M487" s="77"/>
      <c r="N487" s="77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9"/>
      <c r="Z487" s="79"/>
      <c r="AA487" s="79"/>
    </row>
    <row r="488" spans="1:27" ht="99" customHeight="1" x14ac:dyDescent="0.25">
      <c r="A488" s="79"/>
      <c r="B488" s="79"/>
      <c r="C488" s="80"/>
      <c r="D488" s="80"/>
      <c r="E488" s="80"/>
      <c r="F488" s="6"/>
      <c r="G488" s="54"/>
      <c r="H488" s="54"/>
      <c r="I488" s="7"/>
      <c r="J488" s="9"/>
      <c r="K488" s="21"/>
      <c r="L488" s="77"/>
      <c r="M488" s="77"/>
      <c r="N488" s="77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9"/>
      <c r="Z488" s="79"/>
      <c r="AA488" s="79"/>
    </row>
    <row r="489" spans="1:27" ht="99" customHeight="1" x14ac:dyDescent="0.25">
      <c r="A489" s="79"/>
      <c r="B489" s="79"/>
      <c r="C489" s="80"/>
      <c r="D489" s="80"/>
      <c r="E489" s="80"/>
      <c r="F489" s="6"/>
      <c r="G489" s="54"/>
      <c r="H489" s="54"/>
      <c r="I489" s="7"/>
      <c r="J489" s="9"/>
      <c r="K489" s="21"/>
      <c r="L489" s="77"/>
      <c r="M489" s="77"/>
      <c r="N489" s="77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9"/>
      <c r="Z489" s="79"/>
      <c r="AA489" s="79"/>
    </row>
    <row r="490" spans="1:27" ht="99" customHeight="1" x14ac:dyDescent="0.25">
      <c r="A490" s="79"/>
      <c r="B490" s="79"/>
      <c r="C490" s="80"/>
      <c r="D490" s="80"/>
      <c r="E490" s="80"/>
      <c r="F490" s="6"/>
      <c r="G490" s="54"/>
      <c r="H490" s="54"/>
      <c r="I490" s="7"/>
      <c r="J490" s="9"/>
      <c r="K490" s="21"/>
      <c r="L490" s="77"/>
      <c r="M490" s="77"/>
      <c r="N490" s="77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9"/>
      <c r="Z490" s="79"/>
      <c r="AA490" s="79"/>
    </row>
    <row r="491" spans="1:27" ht="99" customHeight="1" x14ac:dyDescent="0.25">
      <c r="A491" s="79"/>
      <c r="B491" s="79"/>
      <c r="C491" s="80"/>
      <c r="D491" s="80"/>
      <c r="E491" s="80"/>
      <c r="F491" s="6"/>
      <c r="G491" s="54"/>
      <c r="H491" s="54"/>
      <c r="I491" s="7"/>
      <c r="J491" s="9"/>
      <c r="K491" s="21"/>
      <c r="L491" s="77"/>
      <c r="M491" s="77"/>
      <c r="N491" s="77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9"/>
      <c r="Z491" s="79"/>
      <c r="AA491" s="79"/>
    </row>
    <row r="492" spans="1:27" ht="99" customHeight="1" x14ac:dyDescent="0.25">
      <c r="A492" s="79"/>
      <c r="B492" s="79"/>
      <c r="C492" s="80"/>
      <c r="D492" s="80"/>
      <c r="E492" s="80"/>
      <c r="F492" s="6"/>
      <c r="G492" s="54"/>
      <c r="H492" s="54"/>
      <c r="I492" s="7"/>
      <c r="J492" s="9"/>
      <c r="K492" s="21"/>
      <c r="L492" s="77"/>
      <c r="M492" s="77"/>
      <c r="N492" s="77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9"/>
      <c r="Z492" s="79"/>
      <c r="AA492" s="79"/>
    </row>
    <row r="493" spans="1:27" ht="99" customHeight="1" x14ac:dyDescent="0.25">
      <c r="A493" s="79"/>
      <c r="B493" s="79"/>
      <c r="C493" s="80"/>
      <c r="D493" s="80"/>
      <c r="E493" s="80"/>
      <c r="F493" s="6"/>
      <c r="G493" s="54"/>
      <c r="H493" s="54"/>
      <c r="I493" s="7"/>
      <c r="J493" s="9"/>
      <c r="K493" s="21"/>
      <c r="L493" s="77"/>
      <c r="M493" s="77"/>
      <c r="N493" s="77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9"/>
      <c r="Z493" s="79"/>
      <c r="AA493" s="79"/>
    </row>
    <row r="494" spans="1:27" ht="99" customHeight="1" x14ac:dyDescent="0.25">
      <c r="A494" s="79"/>
      <c r="B494" s="79"/>
      <c r="C494" s="80"/>
      <c r="D494" s="80"/>
      <c r="E494" s="80"/>
      <c r="F494" s="6"/>
      <c r="G494" s="54"/>
      <c r="H494" s="54"/>
      <c r="I494" s="7"/>
      <c r="J494" s="9"/>
      <c r="K494" s="21"/>
      <c r="L494" s="77"/>
      <c r="M494" s="77"/>
      <c r="N494" s="77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9"/>
      <c r="Z494" s="79"/>
      <c r="AA494" s="79"/>
    </row>
    <row r="495" spans="1:27" ht="99" customHeight="1" x14ac:dyDescent="0.25">
      <c r="A495" s="79"/>
      <c r="B495" s="79"/>
      <c r="C495" s="80"/>
      <c r="D495" s="80"/>
      <c r="E495" s="80"/>
      <c r="F495" s="6"/>
      <c r="G495" s="54"/>
      <c r="H495" s="54"/>
      <c r="I495" s="7"/>
      <c r="J495" s="9"/>
      <c r="K495" s="21"/>
      <c r="L495" s="77"/>
      <c r="M495" s="77"/>
      <c r="N495" s="77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9"/>
      <c r="Z495" s="79"/>
      <c r="AA495" s="79"/>
    </row>
    <row r="496" spans="1:27" ht="99" customHeight="1" x14ac:dyDescent="0.25">
      <c r="A496" s="79"/>
      <c r="B496" s="79"/>
      <c r="C496" s="80"/>
      <c r="D496" s="80"/>
      <c r="E496" s="80"/>
      <c r="F496" s="6"/>
      <c r="G496" s="54"/>
      <c r="H496" s="54"/>
      <c r="I496" s="7"/>
      <c r="J496" s="9"/>
      <c r="K496" s="21"/>
      <c r="L496" s="77"/>
      <c r="M496" s="77"/>
      <c r="N496" s="77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9"/>
      <c r="Z496" s="79"/>
      <c r="AA496" s="79"/>
    </row>
    <row r="497" spans="1:27" ht="99" customHeight="1" x14ac:dyDescent="0.25">
      <c r="A497" s="79"/>
      <c r="B497" s="79"/>
      <c r="C497" s="80"/>
      <c r="D497" s="80"/>
      <c r="E497" s="80"/>
      <c r="F497" s="6"/>
      <c r="G497" s="54"/>
      <c r="H497" s="54"/>
      <c r="I497" s="7"/>
      <c r="J497" s="9"/>
      <c r="K497" s="21"/>
      <c r="L497" s="77"/>
      <c r="M497" s="77"/>
      <c r="N497" s="77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9"/>
      <c r="Z497" s="79"/>
      <c r="AA497" s="79"/>
    </row>
    <row r="498" spans="1:27" ht="99" customHeight="1" x14ac:dyDescent="0.25">
      <c r="A498" s="79"/>
      <c r="B498" s="79"/>
      <c r="C498" s="80"/>
      <c r="D498" s="80"/>
      <c r="E498" s="80"/>
      <c r="F498" s="6"/>
      <c r="G498" s="54"/>
      <c r="H498" s="54"/>
      <c r="I498" s="7"/>
      <c r="J498" s="9"/>
      <c r="K498" s="21"/>
      <c r="L498" s="77"/>
      <c r="M498" s="77"/>
      <c r="N498" s="77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9"/>
      <c r="Z498" s="79"/>
      <c r="AA498" s="79"/>
    </row>
    <row r="499" spans="1:27" ht="99" customHeight="1" x14ac:dyDescent="0.25">
      <c r="A499" s="79"/>
      <c r="B499" s="79"/>
      <c r="C499" s="80"/>
      <c r="D499" s="80"/>
      <c r="E499" s="80"/>
      <c r="F499" s="6"/>
      <c r="G499" s="54"/>
      <c r="H499" s="54"/>
      <c r="I499" s="7"/>
      <c r="J499" s="9"/>
      <c r="K499" s="21"/>
      <c r="L499" s="77"/>
      <c r="M499" s="77"/>
      <c r="N499" s="77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9"/>
      <c r="Z499" s="79"/>
      <c r="AA499" s="79"/>
    </row>
    <row r="500" spans="1:27" ht="99" customHeight="1" x14ac:dyDescent="0.25">
      <c r="A500" s="79"/>
      <c r="B500" s="79"/>
      <c r="C500" s="80"/>
      <c r="D500" s="80"/>
      <c r="E500" s="80"/>
      <c r="F500" s="6"/>
      <c r="G500" s="54"/>
      <c r="H500" s="54"/>
      <c r="I500" s="7"/>
      <c r="J500" s="9"/>
      <c r="K500" s="21"/>
      <c r="L500" s="77"/>
      <c r="M500" s="77"/>
      <c r="N500" s="77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9"/>
      <c r="Z500" s="79"/>
      <c r="AA500" s="79"/>
    </row>
    <row r="501" spans="1:27" ht="99" customHeight="1" x14ac:dyDescent="0.25">
      <c r="A501" s="79"/>
      <c r="B501" s="79"/>
      <c r="C501" s="80"/>
      <c r="D501" s="80"/>
      <c r="E501" s="80"/>
      <c r="F501" s="6"/>
      <c r="G501" s="54"/>
      <c r="H501" s="54"/>
      <c r="I501" s="7"/>
      <c r="J501" s="9"/>
      <c r="K501" s="21"/>
      <c r="L501" s="77"/>
      <c r="M501" s="77"/>
      <c r="N501" s="77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9"/>
      <c r="Z501" s="79"/>
      <c r="AA501" s="79"/>
    </row>
    <row r="502" spans="1:27" ht="99" customHeight="1" x14ac:dyDescent="0.25">
      <c r="A502" s="79"/>
      <c r="B502" s="79"/>
      <c r="C502" s="80"/>
      <c r="D502" s="80"/>
      <c r="E502" s="80"/>
      <c r="F502" s="6"/>
      <c r="G502" s="54"/>
      <c r="H502" s="54"/>
      <c r="I502" s="7"/>
      <c r="J502" s="9"/>
      <c r="K502" s="21"/>
      <c r="L502" s="77"/>
      <c r="M502" s="77"/>
      <c r="N502" s="77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9"/>
      <c r="Z502" s="79"/>
      <c r="AA502" s="79"/>
    </row>
    <row r="503" spans="1:27" ht="99" customHeight="1" x14ac:dyDescent="0.25">
      <c r="A503" s="79"/>
      <c r="B503" s="79"/>
      <c r="C503" s="80"/>
      <c r="D503" s="80"/>
      <c r="E503" s="80"/>
      <c r="F503" s="6"/>
      <c r="G503" s="54"/>
      <c r="H503" s="54"/>
      <c r="I503" s="7"/>
      <c r="J503" s="9"/>
      <c r="K503" s="21"/>
      <c r="L503" s="77"/>
      <c r="M503" s="77"/>
      <c r="N503" s="77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9"/>
      <c r="Z503" s="79"/>
      <c r="AA503" s="79"/>
    </row>
    <row r="504" spans="1:27" ht="99" customHeight="1" x14ac:dyDescent="0.25">
      <c r="A504" s="79"/>
      <c r="B504" s="79"/>
      <c r="C504" s="80"/>
      <c r="D504" s="80"/>
      <c r="E504" s="80"/>
      <c r="F504" s="6"/>
      <c r="G504" s="54"/>
      <c r="H504" s="54"/>
      <c r="I504" s="7"/>
      <c r="J504" s="9"/>
      <c r="K504" s="21"/>
      <c r="L504" s="77"/>
      <c r="M504" s="77"/>
      <c r="N504" s="77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9"/>
      <c r="Z504" s="79"/>
      <c r="AA504" s="79"/>
    </row>
    <row r="505" spans="1:27" ht="99" customHeight="1" x14ac:dyDescent="0.25">
      <c r="A505" s="79"/>
      <c r="B505" s="79"/>
      <c r="C505" s="80"/>
      <c r="D505" s="80"/>
      <c r="E505" s="80"/>
      <c r="F505" s="6"/>
      <c r="G505" s="54"/>
      <c r="H505" s="54"/>
      <c r="I505" s="7"/>
      <c r="J505" s="9"/>
      <c r="K505" s="21"/>
      <c r="L505" s="77"/>
      <c r="M505" s="77"/>
      <c r="N505" s="77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9"/>
      <c r="Z505" s="79"/>
      <c r="AA505" s="79"/>
    </row>
    <row r="506" spans="1:27" ht="99" customHeight="1" x14ac:dyDescent="0.25">
      <c r="A506" s="79"/>
      <c r="B506" s="79"/>
      <c r="C506" s="80"/>
      <c r="D506" s="80"/>
      <c r="E506" s="80"/>
      <c r="F506" s="6"/>
      <c r="G506" s="54"/>
      <c r="H506" s="54"/>
      <c r="I506" s="7"/>
      <c r="J506" s="9"/>
      <c r="K506" s="21"/>
      <c r="L506" s="77"/>
      <c r="M506" s="77"/>
      <c r="N506" s="77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9"/>
      <c r="Z506" s="79"/>
      <c r="AA506" s="79"/>
    </row>
    <row r="507" spans="1:27" ht="99" customHeight="1" x14ac:dyDescent="0.25">
      <c r="A507" s="79"/>
      <c r="B507" s="79"/>
      <c r="C507" s="80"/>
      <c r="D507" s="80"/>
      <c r="E507" s="80"/>
      <c r="F507" s="6"/>
      <c r="G507" s="54"/>
      <c r="H507" s="54"/>
      <c r="I507" s="7"/>
      <c r="J507" s="9"/>
      <c r="K507" s="21"/>
      <c r="L507" s="77"/>
      <c r="M507" s="77"/>
      <c r="N507" s="77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9"/>
      <c r="Z507" s="79"/>
      <c r="AA507" s="79"/>
    </row>
    <row r="508" spans="1:27" ht="99" customHeight="1" x14ac:dyDescent="0.25">
      <c r="A508" s="79"/>
      <c r="B508" s="79"/>
      <c r="C508" s="80"/>
      <c r="D508" s="80"/>
      <c r="E508" s="80"/>
      <c r="F508" s="6"/>
      <c r="G508" s="54"/>
      <c r="H508" s="54"/>
      <c r="I508" s="7"/>
      <c r="J508" s="9"/>
      <c r="K508" s="21"/>
      <c r="L508" s="77"/>
      <c r="M508" s="77"/>
      <c r="N508" s="77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9"/>
      <c r="Z508" s="79"/>
      <c r="AA508" s="79"/>
    </row>
    <row r="509" spans="1:27" ht="99" customHeight="1" x14ac:dyDescent="0.25">
      <c r="A509" s="79"/>
      <c r="B509" s="79"/>
      <c r="C509" s="80"/>
      <c r="D509" s="80"/>
      <c r="E509" s="80"/>
      <c r="F509" s="6"/>
      <c r="G509" s="54"/>
      <c r="H509" s="54"/>
      <c r="I509" s="7"/>
      <c r="J509" s="9"/>
      <c r="K509" s="21"/>
      <c r="L509" s="77"/>
      <c r="M509" s="77"/>
      <c r="N509" s="77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9"/>
      <c r="Z509" s="79"/>
      <c r="AA509" s="79"/>
    </row>
    <row r="510" spans="1:27" ht="99" customHeight="1" x14ac:dyDescent="0.25">
      <c r="A510" s="79"/>
      <c r="B510" s="79"/>
      <c r="C510" s="80"/>
      <c r="D510" s="80"/>
      <c r="E510" s="80"/>
      <c r="F510" s="6"/>
      <c r="G510" s="54"/>
      <c r="H510" s="54"/>
      <c r="I510" s="7"/>
      <c r="J510" s="9"/>
      <c r="K510" s="21"/>
      <c r="L510" s="77"/>
      <c r="M510" s="77"/>
      <c r="N510" s="77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9"/>
      <c r="Z510" s="79"/>
      <c r="AA510" s="79"/>
    </row>
    <row r="511" spans="1:27" ht="99" customHeight="1" x14ac:dyDescent="0.25">
      <c r="A511" s="79"/>
      <c r="B511" s="79"/>
      <c r="C511" s="80"/>
      <c r="D511" s="80"/>
      <c r="E511" s="80"/>
      <c r="F511" s="6"/>
      <c r="G511" s="54"/>
      <c r="H511" s="54"/>
      <c r="I511" s="7"/>
      <c r="J511" s="9"/>
      <c r="K511" s="21"/>
      <c r="L511" s="77"/>
      <c r="M511" s="77"/>
      <c r="N511" s="77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9"/>
      <c r="Z511" s="79"/>
      <c r="AA511" s="79"/>
    </row>
    <row r="512" spans="1:27" ht="99" customHeight="1" x14ac:dyDescent="0.25">
      <c r="A512" s="79"/>
      <c r="B512" s="79"/>
      <c r="C512" s="80"/>
      <c r="D512" s="80"/>
      <c r="E512" s="80"/>
      <c r="F512" s="6"/>
      <c r="G512" s="54"/>
      <c r="H512" s="54"/>
      <c r="I512" s="7"/>
      <c r="J512" s="9"/>
      <c r="K512" s="21"/>
      <c r="L512" s="77"/>
      <c r="M512" s="77"/>
      <c r="N512" s="77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9"/>
      <c r="Z512" s="79"/>
      <c r="AA512" s="79"/>
    </row>
    <row r="513" spans="1:27" ht="99" customHeight="1" x14ac:dyDescent="0.25">
      <c r="A513" s="79"/>
      <c r="B513" s="79"/>
      <c r="C513" s="80"/>
      <c r="D513" s="80"/>
      <c r="E513" s="80"/>
      <c r="F513" s="6"/>
      <c r="G513" s="54"/>
      <c r="H513" s="54"/>
      <c r="I513" s="7"/>
      <c r="J513" s="9"/>
      <c r="K513" s="21"/>
      <c r="L513" s="77"/>
      <c r="M513" s="77"/>
      <c r="N513" s="77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9"/>
      <c r="Z513" s="79"/>
      <c r="AA513" s="79"/>
    </row>
    <row r="514" spans="1:27" ht="99" customHeight="1" x14ac:dyDescent="0.25">
      <c r="A514" s="79"/>
      <c r="B514" s="79"/>
      <c r="C514" s="80"/>
      <c r="D514" s="80"/>
      <c r="E514" s="80"/>
      <c r="F514" s="6"/>
      <c r="G514" s="54"/>
      <c r="H514" s="54"/>
      <c r="I514" s="7"/>
      <c r="J514" s="9"/>
      <c r="K514" s="21"/>
      <c r="L514" s="77"/>
      <c r="M514" s="77"/>
      <c r="N514" s="77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9"/>
      <c r="Z514" s="79"/>
      <c r="AA514" s="79"/>
    </row>
    <row r="515" spans="1:27" ht="99" customHeight="1" x14ac:dyDescent="0.25">
      <c r="A515" s="79"/>
      <c r="B515" s="79"/>
      <c r="C515" s="80"/>
      <c r="D515" s="80"/>
      <c r="E515" s="80"/>
      <c r="F515" s="6"/>
      <c r="G515" s="54"/>
      <c r="H515" s="54"/>
      <c r="I515" s="7"/>
      <c r="J515" s="9"/>
      <c r="K515" s="21"/>
      <c r="L515" s="77"/>
      <c r="M515" s="77"/>
      <c r="N515" s="77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9"/>
      <c r="Z515" s="79"/>
      <c r="AA515" s="79"/>
    </row>
    <row r="516" spans="1:27" ht="99" customHeight="1" x14ac:dyDescent="0.25">
      <c r="A516" s="79"/>
      <c r="B516" s="79"/>
      <c r="C516" s="80"/>
      <c r="D516" s="80"/>
      <c r="E516" s="80"/>
      <c r="F516" s="6"/>
      <c r="G516" s="54"/>
      <c r="H516" s="54"/>
      <c r="I516" s="7"/>
      <c r="J516" s="9"/>
      <c r="K516" s="21"/>
      <c r="L516" s="77"/>
      <c r="M516" s="77"/>
      <c r="N516" s="77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9"/>
      <c r="Z516" s="79"/>
      <c r="AA516" s="79"/>
    </row>
    <row r="517" spans="1:27" ht="99" customHeight="1" x14ac:dyDescent="0.25">
      <c r="A517" s="79"/>
      <c r="B517" s="79"/>
      <c r="C517" s="80"/>
      <c r="D517" s="80"/>
      <c r="E517" s="80"/>
      <c r="F517" s="6"/>
      <c r="G517" s="54"/>
      <c r="H517" s="54"/>
      <c r="I517" s="7"/>
      <c r="J517" s="9"/>
      <c r="K517" s="21"/>
      <c r="L517" s="77"/>
      <c r="M517" s="77"/>
      <c r="N517" s="77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9"/>
      <c r="Z517" s="79"/>
      <c r="AA517" s="79"/>
    </row>
    <row r="518" spans="1:27" ht="99" customHeight="1" x14ac:dyDescent="0.25">
      <c r="A518" s="79"/>
      <c r="B518" s="79"/>
      <c r="C518" s="80"/>
      <c r="D518" s="80"/>
      <c r="E518" s="80"/>
      <c r="F518" s="6"/>
      <c r="G518" s="54"/>
      <c r="H518" s="54"/>
      <c r="I518" s="7"/>
      <c r="J518" s="9"/>
      <c r="K518" s="21"/>
      <c r="L518" s="77"/>
      <c r="M518" s="77"/>
      <c r="N518" s="77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9"/>
      <c r="Z518" s="79"/>
      <c r="AA518" s="79"/>
    </row>
    <row r="519" spans="1:27" ht="99" customHeight="1" x14ac:dyDescent="0.25">
      <c r="A519" s="79"/>
      <c r="B519" s="79"/>
      <c r="C519" s="80"/>
      <c r="D519" s="80"/>
      <c r="E519" s="80"/>
      <c r="F519" s="6"/>
      <c r="G519" s="54"/>
      <c r="H519" s="54"/>
      <c r="I519" s="7"/>
      <c r="J519" s="9"/>
      <c r="K519" s="21"/>
      <c r="L519" s="77"/>
      <c r="M519" s="77"/>
      <c r="N519" s="77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9"/>
      <c r="Z519" s="79"/>
      <c r="AA519" s="79"/>
    </row>
    <row r="520" spans="1:27" ht="99" customHeight="1" x14ac:dyDescent="0.25">
      <c r="A520" s="79"/>
      <c r="B520" s="79"/>
      <c r="C520" s="80"/>
      <c r="D520" s="80"/>
      <c r="E520" s="80"/>
      <c r="F520" s="6"/>
      <c r="G520" s="54"/>
      <c r="H520" s="54"/>
      <c r="I520" s="7"/>
      <c r="J520" s="9"/>
      <c r="K520" s="21"/>
      <c r="L520" s="77"/>
      <c r="M520" s="77"/>
      <c r="N520" s="77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9"/>
      <c r="Z520" s="79"/>
      <c r="AA520" s="79"/>
    </row>
    <row r="521" spans="1:27" ht="99" customHeight="1" x14ac:dyDescent="0.25">
      <c r="A521" s="79"/>
      <c r="B521" s="79"/>
      <c r="C521" s="80"/>
      <c r="D521" s="80"/>
      <c r="E521" s="80"/>
      <c r="F521" s="6"/>
      <c r="G521" s="54"/>
      <c r="H521" s="54"/>
      <c r="I521" s="7"/>
      <c r="J521" s="9"/>
      <c r="K521" s="21"/>
      <c r="L521" s="77"/>
      <c r="M521" s="77"/>
      <c r="N521" s="77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9"/>
      <c r="Z521" s="79"/>
      <c r="AA521" s="79"/>
    </row>
    <row r="522" spans="1:27" ht="99" customHeight="1" x14ac:dyDescent="0.25">
      <c r="A522" s="79"/>
      <c r="B522" s="79"/>
      <c r="C522" s="80"/>
      <c r="D522" s="80"/>
      <c r="E522" s="80"/>
      <c r="F522" s="6"/>
      <c r="G522" s="54"/>
      <c r="H522" s="54"/>
      <c r="I522" s="7"/>
      <c r="J522" s="9"/>
      <c r="K522" s="21"/>
      <c r="L522" s="77"/>
      <c r="M522" s="77"/>
      <c r="N522" s="77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9"/>
      <c r="Z522" s="79"/>
      <c r="AA522" s="79"/>
    </row>
    <row r="523" spans="1:27" ht="99" customHeight="1" x14ac:dyDescent="0.25">
      <c r="A523" s="79"/>
      <c r="B523" s="79"/>
      <c r="C523" s="80"/>
      <c r="D523" s="80"/>
      <c r="E523" s="80"/>
      <c r="F523" s="6"/>
      <c r="G523" s="54"/>
      <c r="H523" s="54"/>
      <c r="I523" s="7"/>
      <c r="J523" s="9"/>
      <c r="K523" s="21"/>
      <c r="L523" s="77"/>
      <c r="M523" s="77"/>
      <c r="N523" s="77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9"/>
      <c r="Z523" s="79"/>
      <c r="AA523" s="79"/>
    </row>
    <row r="524" spans="1:27" ht="99" customHeight="1" x14ac:dyDescent="0.25">
      <c r="A524" s="79"/>
      <c r="B524" s="79"/>
      <c r="C524" s="80"/>
      <c r="D524" s="80"/>
      <c r="E524" s="80"/>
      <c r="F524" s="6"/>
      <c r="G524" s="54"/>
      <c r="H524" s="54"/>
      <c r="I524" s="7"/>
      <c r="J524" s="9"/>
      <c r="K524" s="21"/>
      <c r="L524" s="77"/>
      <c r="M524" s="77"/>
      <c r="N524" s="77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9"/>
      <c r="Z524" s="79"/>
      <c r="AA524" s="79"/>
    </row>
    <row r="525" spans="1:27" ht="99" customHeight="1" x14ac:dyDescent="0.25">
      <c r="A525" s="79"/>
      <c r="B525" s="79"/>
      <c r="C525" s="80"/>
      <c r="D525" s="80"/>
      <c r="E525" s="80"/>
      <c r="F525" s="6"/>
      <c r="G525" s="54"/>
      <c r="H525" s="54"/>
      <c r="I525" s="7"/>
      <c r="J525" s="9"/>
      <c r="K525" s="21"/>
      <c r="L525" s="77"/>
      <c r="M525" s="77"/>
      <c r="N525" s="77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9"/>
      <c r="Z525" s="79"/>
      <c r="AA525" s="79"/>
    </row>
    <row r="526" spans="1:27" ht="99" customHeight="1" x14ac:dyDescent="0.25">
      <c r="A526" s="79"/>
      <c r="B526" s="79"/>
      <c r="C526" s="80"/>
      <c r="D526" s="80"/>
      <c r="E526" s="80"/>
      <c r="F526" s="6"/>
      <c r="G526" s="54"/>
      <c r="H526" s="54"/>
      <c r="I526" s="7"/>
      <c r="J526" s="9"/>
      <c r="K526" s="21"/>
      <c r="L526" s="77"/>
      <c r="M526" s="77"/>
      <c r="N526" s="77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9"/>
      <c r="Z526" s="79"/>
      <c r="AA526" s="79"/>
    </row>
    <row r="527" spans="1:27" ht="99" customHeight="1" x14ac:dyDescent="0.25">
      <c r="A527" s="79"/>
      <c r="B527" s="79"/>
      <c r="C527" s="80"/>
      <c r="D527" s="80"/>
      <c r="E527" s="80"/>
      <c r="F527" s="6"/>
      <c r="G527" s="54"/>
      <c r="H527" s="54"/>
      <c r="I527" s="7"/>
      <c r="J527" s="9"/>
      <c r="K527" s="21"/>
      <c r="L527" s="77"/>
      <c r="M527" s="77"/>
      <c r="N527" s="77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9"/>
      <c r="Z527" s="79"/>
      <c r="AA527" s="79"/>
    </row>
    <row r="528" spans="1:27" ht="99" customHeight="1" x14ac:dyDescent="0.25">
      <c r="A528" s="79"/>
      <c r="B528" s="79"/>
      <c r="C528" s="80"/>
      <c r="D528" s="80"/>
      <c r="E528" s="80"/>
      <c r="F528" s="6"/>
      <c r="G528" s="54"/>
      <c r="H528" s="54"/>
      <c r="I528" s="7"/>
      <c r="J528" s="9"/>
      <c r="K528" s="21"/>
      <c r="L528" s="77"/>
      <c r="M528" s="77"/>
      <c r="N528" s="77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9"/>
      <c r="Z528" s="79"/>
      <c r="AA528" s="79"/>
    </row>
    <row r="529" spans="1:27" ht="99" customHeight="1" x14ac:dyDescent="0.25">
      <c r="A529" s="79"/>
      <c r="B529" s="79"/>
      <c r="C529" s="80"/>
      <c r="D529" s="80"/>
      <c r="E529" s="80"/>
      <c r="F529" s="6"/>
      <c r="G529" s="54"/>
      <c r="H529" s="54"/>
      <c r="I529" s="7"/>
      <c r="J529" s="9"/>
      <c r="K529" s="21"/>
      <c r="L529" s="77"/>
      <c r="M529" s="77"/>
      <c r="N529" s="77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9"/>
      <c r="Z529" s="79"/>
      <c r="AA529" s="79"/>
    </row>
    <row r="530" spans="1:27" ht="99" customHeight="1" x14ac:dyDescent="0.25">
      <c r="A530" s="79"/>
      <c r="B530" s="79"/>
      <c r="C530" s="80"/>
      <c r="D530" s="80"/>
      <c r="E530" s="80"/>
      <c r="F530" s="6"/>
      <c r="G530" s="54"/>
      <c r="H530" s="54"/>
      <c r="I530" s="7"/>
      <c r="J530" s="9"/>
      <c r="K530" s="21"/>
      <c r="L530" s="77"/>
      <c r="M530" s="77"/>
      <c r="N530" s="77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9"/>
      <c r="Z530" s="79"/>
      <c r="AA530" s="79"/>
    </row>
    <row r="531" spans="1:27" ht="99" customHeight="1" x14ac:dyDescent="0.25">
      <c r="A531" s="79"/>
      <c r="B531" s="79"/>
      <c r="C531" s="80"/>
      <c r="D531" s="80"/>
      <c r="E531" s="80"/>
      <c r="F531" s="6"/>
      <c r="G531" s="54"/>
      <c r="H531" s="54"/>
      <c r="I531" s="7"/>
      <c r="J531" s="9"/>
      <c r="K531" s="21"/>
      <c r="L531" s="77"/>
      <c r="M531" s="77"/>
      <c r="N531" s="77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9"/>
      <c r="Z531" s="79"/>
      <c r="AA531" s="79"/>
    </row>
    <row r="532" spans="1:27" ht="99" customHeight="1" x14ac:dyDescent="0.25">
      <c r="A532" s="79"/>
      <c r="B532" s="79"/>
      <c r="C532" s="80"/>
      <c r="D532" s="80"/>
      <c r="E532" s="80"/>
      <c r="F532" s="6"/>
      <c r="G532" s="54"/>
      <c r="H532" s="54"/>
      <c r="I532" s="7"/>
      <c r="J532" s="9"/>
      <c r="K532" s="21"/>
      <c r="L532" s="77"/>
      <c r="M532" s="77"/>
      <c r="N532" s="77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9"/>
      <c r="Z532" s="79"/>
      <c r="AA532" s="79"/>
    </row>
    <row r="533" spans="1:27" ht="99" customHeight="1" x14ac:dyDescent="0.25">
      <c r="A533" s="79"/>
      <c r="B533" s="79"/>
      <c r="C533" s="80"/>
      <c r="D533" s="80"/>
      <c r="E533" s="80"/>
      <c r="F533" s="6"/>
      <c r="G533" s="54"/>
      <c r="H533" s="54"/>
      <c r="I533" s="7"/>
      <c r="J533" s="9"/>
      <c r="K533" s="21"/>
      <c r="L533" s="77"/>
      <c r="M533" s="77"/>
      <c r="N533" s="77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9"/>
      <c r="Z533" s="79"/>
      <c r="AA533" s="79"/>
    </row>
    <row r="534" spans="1:27" ht="99" customHeight="1" x14ac:dyDescent="0.25">
      <c r="A534" s="79"/>
      <c r="B534" s="79"/>
      <c r="C534" s="80"/>
      <c r="D534" s="80"/>
      <c r="E534" s="80"/>
      <c r="F534" s="6"/>
      <c r="G534" s="54"/>
      <c r="H534" s="54"/>
      <c r="I534" s="7"/>
      <c r="J534" s="9"/>
      <c r="K534" s="21"/>
      <c r="L534" s="77"/>
      <c r="M534" s="77"/>
      <c r="N534" s="77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9"/>
      <c r="Z534" s="79"/>
      <c r="AA534" s="79"/>
    </row>
    <row r="535" spans="1:27" ht="99" customHeight="1" x14ac:dyDescent="0.25">
      <c r="A535" s="79"/>
      <c r="B535" s="79"/>
      <c r="C535" s="80"/>
      <c r="D535" s="80"/>
      <c r="E535" s="80"/>
      <c r="F535" s="6"/>
      <c r="G535" s="54"/>
      <c r="H535" s="54"/>
      <c r="I535" s="7"/>
      <c r="J535" s="9"/>
      <c r="K535" s="21"/>
      <c r="L535" s="77"/>
      <c r="M535" s="77"/>
      <c r="N535" s="77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9"/>
      <c r="Z535" s="79"/>
      <c r="AA535" s="79"/>
    </row>
    <row r="536" spans="1:27" ht="99" customHeight="1" x14ac:dyDescent="0.25">
      <c r="A536" s="79"/>
      <c r="B536" s="79"/>
      <c r="C536" s="80"/>
      <c r="D536" s="80"/>
      <c r="E536" s="80"/>
      <c r="F536" s="6"/>
      <c r="G536" s="54"/>
      <c r="H536" s="54"/>
      <c r="I536" s="7"/>
      <c r="J536" s="9"/>
      <c r="K536" s="21"/>
      <c r="L536" s="77"/>
      <c r="M536" s="77"/>
      <c r="N536" s="77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9"/>
      <c r="Z536" s="79"/>
      <c r="AA536" s="79"/>
    </row>
    <row r="537" spans="1:27" ht="99" customHeight="1" x14ac:dyDescent="0.25">
      <c r="A537" s="79"/>
      <c r="B537" s="79"/>
      <c r="C537" s="80"/>
      <c r="D537" s="80"/>
      <c r="E537" s="80"/>
      <c r="F537" s="6"/>
      <c r="G537" s="54"/>
      <c r="H537" s="54"/>
      <c r="I537" s="7"/>
      <c r="J537" s="9"/>
      <c r="K537" s="21"/>
      <c r="L537" s="77"/>
      <c r="M537" s="77"/>
      <c r="N537" s="77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9"/>
      <c r="Z537" s="79"/>
      <c r="AA537" s="79"/>
    </row>
    <row r="538" spans="1:27" ht="99" customHeight="1" x14ac:dyDescent="0.25">
      <c r="A538" s="79"/>
      <c r="B538" s="79"/>
      <c r="C538" s="80"/>
      <c r="D538" s="80"/>
      <c r="E538" s="80"/>
      <c r="F538" s="6"/>
      <c r="G538" s="54"/>
      <c r="H538" s="54"/>
      <c r="I538" s="7"/>
      <c r="J538" s="9"/>
      <c r="K538" s="21"/>
      <c r="L538" s="77"/>
      <c r="M538" s="77"/>
      <c r="N538" s="77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9"/>
      <c r="Z538" s="79"/>
      <c r="AA538" s="79"/>
    </row>
    <row r="539" spans="1:27" ht="99" customHeight="1" x14ac:dyDescent="0.25">
      <c r="A539" s="79"/>
      <c r="B539" s="79"/>
      <c r="C539" s="80"/>
      <c r="D539" s="80"/>
      <c r="E539" s="80"/>
      <c r="F539" s="6"/>
      <c r="G539" s="54"/>
      <c r="H539" s="54"/>
      <c r="I539" s="7"/>
      <c r="J539" s="9"/>
      <c r="K539" s="21"/>
      <c r="L539" s="77"/>
      <c r="M539" s="77"/>
      <c r="N539" s="77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9"/>
      <c r="Z539" s="79"/>
      <c r="AA539" s="79"/>
    </row>
    <row r="540" spans="1:27" ht="99" customHeight="1" x14ac:dyDescent="0.25">
      <c r="A540" s="79"/>
      <c r="B540" s="79"/>
      <c r="C540" s="80"/>
      <c r="D540" s="80"/>
      <c r="E540" s="80"/>
      <c r="F540" s="6"/>
      <c r="G540" s="54"/>
      <c r="H540" s="54"/>
      <c r="I540" s="7"/>
      <c r="J540" s="9"/>
      <c r="K540" s="21"/>
      <c r="L540" s="77"/>
      <c r="M540" s="77"/>
      <c r="N540" s="77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9"/>
      <c r="Z540" s="79"/>
      <c r="AA540" s="79"/>
    </row>
    <row r="541" spans="1:27" ht="99" customHeight="1" x14ac:dyDescent="0.25">
      <c r="A541" s="79"/>
      <c r="B541" s="79"/>
      <c r="C541" s="80"/>
      <c r="D541" s="80"/>
      <c r="E541" s="80"/>
      <c r="F541" s="6"/>
      <c r="G541" s="54"/>
      <c r="H541" s="54"/>
      <c r="I541" s="7"/>
      <c r="J541" s="9"/>
      <c r="K541" s="21"/>
      <c r="L541" s="77"/>
      <c r="M541" s="77"/>
      <c r="N541" s="77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9"/>
      <c r="Z541" s="79"/>
      <c r="AA541" s="79"/>
    </row>
    <row r="542" spans="1:27" ht="99" customHeight="1" x14ac:dyDescent="0.25">
      <c r="A542" s="79"/>
      <c r="B542" s="79"/>
      <c r="C542" s="80"/>
      <c r="D542" s="80"/>
      <c r="E542" s="80"/>
      <c r="F542" s="6"/>
      <c r="G542" s="54"/>
      <c r="H542" s="54"/>
      <c r="I542" s="7"/>
      <c r="J542" s="9"/>
      <c r="K542" s="21"/>
      <c r="L542" s="77"/>
      <c r="M542" s="77"/>
      <c r="N542" s="77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9"/>
      <c r="Z542" s="79"/>
      <c r="AA542" s="79"/>
    </row>
    <row r="543" spans="1:27" ht="99" customHeight="1" x14ac:dyDescent="0.25">
      <c r="A543" s="79"/>
      <c r="B543" s="79"/>
      <c r="C543" s="80"/>
      <c r="D543" s="80"/>
      <c r="E543" s="80"/>
      <c r="F543" s="6"/>
      <c r="G543" s="54"/>
      <c r="H543" s="54"/>
      <c r="I543" s="7"/>
      <c r="J543" s="9"/>
      <c r="K543" s="21"/>
      <c r="L543" s="77"/>
      <c r="M543" s="77"/>
      <c r="N543" s="77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9"/>
      <c r="Z543" s="79"/>
      <c r="AA543" s="79"/>
    </row>
    <row r="544" spans="1:27" ht="99" customHeight="1" x14ac:dyDescent="0.25">
      <c r="A544" s="79"/>
      <c r="B544" s="79"/>
      <c r="C544" s="80"/>
      <c r="D544" s="80"/>
      <c r="E544" s="80"/>
      <c r="F544" s="6"/>
      <c r="G544" s="54"/>
      <c r="H544" s="54"/>
      <c r="I544" s="7"/>
      <c r="J544" s="9"/>
      <c r="K544" s="21"/>
      <c r="L544" s="77"/>
      <c r="M544" s="77"/>
      <c r="N544" s="77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9"/>
      <c r="Z544" s="79"/>
      <c r="AA544" s="79"/>
    </row>
    <row r="545" spans="1:27" ht="99" customHeight="1" x14ac:dyDescent="0.25">
      <c r="A545" s="79"/>
      <c r="B545" s="79"/>
      <c r="C545" s="80"/>
      <c r="D545" s="80"/>
      <c r="E545" s="80"/>
      <c r="F545" s="6"/>
      <c r="G545" s="54"/>
      <c r="H545" s="54"/>
      <c r="I545" s="7"/>
      <c r="J545" s="9"/>
      <c r="K545" s="21"/>
      <c r="L545" s="77"/>
      <c r="M545" s="77"/>
      <c r="N545" s="77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9"/>
      <c r="Z545" s="79"/>
      <c r="AA545" s="79"/>
    </row>
    <row r="546" spans="1:27" ht="99" customHeight="1" x14ac:dyDescent="0.25">
      <c r="A546" s="79"/>
      <c r="B546" s="79"/>
      <c r="C546" s="80"/>
      <c r="D546" s="80"/>
      <c r="E546" s="80"/>
      <c r="F546" s="6"/>
      <c r="G546" s="54"/>
      <c r="H546" s="54"/>
      <c r="I546" s="7"/>
      <c r="J546" s="9"/>
      <c r="K546" s="21"/>
      <c r="L546" s="77"/>
      <c r="M546" s="77"/>
      <c r="N546" s="77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9"/>
      <c r="Z546" s="79"/>
      <c r="AA546" s="79"/>
    </row>
    <row r="547" spans="1:27" ht="99" customHeight="1" x14ac:dyDescent="0.25">
      <c r="A547" s="79"/>
      <c r="B547" s="79"/>
      <c r="C547" s="80"/>
      <c r="D547" s="80"/>
      <c r="E547" s="80"/>
      <c r="F547" s="6"/>
      <c r="G547" s="54"/>
      <c r="H547" s="54"/>
      <c r="I547" s="7"/>
      <c r="J547" s="9"/>
      <c r="K547" s="21"/>
      <c r="L547" s="77"/>
      <c r="M547" s="77"/>
      <c r="N547" s="77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9"/>
      <c r="Z547" s="79"/>
      <c r="AA547" s="79"/>
    </row>
    <row r="548" spans="1:27" ht="99" customHeight="1" x14ac:dyDescent="0.25">
      <c r="A548" s="79"/>
      <c r="B548" s="79"/>
      <c r="C548" s="80"/>
      <c r="D548" s="80"/>
      <c r="E548" s="80"/>
      <c r="F548" s="6"/>
      <c r="G548" s="54"/>
      <c r="H548" s="54"/>
      <c r="I548" s="7"/>
      <c r="J548" s="9"/>
      <c r="K548" s="21"/>
      <c r="L548" s="77"/>
      <c r="M548" s="77"/>
      <c r="N548" s="77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9"/>
      <c r="Z548" s="79"/>
      <c r="AA548" s="79"/>
    </row>
    <row r="549" spans="1:27" ht="99" customHeight="1" x14ac:dyDescent="0.25">
      <c r="A549" s="79"/>
      <c r="B549" s="79"/>
      <c r="C549" s="80"/>
      <c r="D549" s="80"/>
      <c r="E549" s="80"/>
      <c r="F549" s="6"/>
      <c r="G549" s="54"/>
      <c r="H549" s="54"/>
      <c r="I549" s="7"/>
      <c r="J549" s="9"/>
      <c r="K549" s="21"/>
      <c r="L549" s="77"/>
      <c r="M549" s="77"/>
      <c r="N549" s="77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9"/>
      <c r="Z549" s="79"/>
      <c r="AA549" s="79"/>
    </row>
    <row r="550" spans="1:27" ht="99" customHeight="1" x14ac:dyDescent="0.25">
      <c r="A550" s="79"/>
      <c r="B550" s="79"/>
      <c r="C550" s="80"/>
      <c r="D550" s="80"/>
      <c r="E550" s="80"/>
      <c r="F550" s="6"/>
      <c r="G550" s="54"/>
      <c r="H550" s="54"/>
      <c r="I550" s="7"/>
      <c r="J550" s="9"/>
      <c r="K550" s="21"/>
      <c r="L550" s="77"/>
      <c r="M550" s="77"/>
      <c r="N550" s="77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9"/>
      <c r="Z550" s="79"/>
      <c r="AA550" s="79"/>
    </row>
    <row r="551" spans="1:27" ht="99" customHeight="1" x14ac:dyDescent="0.25">
      <c r="A551" s="79"/>
      <c r="B551" s="79"/>
      <c r="C551" s="80"/>
      <c r="D551" s="80"/>
      <c r="E551" s="80"/>
      <c r="F551" s="6"/>
      <c r="G551" s="54"/>
      <c r="H551" s="54"/>
      <c r="I551" s="7"/>
      <c r="J551" s="9"/>
      <c r="K551" s="21"/>
      <c r="L551" s="77"/>
      <c r="M551" s="77"/>
      <c r="N551" s="77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9"/>
      <c r="Z551" s="79"/>
      <c r="AA551" s="79"/>
    </row>
    <row r="552" spans="1:27" ht="99" customHeight="1" x14ac:dyDescent="0.25">
      <c r="A552" s="79"/>
      <c r="B552" s="79"/>
      <c r="C552" s="80"/>
      <c r="D552" s="80"/>
      <c r="E552" s="80"/>
      <c r="F552" s="6"/>
      <c r="G552" s="54"/>
      <c r="H552" s="54"/>
      <c r="I552" s="7"/>
      <c r="J552" s="9"/>
      <c r="K552" s="21"/>
      <c r="L552" s="77"/>
      <c r="M552" s="77"/>
      <c r="N552" s="77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9"/>
      <c r="Z552" s="79"/>
      <c r="AA552" s="79"/>
    </row>
    <row r="553" spans="1:27" ht="99" customHeight="1" x14ac:dyDescent="0.25">
      <c r="A553" s="79"/>
      <c r="B553" s="79"/>
      <c r="C553" s="80"/>
      <c r="D553" s="80"/>
      <c r="E553" s="80"/>
      <c r="F553" s="6"/>
      <c r="G553" s="54"/>
      <c r="H553" s="54"/>
      <c r="I553" s="7"/>
      <c r="J553" s="9"/>
      <c r="K553" s="21"/>
      <c r="L553" s="77"/>
      <c r="M553" s="77"/>
      <c r="N553" s="77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9"/>
      <c r="Z553" s="79"/>
      <c r="AA553" s="79"/>
    </row>
    <row r="554" spans="1:27" ht="99" customHeight="1" x14ac:dyDescent="0.25">
      <c r="A554" s="79"/>
      <c r="B554" s="79"/>
      <c r="C554" s="80"/>
      <c r="D554" s="80"/>
      <c r="E554" s="80"/>
      <c r="F554" s="6"/>
      <c r="G554" s="54"/>
      <c r="H554" s="54"/>
      <c r="I554" s="7"/>
      <c r="J554" s="9"/>
      <c r="K554" s="21"/>
      <c r="L554" s="77"/>
      <c r="M554" s="77"/>
      <c r="N554" s="77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9"/>
      <c r="Z554" s="79"/>
      <c r="AA554" s="79"/>
    </row>
    <row r="555" spans="1:27" ht="99" customHeight="1" x14ac:dyDescent="0.25">
      <c r="A555" s="79"/>
      <c r="B555" s="79"/>
      <c r="C555" s="80"/>
      <c r="D555" s="80"/>
      <c r="E555" s="80"/>
      <c r="F555" s="6"/>
      <c r="G555" s="54"/>
      <c r="H555" s="54"/>
      <c r="I555" s="7"/>
      <c r="J555" s="9"/>
      <c r="K555" s="21"/>
      <c r="L555" s="77"/>
      <c r="M555" s="77"/>
      <c r="N555" s="77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9"/>
      <c r="Z555" s="79"/>
      <c r="AA555" s="79"/>
    </row>
    <row r="556" spans="1:27" ht="99" customHeight="1" x14ac:dyDescent="0.25">
      <c r="A556" s="79"/>
      <c r="B556" s="79"/>
      <c r="C556" s="80"/>
      <c r="D556" s="80"/>
      <c r="E556" s="80"/>
      <c r="F556" s="6"/>
      <c r="G556" s="54"/>
      <c r="H556" s="54"/>
      <c r="I556" s="7"/>
      <c r="J556" s="9"/>
      <c r="K556" s="21"/>
      <c r="L556" s="77"/>
      <c r="M556" s="77"/>
      <c r="N556" s="77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9"/>
      <c r="Z556" s="79"/>
      <c r="AA556" s="79"/>
    </row>
    <row r="557" spans="1:27" ht="99" customHeight="1" x14ac:dyDescent="0.25">
      <c r="A557" s="79"/>
      <c r="B557" s="79"/>
      <c r="C557" s="80"/>
      <c r="D557" s="80"/>
      <c r="E557" s="80"/>
      <c r="F557" s="6"/>
      <c r="G557" s="54"/>
      <c r="H557" s="54"/>
      <c r="I557" s="7"/>
      <c r="J557" s="9"/>
      <c r="K557" s="21"/>
      <c r="L557" s="77"/>
      <c r="M557" s="77"/>
      <c r="N557" s="77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9"/>
      <c r="Z557" s="79"/>
      <c r="AA557" s="79"/>
    </row>
    <row r="558" spans="1:27" ht="99" customHeight="1" x14ac:dyDescent="0.25">
      <c r="A558" s="79"/>
      <c r="B558" s="79"/>
      <c r="C558" s="80"/>
      <c r="D558" s="80"/>
      <c r="E558" s="80"/>
      <c r="F558" s="6"/>
      <c r="G558" s="54"/>
      <c r="H558" s="54"/>
      <c r="I558" s="7"/>
      <c r="J558" s="9"/>
      <c r="K558" s="21"/>
      <c r="L558" s="77"/>
      <c r="M558" s="77"/>
      <c r="N558" s="77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9"/>
      <c r="Z558" s="79"/>
      <c r="AA558" s="79"/>
    </row>
    <row r="559" spans="1:27" ht="99" customHeight="1" x14ac:dyDescent="0.25">
      <c r="A559" s="79"/>
      <c r="B559" s="79"/>
      <c r="C559" s="80"/>
      <c r="D559" s="80"/>
      <c r="E559" s="80"/>
      <c r="F559" s="6"/>
      <c r="G559" s="54"/>
      <c r="H559" s="54"/>
      <c r="I559" s="7"/>
      <c r="J559" s="9"/>
      <c r="K559" s="21"/>
      <c r="L559" s="77"/>
      <c r="M559" s="77"/>
      <c r="N559" s="77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9"/>
      <c r="Z559" s="79"/>
      <c r="AA559" s="79"/>
    </row>
    <row r="560" spans="1:27" ht="99" customHeight="1" x14ac:dyDescent="0.25">
      <c r="A560" s="79"/>
      <c r="B560" s="79"/>
      <c r="C560" s="80"/>
      <c r="D560" s="80"/>
      <c r="E560" s="80"/>
      <c r="F560" s="6"/>
      <c r="G560" s="54"/>
      <c r="H560" s="54"/>
      <c r="I560" s="7"/>
      <c r="J560" s="9"/>
      <c r="K560" s="21"/>
      <c r="L560" s="77"/>
      <c r="M560" s="77"/>
      <c r="N560" s="77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9"/>
      <c r="Z560" s="79"/>
      <c r="AA560" s="79"/>
    </row>
    <row r="561" spans="1:27" ht="99" customHeight="1" x14ac:dyDescent="0.25">
      <c r="A561" s="79"/>
      <c r="B561" s="79"/>
      <c r="C561" s="80"/>
      <c r="D561" s="80"/>
      <c r="E561" s="80"/>
      <c r="F561" s="6"/>
      <c r="G561" s="54"/>
      <c r="H561" s="54"/>
      <c r="I561" s="7"/>
      <c r="J561" s="9"/>
      <c r="K561" s="21"/>
      <c r="L561" s="77"/>
      <c r="M561" s="77"/>
      <c r="N561" s="77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9"/>
      <c r="Z561" s="79"/>
      <c r="AA561" s="79"/>
    </row>
    <row r="562" spans="1:27" ht="99" customHeight="1" x14ac:dyDescent="0.25">
      <c r="A562" s="79"/>
      <c r="B562" s="79"/>
      <c r="C562" s="80"/>
      <c r="D562" s="80"/>
      <c r="E562" s="80"/>
      <c r="F562" s="6"/>
      <c r="G562" s="54"/>
      <c r="H562" s="54"/>
      <c r="I562" s="7"/>
      <c r="J562" s="9"/>
      <c r="K562" s="21"/>
      <c r="L562" s="77"/>
      <c r="M562" s="77"/>
      <c r="N562" s="77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9"/>
      <c r="Z562" s="79"/>
      <c r="AA562" s="79"/>
    </row>
    <row r="563" spans="1:27" ht="99" customHeight="1" x14ac:dyDescent="0.25">
      <c r="A563" s="79"/>
      <c r="B563" s="79"/>
      <c r="C563" s="80"/>
      <c r="D563" s="80"/>
      <c r="E563" s="80"/>
      <c r="F563" s="6"/>
      <c r="G563" s="54"/>
      <c r="H563" s="54"/>
      <c r="I563" s="7"/>
      <c r="J563" s="9"/>
      <c r="K563" s="21"/>
      <c r="L563" s="77"/>
      <c r="M563" s="77"/>
      <c r="N563" s="77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9"/>
      <c r="Z563" s="79"/>
      <c r="AA563" s="79"/>
    </row>
    <row r="564" spans="1:27" ht="99" customHeight="1" x14ac:dyDescent="0.25">
      <c r="A564" s="79"/>
      <c r="B564" s="79"/>
      <c r="C564" s="80"/>
      <c r="D564" s="80"/>
      <c r="E564" s="80"/>
      <c r="F564" s="6"/>
      <c r="G564" s="54"/>
      <c r="H564" s="54"/>
      <c r="I564" s="7"/>
      <c r="J564" s="9"/>
      <c r="K564" s="21"/>
      <c r="L564" s="77"/>
      <c r="M564" s="77"/>
      <c r="N564" s="77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9"/>
      <c r="Z564" s="79"/>
      <c r="AA564" s="79"/>
    </row>
    <row r="565" spans="1:27" ht="99" customHeight="1" x14ac:dyDescent="0.25">
      <c r="A565" s="79"/>
      <c r="B565" s="79"/>
      <c r="C565" s="80"/>
      <c r="D565" s="80"/>
      <c r="E565" s="80"/>
      <c r="F565" s="6"/>
      <c r="G565" s="54"/>
      <c r="H565" s="54"/>
      <c r="I565" s="7"/>
      <c r="J565" s="9"/>
      <c r="K565" s="21"/>
      <c r="L565" s="77"/>
      <c r="M565" s="77"/>
      <c r="N565" s="77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9"/>
      <c r="Z565" s="79"/>
      <c r="AA565" s="79"/>
    </row>
    <row r="566" spans="1:27" ht="99" customHeight="1" x14ac:dyDescent="0.25">
      <c r="A566" s="79"/>
      <c r="B566" s="79"/>
      <c r="C566" s="80"/>
      <c r="D566" s="80"/>
      <c r="E566" s="80"/>
      <c r="F566" s="6"/>
      <c r="G566" s="54"/>
      <c r="H566" s="54"/>
      <c r="I566" s="7"/>
      <c r="J566" s="9"/>
      <c r="K566" s="21"/>
      <c r="L566" s="77"/>
      <c r="M566" s="77"/>
      <c r="N566" s="77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9"/>
      <c r="Z566" s="79"/>
      <c r="AA566" s="79"/>
    </row>
    <row r="567" spans="1:27" ht="99" customHeight="1" x14ac:dyDescent="0.25">
      <c r="A567" s="79"/>
      <c r="B567" s="79"/>
      <c r="C567" s="80"/>
      <c r="D567" s="80"/>
      <c r="E567" s="80"/>
      <c r="F567" s="6"/>
      <c r="G567" s="54"/>
      <c r="H567" s="54"/>
      <c r="I567" s="7"/>
      <c r="J567" s="9"/>
      <c r="K567" s="21"/>
      <c r="L567" s="77"/>
      <c r="M567" s="77"/>
      <c r="N567" s="77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9"/>
      <c r="Z567" s="79"/>
      <c r="AA567" s="79"/>
    </row>
    <row r="568" spans="1:27" ht="99" customHeight="1" x14ac:dyDescent="0.25">
      <c r="A568" s="79"/>
      <c r="B568" s="79"/>
      <c r="C568" s="80"/>
      <c r="D568" s="80"/>
      <c r="E568" s="80"/>
      <c r="F568" s="6"/>
      <c r="G568" s="54"/>
      <c r="H568" s="54"/>
      <c r="I568" s="7"/>
      <c r="J568" s="9"/>
      <c r="K568" s="21"/>
      <c r="L568" s="77"/>
      <c r="M568" s="77"/>
      <c r="N568" s="77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9"/>
      <c r="Z568" s="79"/>
      <c r="AA568" s="79"/>
    </row>
    <row r="569" spans="1:27" ht="99" customHeight="1" x14ac:dyDescent="0.25">
      <c r="A569" s="79"/>
      <c r="B569" s="79"/>
      <c r="C569" s="80"/>
      <c r="D569" s="80"/>
      <c r="E569" s="80"/>
      <c r="F569" s="6"/>
      <c r="G569" s="54"/>
      <c r="H569" s="54"/>
      <c r="I569" s="7"/>
      <c r="J569" s="9"/>
      <c r="K569" s="21"/>
      <c r="L569" s="77"/>
      <c r="M569" s="77"/>
      <c r="N569" s="77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9"/>
      <c r="Z569" s="79"/>
      <c r="AA569" s="79"/>
    </row>
    <row r="570" spans="1:27" ht="99" customHeight="1" x14ac:dyDescent="0.25">
      <c r="A570" s="79"/>
      <c r="B570" s="79"/>
      <c r="C570" s="80"/>
      <c r="D570" s="80"/>
      <c r="E570" s="80"/>
      <c r="F570" s="6"/>
      <c r="G570" s="54"/>
      <c r="H570" s="54"/>
      <c r="I570" s="7"/>
      <c r="J570" s="9"/>
      <c r="K570" s="21"/>
      <c r="L570" s="77"/>
      <c r="M570" s="77"/>
      <c r="N570" s="77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9"/>
      <c r="Z570" s="79"/>
      <c r="AA570" s="79"/>
    </row>
    <row r="571" spans="1:27" ht="99" customHeight="1" x14ac:dyDescent="0.25">
      <c r="A571" s="79"/>
      <c r="B571" s="79"/>
      <c r="C571" s="80"/>
      <c r="D571" s="80"/>
      <c r="E571" s="80"/>
      <c r="F571" s="6"/>
      <c r="G571" s="54"/>
      <c r="H571" s="54"/>
      <c r="I571" s="7"/>
      <c r="J571" s="9"/>
      <c r="K571" s="21"/>
      <c r="L571" s="77"/>
      <c r="M571" s="77"/>
      <c r="N571" s="77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9"/>
      <c r="Z571" s="79"/>
      <c r="AA571" s="79"/>
    </row>
    <row r="572" spans="1:27" ht="99" customHeight="1" x14ac:dyDescent="0.25">
      <c r="A572" s="79"/>
      <c r="B572" s="79"/>
      <c r="C572" s="80"/>
      <c r="D572" s="80"/>
      <c r="E572" s="80"/>
      <c r="F572" s="6"/>
      <c r="G572" s="54"/>
      <c r="H572" s="54"/>
      <c r="I572" s="7"/>
      <c r="J572" s="9"/>
      <c r="K572" s="21"/>
      <c r="L572" s="77"/>
      <c r="M572" s="77"/>
      <c r="N572" s="77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9"/>
      <c r="Z572" s="79"/>
      <c r="AA572" s="79"/>
    </row>
    <row r="573" spans="1:27" ht="99" customHeight="1" x14ac:dyDescent="0.25">
      <c r="A573" s="79"/>
      <c r="B573" s="79"/>
      <c r="C573" s="80"/>
      <c r="D573" s="80"/>
      <c r="E573" s="80"/>
      <c r="F573" s="6"/>
      <c r="G573" s="54"/>
      <c r="H573" s="54"/>
      <c r="I573" s="7"/>
      <c r="J573" s="9"/>
      <c r="K573" s="21"/>
      <c r="L573" s="77"/>
      <c r="M573" s="77"/>
      <c r="N573" s="77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9"/>
      <c r="Z573" s="79"/>
      <c r="AA573" s="79"/>
    </row>
    <row r="574" spans="1:27" ht="99" customHeight="1" x14ac:dyDescent="0.25">
      <c r="A574" s="79"/>
      <c r="B574" s="79"/>
      <c r="C574" s="80"/>
      <c r="D574" s="80"/>
      <c r="E574" s="80"/>
      <c r="F574" s="6"/>
      <c r="G574" s="54"/>
      <c r="H574" s="54"/>
      <c r="I574" s="7"/>
      <c r="J574" s="9"/>
      <c r="K574" s="21"/>
      <c r="L574" s="77"/>
      <c r="M574" s="77"/>
      <c r="N574" s="77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9"/>
      <c r="Z574" s="79"/>
      <c r="AA574" s="79"/>
    </row>
    <row r="575" spans="1:27" ht="99" customHeight="1" x14ac:dyDescent="0.25">
      <c r="A575" s="79"/>
      <c r="B575" s="79"/>
      <c r="C575" s="80"/>
      <c r="D575" s="80"/>
      <c r="E575" s="80"/>
      <c r="F575" s="6"/>
      <c r="G575" s="54"/>
      <c r="H575" s="54"/>
      <c r="I575" s="7"/>
      <c r="J575" s="9"/>
      <c r="K575" s="21"/>
      <c r="L575" s="77"/>
      <c r="M575" s="77"/>
      <c r="N575" s="77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9"/>
      <c r="Z575" s="79"/>
      <c r="AA575" s="79"/>
    </row>
    <row r="576" spans="1:27" ht="99" customHeight="1" x14ac:dyDescent="0.25">
      <c r="A576" s="79"/>
      <c r="B576" s="79"/>
      <c r="C576" s="80"/>
      <c r="D576" s="80"/>
      <c r="E576" s="80"/>
      <c r="F576" s="6"/>
      <c r="G576" s="54"/>
      <c r="H576" s="54"/>
      <c r="I576" s="7"/>
      <c r="J576" s="9"/>
      <c r="K576" s="21"/>
      <c r="L576" s="77"/>
      <c r="M576" s="77"/>
      <c r="N576" s="77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9"/>
      <c r="Z576" s="79"/>
      <c r="AA576" s="79"/>
    </row>
    <row r="577" spans="1:27" ht="99" customHeight="1" x14ac:dyDescent="0.25">
      <c r="A577" s="79"/>
      <c r="B577" s="79"/>
      <c r="C577" s="80"/>
      <c r="D577" s="80"/>
      <c r="E577" s="80"/>
      <c r="F577" s="6"/>
      <c r="G577" s="54"/>
      <c r="H577" s="54"/>
      <c r="I577" s="7"/>
      <c r="J577" s="9"/>
      <c r="K577" s="21"/>
      <c r="L577" s="77"/>
      <c r="M577" s="77"/>
      <c r="N577" s="77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9"/>
      <c r="Z577" s="79"/>
      <c r="AA577" s="79"/>
    </row>
    <row r="578" spans="1:27" ht="99" customHeight="1" x14ac:dyDescent="0.25">
      <c r="A578" s="79"/>
      <c r="B578" s="79"/>
      <c r="C578" s="80"/>
      <c r="D578" s="80"/>
      <c r="E578" s="80"/>
      <c r="F578" s="6"/>
      <c r="G578" s="54"/>
      <c r="H578" s="54"/>
      <c r="I578" s="7"/>
      <c r="J578" s="9"/>
      <c r="K578" s="21"/>
      <c r="L578" s="77"/>
      <c r="M578" s="77"/>
      <c r="N578" s="77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9"/>
      <c r="Z578" s="79"/>
      <c r="AA578" s="79"/>
    </row>
    <row r="579" spans="1:27" ht="99" customHeight="1" x14ac:dyDescent="0.25">
      <c r="A579" s="79"/>
      <c r="B579" s="79"/>
      <c r="C579" s="80"/>
      <c r="D579" s="80"/>
      <c r="E579" s="80"/>
      <c r="F579" s="6"/>
      <c r="G579" s="54"/>
      <c r="H579" s="54"/>
      <c r="I579" s="7"/>
      <c r="J579" s="9"/>
      <c r="K579" s="21"/>
      <c r="L579" s="77"/>
      <c r="M579" s="77"/>
      <c r="N579" s="77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9"/>
      <c r="Z579" s="79"/>
      <c r="AA579" s="79"/>
    </row>
    <row r="580" spans="1:27" ht="99" customHeight="1" x14ac:dyDescent="0.25">
      <c r="A580" s="79"/>
      <c r="B580" s="79"/>
      <c r="C580" s="80"/>
      <c r="D580" s="80"/>
      <c r="E580" s="80"/>
      <c r="F580" s="6"/>
      <c r="G580" s="54"/>
      <c r="H580" s="54"/>
      <c r="I580" s="7"/>
      <c r="J580" s="9"/>
      <c r="K580" s="21"/>
      <c r="L580" s="77"/>
      <c r="M580" s="77"/>
      <c r="N580" s="77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9"/>
      <c r="Z580" s="79"/>
      <c r="AA580" s="79"/>
    </row>
    <row r="581" spans="1:27" ht="99" customHeight="1" x14ac:dyDescent="0.25">
      <c r="A581" s="79"/>
      <c r="B581" s="79"/>
      <c r="C581" s="80"/>
      <c r="D581" s="80"/>
      <c r="E581" s="80"/>
      <c r="F581" s="6"/>
      <c r="G581" s="54"/>
      <c r="H581" s="54"/>
      <c r="I581" s="7"/>
      <c r="J581" s="9"/>
      <c r="K581" s="21"/>
      <c r="L581" s="77"/>
      <c r="M581" s="77"/>
      <c r="N581" s="77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9"/>
      <c r="Z581" s="79"/>
      <c r="AA581" s="79"/>
    </row>
    <row r="582" spans="1:27" ht="99" customHeight="1" x14ac:dyDescent="0.25">
      <c r="A582" s="79"/>
      <c r="B582" s="79"/>
      <c r="C582" s="80"/>
      <c r="D582" s="80"/>
      <c r="E582" s="80"/>
      <c r="F582" s="6"/>
      <c r="G582" s="54"/>
      <c r="H582" s="54"/>
      <c r="I582" s="7"/>
      <c r="J582" s="9"/>
      <c r="K582" s="21"/>
      <c r="L582" s="77"/>
      <c r="M582" s="77"/>
      <c r="N582" s="77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9"/>
      <c r="Z582" s="79"/>
      <c r="AA582" s="79"/>
    </row>
    <row r="583" spans="1:27" ht="99" customHeight="1" x14ac:dyDescent="0.25">
      <c r="A583" s="79"/>
      <c r="B583" s="79"/>
      <c r="C583" s="80"/>
      <c r="D583" s="80"/>
      <c r="E583" s="80"/>
      <c r="F583" s="6"/>
      <c r="G583" s="54"/>
      <c r="H583" s="54"/>
      <c r="I583" s="7"/>
      <c r="J583" s="9"/>
      <c r="K583" s="21"/>
      <c r="L583" s="77"/>
      <c r="M583" s="77"/>
      <c r="N583" s="77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9"/>
      <c r="Z583" s="79"/>
      <c r="AA583" s="79"/>
    </row>
    <row r="584" spans="1:27" ht="99" customHeight="1" x14ac:dyDescent="0.25">
      <c r="A584" s="79"/>
      <c r="B584" s="79"/>
      <c r="C584" s="80"/>
      <c r="D584" s="80"/>
      <c r="E584" s="80"/>
      <c r="F584" s="6"/>
      <c r="G584" s="54"/>
      <c r="H584" s="54"/>
      <c r="I584" s="7"/>
      <c r="J584" s="9"/>
      <c r="K584" s="21"/>
      <c r="L584" s="77"/>
      <c r="M584" s="77"/>
      <c r="N584" s="77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9"/>
      <c r="Z584" s="79"/>
      <c r="AA584" s="79"/>
    </row>
    <row r="585" spans="1:27" ht="99" customHeight="1" x14ac:dyDescent="0.25">
      <c r="A585" s="79"/>
      <c r="B585" s="79"/>
      <c r="C585" s="80"/>
      <c r="D585" s="80"/>
      <c r="E585" s="80"/>
      <c r="F585" s="6"/>
      <c r="G585" s="54"/>
      <c r="H585" s="54"/>
      <c r="I585" s="7"/>
      <c r="J585" s="9"/>
      <c r="K585" s="21"/>
      <c r="L585" s="77"/>
      <c r="M585" s="77"/>
      <c r="N585" s="77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9"/>
      <c r="Z585" s="79"/>
      <c r="AA585" s="79"/>
    </row>
    <row r="586" spans="1:27" ht="99" customHeight="1" x14ac:dyDescent="0.25">
      <c r="A586" s="79"/>
      <c r="B586" s="79"/>
      <c r="C586" s="80"/>
      <c r="D586" s="80"/>
      <c r="E586" s="80"/>
      <c r="F586" s="6"/>
      <c r="G586" s="54"/>
      <c r="H586" s="54"/>
      <c r="I586" s="7"/>
      <c r="J586" s="9"/>
      <c r="K586" s="21"/>
      <c r="L586" s="77"/>
      <c r="M586" s="77"/>
      <c r="N586" s="77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9"/>
      <c r="Z586" s="79"/>
      <c r="AA586" s="79"/>
    </row>
    <row r="587" spans="1:27" ht="99" customHeight="1" x14ac:dyDescent="0.25">
      <c r="A587" s="79"/>
      <c r="B587" s="79"/>
      <c r="C587" s="80"/>
      <c r="D587" s="80"/>
      <c r="E587" s="80"/>
      <c r="F587" s="6"/>
      <c r="G587" s="54"/>
      <c r="H587" s="54"/>
      <c r="I587" s="7"/>
      <c r="J587" s="9"/>
      <c r="K587" s="21"/>
      <c r="L587" s="77"/>
      <c r="M587" s="77"/>
      <c r="N587" s="77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9"/>
      <c r="Z587" s="79"/>
      <c r="AA587" s="79"/>
    </row>
    <row r="588" spans="1:27" ht="99" customHeight="1" x14ac:dyDescent="0.25">
      <c r="A588" s="79"/>
      <c r="B588" s="79"/>
      <c r="C588" s="80"/>
      <c r="D588" s="80"/>
      <c r="E588" s="80"/>
      <c r="F588" s="6"/>
      <c r="G588" s="54"/>
      <c r="H588" s="54"/>
      <c r="I588" s="7"/>
      <c r="J588" s="9"/>
      <c r="K588" s="21"/>
      <c r="L588" s="77"/>
      <c r="M588" s="77"/>
      <c r="N588" s="77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9"/>
      <c r="Z588" s="79"/>
      <c r="AA588" s="79"/>
    </row>
    <row r="589" spans="1:27" ht="99" customHeight="1" x14ac:dyDescent="0.25">
      <c r="A589" s="79"/>
      <c r="B589" s="79"/>
      <c r="C589" s="80"/>
      <c r="D589" s="80"/>
      <c r="E589" s="80"/>
      <c r="F589" s="6"/>
      <c r="G589" s="54"/>
      <c r="H589" s="54"/>
      <c r="I589" s="7"/>
      <c r="J589" s="9"/>
      <c r="K589" s="21"/>
      <c r="L589" s="77"/>
      <c r="M589" s="77"/>
      <c r="N589" s="77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9"/>
      <c r="Z589" s="79"/>
      <c r="AA589" s="79"/>
    </row>
    <row r="590" spans="1:27" ht="99" customHeight="1" x14ac:dyDescent="0.25">
      <c r="A590" s="79"/>
      <c r="B590" s="79"/>
      <c r="C590" s="80"/>
      <c r="D590" s="80"/>
      <c r="E590" s="80"/>
      <c r="F590" s="6"/>
      <c r="G590" s="54"/>
      <c r="H590" s="54"/>
      <c r="I590" s="7"/>
      <c r="J590" s="9"/>
      <c r="K590" s="21"/>
      <c r="L590" s="77"/>
      <c r="M590" s="77"/>
      <c r="N590" s="77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9"/>
      <c r="Z590" s="79"/>
      <c r="AA590" s="79"/>
    </row>
    <row r="591" spans="1:27" ht="99" customHeight="1" x14ac:dyDescent="0.25">
      <c r="A591" s="79"/>
      <c r="B591" s="79"/>
      <c r="C591" s="80"/>
      <c r="D591" s="80"/>
      <c r="E591" s="80"/>
      <c r="F591" s="6"/>
      <c r="G591" s="54"/>
      <c r="H591" s="54"/>
      <c r="I591" s="7"/>
      <c r="J591" s="9"/>
      <c r="K591" s="21"/>
      <c r="L591" s="77"/>
      <c r="M591" s="77"/>
      <c r="N591" s="77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9"/>
      <c r="Z591" s="79"/>
      <c r="AA591" s="79"/>
    </row>
    <row r="592" spans="1:27" ht="99" customHeight="1" x14ac:dyDescent="0.25">
      <c r="A592" s="79"/>
      <c r="B592" s="79"/>
      <c r="C592" s="80"/>
      <c r="D592" s="80"/>
      <c r="E592" s="80"/>
      <c r="F592" s="6"/>
      <c r="G592" s="54"/>
      <c r="H592" s="54"/>
      <c r="I592" s="7"/>
      <c r="J592" s="9"/>
      <c r="K592" s="21"/>
      <c r="L592" s="77"/>
      <c r="M592" s="77"/>
      <c r="N592" s="77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9"/>
      <c r="Z592" s="79"/>
      <c r="AA592" s="79"/>
    </row>
    <row r="593" spans="1:27" ht="99" customHeight="1" x14ac:dyDescent="0.25">
      <c r="A593" s="79"/>
      <c r="B593" s="79"/>
      <c r="C593" s="80"/>
      <c r="D593" s="80"/>
      <c r="E593" s="80"/>
      <c r="F593" s="6"/>
      <c r="G593" s="54"/>
      <c r="H593" s="54"/>
      <c r="I593" s="7"/>
      <c r="J593" s="9"/>
      <c r="K593" s="21"/>
      <c r="L593" s="77"/>
      <c r="M593" s="77"/>
      <c r="N593" s="77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9"/>
      <c r="Z593" s="79"/>
      <c r="AA593" s="79"/>
    </row>
    <row r="594" spans="1:27" ht="99" customHeight="1" x14ac:dyDescent="0.25">
      <c r="A594" s="79"/>
      <c r="B594" s="79"/>
      <c r="C594" s="80"/>
      <c r="D594" s="80"/>
      <c r="E594" s="80"/>
      <c r="F594" s="6"/>
      <c r="G594" s="54"/>
      <c r="H594" s="54"/>
      <c r="I594" s="7"/>
      <c r="J594" s="9"/>
      <c r="K594" s="21"/>
      <c r="L594" s="77"/>
      <c r="M594" s="77"/>
      <c r="N594" s="77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9"/>
      <c r="Z594" s="79"/>
      <c r="AA594" s="79"/>
    </row>
    <row r="595" spans="1:27" ht="99" customHeight="1" x14ac:dyDescent="0.25">
      <c r="A595" s="79"/>
      <c r="B595" s="79"/>
      <c r="C595" s="80"/>
      <c r="D595" s="80"/>
      <c r="E595" s="80"/>
      <c r="F595" s="6"/>
      <c r="G595" s="54"/>
      <c r="H595" s="54"/>
      <c r="I595" s="7"/>
      <c r="J595" s="9"/>
      <c r="K595" s="21"/>
      <c r="L595" s="77"/>
      <c r="M595" s="77"/>
      <c r="N595" s="77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9"/>
      <c r="Z595" s="79"/>
      <c r="AA595" s="79"/>
    </row>
    <row r="596" spans="1:27" ht="99" customHeight="1" x14ac:dyDescent="0.25">
      <c r="A596" s="79"/>
      <c r="B596" s="79"/>
      <c r="C596" s="80"/>
      <c r="D596" s="80"/>
      <c r="E596" s="80"/>
      <c r="F596" s="6"/>
      <c r="G596" s="54"/>
      <c r="H596" s="54"/>
      <c r="I596" s="7"/>
      <c r="J596" s="9"/>
      <c r="K596" s="21"/>
      <c r="L596" s="77"/>
      <c r="M596" s="77"/>
      <c r="N596" s="77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9"/>
      <c r="Z596" s="79"/>
      <c r="AA596" s="79"/>
    </row>
    <row r="597" spans="1:27" ht="99" customHeight="1" x14ac:dyDescent="0.25">
      <c r="A597" s="79"/>
      <c r="B597" s="79"/>
      <c r="C597" s="80"/>
      <c r="D597" s="80"/>
      <c r="E597" s="80"/>
      <c r="F597" s="6"/>
      <c r="G597" s="54"/>
      <c r="H597" s="54"/>
      <c r="I597" s="7"/>
      <c r="J597" s="9"/>
      <c r="K597" s="21"/>
      <c r="L597" s="77"/>
      <c r="M597" s="77"/>
      <c r="N597" s="77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9"/>
      <c r="Z597" s="79"/>
      <c r="AA597" s="79"/>
    </row>
    <row r="598" spans="1:27" ht="99" customHeight="1" x14ac:dyDescent="0.25">
      <c r="A598" s="79"/>
      <c r="B598" s="79"/>
      <c r="C598" s="80"/>
      <c r="D598" s="80"/>
      <c r="E598" s="80"/>
      <c r="F598" s="6"/>
      <c r="G598" s="54"/>
      <c r="H598" s="54"/>
      <c r="I598" s="7"/>
      <c r="J598" s="9"/>
      <c r="K598" s="21"/>
      <c r="L598" s="77"/>
      <c r="M598" s="77"/>
      <c r="N598" s="77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9"/>
      <c r="Z598" s="79"/>
      <c r="AA598" s="79"/>
    </row>
    <row r="599" spans="1:27" ht="99" customHeight="1" x14ac:dyDescent="0.25">
      <c r="A599" s="79"/>
      <c r="B599" s="79"/>
      <c r="C599" s="80"/>
      <c r="D599" s="80"/>
      <c r="E599" s="80"/>
      <c r="F599" s="6"/>
      <c r="G599" s="54"/>
      <c r="H599" s="54"/>
      <c r="I599" s="7"/>
      <c r="J599" s="9"/>
      <c r="K599" s="21"/>
      <c r="L599" s="77"/>
      <c r="M599" s="77"/>
      <c r="N599" s="77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9"/>
      <c r="Z599" s="79"/>
      <c r="AA599" s="79"/>
    </row>
    <row r="600" spans="1:27" ht="99" customHeight="1" x14ac:dyDescent="0.25">
      <c r="A600" s="79"/>
      <c r="B600" s="79"/>
      <c r="C600" s="80"/>
      <c r="D600" s="80"/>
      <c r="E600" s="80"/>
      <c r="F600" s="6"/>
      <c r="G600" s="54"/>
      <c r="H600" s="54"/>
      <c r="I600" s="7"/>
      <c r="J600" s="9"/>
      <c r="K600" s="21"/>
      <c r="L600" s="77"/>
      <c r="M600" s="77"/>
      <c r="N600" s="77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9"/>
      <c r="Z600" s="79"/>
      <c r="AA600" s="79"/>
    </row>
    <row r="601" spans="1:27" ht="99" customHeight="1" x14ac:dyDescent="0.25">
      <c r="A601" s="79"/>
      <c r="B601" s="79"/>
      <c r="C601" s="80"/>
      <c r="D601" s="80"/>
      <c r="E601" s="80"/>
      <c r="F601" s="6"/>
      <c r="G601" s="54"/>
      <c r="H601" s="54"/>
      <c r="I601" s="7"/>
      <c r="J601" s="9"/>
      <c r="K601" s="21"/>
      <c r="L601" s="77"/>
      <c r="M601" s="77"/>
      <c r="N601" s="77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9"/>
      <c r="Z601" s="79"/>
      <c r="AA601" s="79"/>
    </row>
    <row r="602" spans="1:27" ht="99" customHeight="1" x14ac:dyDescent="0.25">
      <c r="A602" s="79"/>
      <c r="B602" s="79"/>
      <c r="C602" s="80"/>
      <c r="D602" s="80"/>
      <c r="E602" s="80"/>
      <c r="F602" s="6"/>
      <c r="G602" s="54"/>
      <c r="H602" s="54"/>
      <c r="I602" s="7"/>
      <c r="J602" s="9"/>
      <c r="K602" s="21"/>
      <c r="L602" s="77"/>
      <c r="M602" s="77"/>
      <c r="N602" s="77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9"/>
      <c r="Z602" s="79"/>
      <c r="AA602" s="79"/>
    </row>
    <row r="603" spans="1:27" ht="99" customHeight="1" x14ac:dyDescent="0.25">
      <c r="A603" s="79"/>
      <c r="B603" s="79"/>
      <c r="C603" s="80"/>
      <c r="D603" s="80"/>
      <c r="E603" s="80"/>
      <c r="F603" s="6"/>
      <c r="G603" s="54"/>
      <c r="H603" s="54"/>
      <c r="I603" s="7"/>
      <c r="J603" s="9"/>
      <c r="K603" s="21"/>
      <c r="L603" s="77"/>
      <c r="M603" s="77"/>
      <c r="N603" s="77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9"/>
      <c r="Z603" s="79"/>
      <c r="AA603" s="79"/>
    </row>
    <row r="604" spans="1:27" ht="99" customHeight="1" x14ac:dyDescent="0.25">
      <c r="A604" s="79"/>
      <c r="B604" s="79"/>
      <c r="C604" s="80"/>
      <c r="D604" s="80"/>
      <c r="E604" s="80"/>
      <c r="F604" s="6"/>
      <c r="G604" s="54"/>
      <c r="H604" s="54"/>
      <c r="I604" s="7"/>
      <c r="J604" s="9"/>
      <c r="K604" s="21"/>
      <c r="L604" s="77"/>
      <c r="M604" s="77"/>
      <c r="N604" s="77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9"/>
      <c r="Z604" s="79"/>
      <c r="AA604" s="79"/>
    </row>
    <row r="605" spans="1:27" ht="99" customHeight="1" x14ac:dyDescent="0.25">
      <c r="A605" s="79"/>
      <c r="B605" s="79"/>
      <c r="C605" s="80"/>
      <c r="D605" s="80"/>
      <c r="E605" s="80"/>
      <c r="F605" s="6"/>
      <c r="G605" s="54"/>
      <c r="H605" s="54"/>
      <c r="I605" s="7"/>
      <c r="J605" s="9"/>
      <c r="K605" s="21"/>
      <c r="L605" s="77"/>
      <c r="M605" s="77"/>
      <c r="N605" s="77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9"/>
      <c r="Z605" s="79"/>
      <c r="AA605" s="79"/>
    </row>
    <row r="606" spans="1:27" ht="99" customHeight="1" x14ac:dyDescent="0.25">
      <c r="A606" s="79"/>
      <c r="B606" s="79"/>
      <c r="C606" s="80"/>
      <c r="D606" s="80"/>
      <c r="E606" s="80"/>
      <c r="F606" s="6"/>
      <c r="G606" s="54"/>
      <c r="H606" s="54"/>
      <c r="I606" s="7"/>
      <c r="J606" s="9"/>
      <c r="K606" s="21"/>
      <c r="L606" s="77"/>
      <c r="M606" s="77"/>
      <c r="N606" s="77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9"/>
      <c r="Z606" s="79"/>
      <c r="AA606" s="79"/>
    </row>
    <row r="607" spans="1:27" ht="99" customHeight="1" x14ac:dyDescent="0.25">
      <c r="A607" s="79"/>
      <c r="B607" s="79"/>
      <c r="C607" s="80"/>
      <c r="D607" s="80"/>
      <c r="E607" s="80"/>
      <c r="F607" s="6"/>
      <c r="G607" s="54"/>
      <c r="H607" s="54"/>
      <c r="I607" s="7"/>
      <c r="J607" s="9"/>
      <c r="K607" s="21"/>
      <c r="L607" s="77"/>
      <c r="M607" s="77"/>
      <c r="N607" s="77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9"/>
      <c r="Z607" s="79"/>
      <c r="AA607" s="79"/>
    </row>
    <row r="608" spans="1:27" ht="99" customHeight="1" x14ac:dyDescent="0.25">
      <c r="A608" s="79"/>
      <c r="B608" s="79"/>
      <c r="C608" s="80"/>
      <c r="D608" s="80"/>
      <c r="E608" s="80"/>
      <c r="F608" s="6"/>
      <c r="G608" s="54"/>
      <c r="H608" s="54"/>
      <c r="I608" s="7"/>
      <c r="J608" s="9"/>
      <c r="K608" s="21"/>
      <c r="L608" s="77"/>
      <c r="M608" s="77"/>
      <c r="N608" s="77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9"/>
      <c r="Z608" s="79"/>
      <c r="AA608" s="79"/>
    </row>
    <row r="609" spans="1:27" ht="99" customHeight="1" x14ac:dyDescent="0.25">
      <c r="A609" s="79"/>
      <c r="B609" s="79"/>
      <c r="C609" s="80"/>
      <c r="D609" s="80"/>
      <c r="E609" s="80"/>
      <c r="F609" s="6"/>
      <c r="G609" s="54"/>
      <c r="H609" s="54"/>
      <c r="I609" s="7"/>
      <c r="J609" s="9"/>
      <c r="K609" s="21"/>
      <c r="L609" s="77"/>
      <c r="M609" s="77"/>
      <c r="N609" s="77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9"/>
      <c r="Z609" s="79"/>
      <c r="AA609" s="79"/>
    </row>
    <row r="610" spans="1:27" ht="99" customHeight="1" x14ac:dyDescent="0.25">
      <c r="A610" s="79"/>
      <c r="B610" s="79"/>
      <c r="C610" s="80"/>
      <c r="D610" s="80"/>
      <c r="E610" s="80"/>
      <c r="F610" s="6"/>
      <c r="G610" s="54"/>
      <c r="H610" s="54"/>
      <c r="I610" s="7"/>
      <c r="J610" s="9"/>
      <c r="K610" s="21"/>
      <c r="L610" s="77"/>
      <c r="M610" s="77"/>
      <c r="N610" s="77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9"/>
      <c r="Z610" s="79"/>
      <c r="AA610" s="79"/>
    </row>
    <row r="611" spans="1:27" ht="99" customHeight="1" x14ac:dyDescent="0.25">
      <c r="A611" s="79"/>
      <c r="B611" s="79"/>
      <c r="C611" s="80"/>
      <c r="D611" s="80"/>
      <c r="E611" s="80"/>
      <c r="F611" s="6"/>
      <c r="G611" s="54"/>
      <c r="H611" s="54"/>
      <c r="I611" s="7"/>
      <c r="J611" s="9"/>
      <c r="K611" s="21"/>
      <c r="L611" s="77"/>
      <c r="M611" s="77"/>
      <c r="N611" s="77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9"/>
      <c r="Z611" s="79"/>
      <c r="AA611" s="79"/>
    </row>
    <row r="612" spans="1:27" ht="99" customHeight="1" x14ac:dyDescent="0.25">
      <c r="A612" s="79"/>
      <c r="B612" s="79"/>
      <c r="C612" s="80"/>
      <c r="D612" s="80"/>
      <c r="E612" s="80"/>
      <c r="F612" s="6"/>
      <c r="G612" s="54"/>
      <c r="H612" s="54"/>
      <c r="I612" s="7"/>
      <c r="J612" s="9"/>
      <c r="K612" s="21"/>
      <c r="L612" s="77"/>
      <c r="M612" s="77"/>
      <c r="N612" s="77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9"/>
      <c r="Z612" s="79"/>
      <c r="AA612" s="79"/>
    </row>
    <row r="613" spans="1:27" ht="99" customHeight="1" x14ac:dyDescent="0.25">
      <c r="A613" s="79"/>
      <c r="B613" s="79"/>
      <c r="C613" s="80"/>
      <c r="D613" s="80"/>
      <c r="E613" s="80"/>
      <c r="F613" s="6"/>
      <c r="G613" s="54"/>
      <c r="H613" s="54"/>
      <c r="I613" s="7"/>
      <c r="J613" s="9"/>
      <c r="K613" s="21"/>
      <c r="L613" s="77"/>
      <c r="M613" s="77"/>
      <c r="N613" s="77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9"/>
      <c r="Z613" s="79"/>
      <c r="AA613" s="79"/>
    </row>
    <row r="614" spans="1:27" ht="99" customHeight="1" x14ac:dyDescent="0.25">
      <c r="A614" s="79"/>
      <c r="B614" s="79"/>
      <c r="C614" s="80"/>
      <c r="D614" s="80"/>
      <c r="E614" s="80"/>
      <c r="F614" s="6"/>
      <c r="G614" s="54"/>
      <c r="H614" s="54"/>
      <c r="I614" s="7"/>
      <c r="J614" s="9"/>
      <c r="K614" s="21"/>
      <c r="L614" s="77"/>
      <c r="M614" s="77"/>
      <c r="N614" s="77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9"/>
      <c r="Z614" s="79"/>
      <c r="AA614" s="79"/>
    </row>
    <row r="615" spans="1:27" ht="99" customHeight="1" x14ac:dyDescent="0.25">
      <c r="A615" s="79"/>
      <c r="B615" s="79"/>
      <c r="C615" s="80"/>
      <c r="D615" s="80"/>
      <c r="E615" s="80"/>
      <c r="F615" s="6"/>
      <c r="G615" s="54"/>
      <c r="H615" s="54"/>
      <c r="I615" s="7"/>
      <c r="J615" s="9"/>
      <c r="K615" s="21"/>
      <c r="L615" s="77"/>
      <c r="M615" s="77"/>
      <c r="N615" s="77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9"/>
      <c r="Z615" s="79"/>
      <c r="AA615" s="79"/>
    </row>
    <row r="616" spans="1:27" ht="99" customHeight="1" x14ac:dyDescent="0.25">
      <c r="A616" s="79"/>
      <c r="B616" s="79"/>
      <c r="C616" s="80"/>
      <c r="D616" s="80"/>
      <c r="E616" s="80"/>
      <c r="F616" s="6"/>
      <c r="G616" s="54"/>
      <c r="H616" s="54"/>
      <c r="I616" s="7"/>
      <c r="J616" s="9"/>
      <c r="K616" s="21"/>
      <c r="L616" s="77"/>
      <c r="M616" s="77"/>
      <c r="N616" s="77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9"/>
      <c r="Z616" s="79"/>
      <c r="AA616" s="79"/>
    </row>
    <row r="617" spans="1:27" ht="99" customHeight="1" x14ac:dyDescent="0.25">
      <c r="A617" s="79"/>
      <c r="B617" s="79"/>
      <c r="C617" s="80"/>
      <c r="D617" s="80"/>
      <c r="E617" s="80"/>
      <c r="F617" s="6"/>
      <c r="G617" s="54"/>
      <c r="H617" s="54"/>
      <c r="I617" s="7"/>
      <c r="J617" s="9"/>
      <c r="K617" s="21"/>
      <c r="L617" s="77"/>
      <c r="M617" s="77"/>
      <c r="N617" s="77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9"/>
      <c r="Z617" s="79"/>
      <c r="AA617" s="79"/>
    </row>
    <row r="618" spans="1:27" ht="99" customHeight="1" x14ac:dyDescent="0.25">
      <c r="A618" s="79"/>
      <c r="B618" s="79"/>
      <c r="C618" s="80"/>
      <c r="D618" s="80"/>
      <c r="E618" s="80"/>
      <c r="F618" s="6"/>
      <c r="G618" s="54"/>
      <c r="H618" s="54"/>
      <c r="I618" s="7"/>
      <c r="J618" s="9"/>
      <c r="K618" s="21"/>
      <c r="L618" s="77"/>
      <c r="M618" s="77"/>
      <c r="N618" s="77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9"/>
      <c r="Z618" s="79"/>
      <c r="AA618" s="79"/>
    </row>
    <row r="619" spans="1:27" ht="99" customHeight="1" x14ac:dyDescent="0.25">
      <c r="A619" s="79"/>
      <c r="B619" s="79"/>
      <c r="C619" s="80"/>
      <c r="D619" s="80"/>
      <c r="E619" s="80"/>
      <c r="F619" s="6"/>
      <c r="G619" s="54"/>
      <c r="H619" s="54"/>
      <c r="I619" s="7"/>
      <c r="J619" s="9"/>
      <c r="K619" s="21"/>
      <c r="L619" s="77"/>
      <c r="M619" s="77"/>
      <c r="N619" s="77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9"/>
      <c r="Z619" s="79"/>
      <c r="AA619" s="79"/>
    </row>
    <row r="620" spans="1:27" ht="99" customHeight="1" x14ac:dyDescent="0.25">
      <c r="A620" s="79"/>
      <c r="B620" s="79"/>
      <c r="C620" s="80"/>
      <c r="D620" s="80"/>
      <c r="E620" s="80"/>
      <c r="F620" s="6"/>
      <c r="G620" s="54"/>
      <c r="H620" s="54"/>
      <c r="I620" s="7"/>
      <c r="J620" s="9"/>
      <c r="K620" s="21"/>
      <c r="L620" s="77"/>
      <c r="M620" s="77"/>
      <c r="N620" s="77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9"/>
      <c r="Z620" s="79"/>
      <c r="AA620" s="79"/>
    </row>
    <row r="621" spans="1:27" ht="99" customHeight="1" x14ac:dyDescent="0.25">
      <c r="A621" s="79"/>
      <c r="B621" s="79"/>
      <c r="C621" s="80"/>
      <c r="D621" s="80"/>
      <c r="E621" s="80"/>
      <c r="F621" s="6"/>
      <c r="G621" s="54"/>
      <c r="H621" s="54"/>
      <c r="I621" s="7"/>
      <c r="J621" s="9"/>
      <c r="K621" s="21"/>
      <c r="L621" s="77"/>
      <c r="M621" s="77"/>
      <c r="N621" s="77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9"/>
      <c r="Z621" s="79"/>
      <c r="AA621" s="79"/>
    </row>
    <row r="622" spans="1:27" ht="99" customHeight="1" x14ac:dyDescent="0.25">
      <c r="A622" s="79"/>
      <c r="B622" s="79"/>
      <c r="C622" s="80"/>
      <c r="D622" s="80"/>
      <c r="E622" s="80"/>
      <c r="F622" s="6"/>
      <c r="G622" s="54"/>
      <c r="H622" s="54"/>
      <c r="I622" s="7"/>
      <c r="J622" s="9"/>
      <c r="K622" s="21"/>
      <c r="L622" s="77"/>
      <c r="M622" s="77"/>
      <c r="N622" s="77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9"/>
      <c r="Z622" s="79"/>
      <c r="AA622" s="79"/>
    </row>
    <row r="623" spans="1:27" ht="99" customHeight="1" x14ac:dyDescent="0.25">
      <c r="A623" s="79"/>
      <c r="B623" s="79"/>
      <c r="C623" s="80"/>
      <c r="D623" s="80"/>
      <c r="E623" s="80"/>
      <c r="F623" s="6"/>
      <c r="G623" s="54"/>
      <c r="H623" s="54"/>
      <c r="I623" s="7"/>
      <c r="J623" s="9"/>
      <c r="K623" s="21"/>
      <c r="L623" s="77"/>
      <c r="M623" s="77"/>
      <c r="N623" s="77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9"/>
      <c r="Z623" s="79"/>
      <c r="AA623" s="79"/>
    </row>
    <row r="624" spans="1:27" ht="99" customHeight="1" x14ac:dyDescent="0.25">
      <c r="A624" s="79"/>
      <c r="B624" s="79"/>
      <c r="C624" s="80"/>
      <c r="D624" s="80"/>
      <c r="E624" s="80"/>
      <c r="F624" s="6"/>
      <c r="G624" s="54"/>
      <c r="H624" s="54"/>
      <c r="I624" s="7"/>
      <c r="J624" s="9"/>
      <c r="K624" s="21"/>
      <c r="L624" s="77"/>
      <c r="M624" s="77"/>
      <c r="N624" s="77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9"/>
      <c r="Z624" s="79"/>
      <c r="AA624" s="79"/>
    </row>
    <row r="625" spans="1:27" ht="99" customHeight="1" x14ac:dyDescent="0.25">
      <c r="A625" s="79"/>
      <c r="B625" s="79"/>
      <c r="C625" s="80"/>
      <c r="D625" s="80"/>
      <c r="E625" s="80"/>
      <c r="F625" s="6"/>
      <c r="G625" s="54"/>
      <c r="H625" s="54"/>
      <c r="I625" s="7"/>
      <c r="J625" s="9"/>
      <c r="K625" s="21"/>
      <c r="L625" s="77"/>
      <c r="M625" s="77"/>
      <c r="N625" s="77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9"/>
      <c r="Z625" s="79"/>
      <c r="AA625" s="79"/>
    </row>
    <row r="626" spans="1:27" ht="99" customHeight="1" x14ac:dyDescent="0.25">
      <c r="A626" s="79"/>
      <c r="B626" s="79"/>
      <c r="C626" s="80"/>
      <c r="D626" s="80"/>
      <c r="E626" s="80"/>
      <c r="F626" s="6"/>
      <c r="G626" s="54"/>
      <c r="H626" s="54"/>
      <c r="I626" s="7"/>
      <c r="J626" s="9"/>
      <c r="K626" s="21"/>
      <c r="L626" s="77"/>
      <c r="M626" s="77"/>
      <c r="N626" s="77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9"/>
      <c r="Z626" s="79"/>
      <c r="AA626" s="79"/>
    </row>
    <row r="627" spans="1:27" ht="99" customHeight="1" x14ac:dyDescent="0.25">
      <c r="A627" s="79"/>
      <c r="B627" s="79"/>
      <c r="C627" s="80"/>
      <c r="D627" s="80"/>
      <c r="E627" s="80"/>
      <c r="F627" s="6"/>
      <c r="G627" s="54"/>
      <c r="H627" s="54"/>
      <c r="I627" s="7"/>
      <c r="J627" s="9"/>
      <c r="K627" s="21"/>
      <c r="L627" s="77"/>
      <c r="M627" s="77"/>
      <c r="N627" s="77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9"/>
      <c r="Z627" s="79"/>
      <c r="AA627" s="79"/>
    </row>
    <row r="628" spans="1:27" ht="99" customHeight="1" x14ac:dyDescent="0.25">
      <c r="A628" s="79"/>
      <c r="B628" s="79"/>
      <c r="C628" s="80"/>
      <c r="D628" s="80"/>
      <c r="E628" s="80"/>
      <c r="F628" s="6"/>
      <c r="G628" s="54"/>
      <c r="H628" s="54"/>
      <c r="I628" s="7"/>
      <c r="J628" s="9"/>
      <c r="K628" s="21"/>
      <c r="L628" s="77"/>
      <c r="M628" s="77"/>
      <c r="N628" s="77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9"/>
      <c r="Z628" s="79"/>
      <c r="AA628" s="79"/>
    </row>
    <row r="629" spans="1:27" ht="99" customHeight="1" x14ac:dyDescent="0.25">
      <c r="A629" s="79"/>
      <c r="B629" s="79"/>
      <c r="C629" s="80"/>
      <c r="D629" s="80"/>
      <c r="E629" s="80"/>
      <c r="F629" s="6"/>
      <c r="G629" s="54"/>
      <c r="H629" s="54"/>
      <c r="I629" s="7"/>
      <c r="J629" s="9"/>
      <c r="K629" s="21"/>
      <c r="L629" s="77"/>
      <c r="M629" s="77"/>
      <c r="N629" s="77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9"/>
      <c r="Z629" s="79"/>
      <c r="AA629" s="79"/>
    </row>
    <row r="630" spans="1:27" ht="99" customHeight="1" x14ac:dyDescent="0.25">
      <c r="A630" s="79"/>
      <c r="B630" s="79"/>
      <c r="C630" s="80"/>
      <c r="D630" s="80"/>
      <c r="E630" s="80"/>
      <c r="F630" s="6"/>
      <c r="G630" s="54"/>
      <c r="H630" s="54"/>
      <c r="I630" s="7"/>
      <c r="J630" s="9"/>
      <c r="K630" s="21"/>
      <c r="L630" s="77"/>
      <c r="M630" s="77"/>
      <c r="N630" s="77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9"/>
      <c r="Z630" s="79"/>
      <c r="AA630" s="79"/>
    </row>
    <row r="631" spans="1:27" ht="99" customHeight="1" x14ac:dyDescent="0.25">
      <c r="A631" s="79"/>
      <c r="B631" s="79"/>
      <c r="C631" s="80"/>
      <c r="D631" s="80"/>
      <c r="E631" s="80"/>
      <c r="F631" s="6"/>
      <c r="G631" s="54"/>
      <c r="H631" s="54"/>
      <c r="I631" s="7"/>
      <c r="J631" s="9"/>
      <c r="K631" s="21"/>
      <c r="L631" s="77"/>
      <c r="M631" s="77"/>
      <c r="N631" s="77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9"/>
      <c r="Z631" s="79"/>
      <c r="AA631" s="79"/>
    </row>
    <row r="632" spans="1:27" ht="99" customHeight="1" x14ac:dyDescent="0.25">
      <c r="A632" s="79"/>
      <c r="B632" s="79"/>
      <c r="C632" s="80"/>
      <c r="D632" s="80"/>
      <c r="E632" s="80"/>
      <c r="F632" s="6"/>
      <c r="G632" s="54"/>
      <c r="H632" s="54"/>
      <c r="I632" s="7"/>
      <c r="J632" s="9"/>
      <c r="K632" s="21"/>
      <c r="L632" s="77"/>
      <c r="M632" s="77"/>
      <c r="N632" s="77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9"/>
      <c r="Z632" s="79"/>
      <c r="AA632" s="79"/>
    </row>
    <row r="633" spans="1:27" ht="99" customHeight="1" x14ac:dyDescent="0.25">
      <c r="A633" s="79"/>
      <c r="B633" s="79"/>
      <c r="C633" s="80"/>
      <c r="D633" s="80"/>
      <c r="E633" s="80"/>
      <c r="F633" s="6"/>
      <c r="G633" s="54"/>
      <c r="H633" s="54"/>
      <c r="I633" s="7"/>
      <c r="J633" s="9"/>
      <c r="K633" s="21"/>
      <c r="L633" s="77"/>
      <c r="M633" s="77"/>
      <c r="N633" s="77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9"/>
      <c r="Z633" s="79"/>
      <c r="AA633" s="79"/>
    </row>
    <row r="634" spans="1:27" ht="99" customHeight="1" x14ac:dyDescent="0.25">
      <c r="A634" s="79"/>
      <c r="B634" s="79"/>
      <c r="C634" s="80"/>
      <c r="D634" s="80"/>
      <c r="E634" s="80"/>
      <c r="F634" s="6"/>
      <c r="G634" s="54"/>
      <c r="H634" s="54"/>
      <c r="I634" s="7"/>
      <c r="J634" s="9"/>
      <c r="K634" s="21"/>
      <c r="L634" s="77"/>
      <c r="M634" s="77"/>
      <c r="N634" s="77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9"/>
      <c r="Z634" s="79"/>
      <c r="AA634" s="79"/>
    </row>
    <row r="635" spans="1:27" ht="99" customHeight="1" x14ac:dyDescent="0.25">
      <c r="A635" s="79"/>
      <c r="B635" s="79"/>
      <c r="C635" s="80"/>
      <c r="D635" s="80"/>
      <c r="E635" s="80"/>
      <c r="F635" s="6"/>
      <c r="G635" s="54"/>
      <c r="H635" s="54"/>
      <c r="I635" s="7"/>
      <c r="J635" s="9"/>
      <c r="K635" s="21"/>
      <c r="L635" s="77"/>
      <c r="M635" s="77"/>
      <c r="N635" s="77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9"/>
      <c r="Z635" s="79"/>
      <c r="AA635" s="79"/>
    </row>
    <row r="636" spans="1:27" ht="99" customHeight="1" x14ac:dyDescent="0.25">
      <c r="A636" s="79"/>
      <c r="B636" s="79"/>
      <c r="C636" s="80"/>
      <c r="D636" s="80"/>
      <c r="E636" s="80"/>
      <c r="F636" s="6"/>
      <c r="G636" s="54"/>
      <c r="H636" s="54"/>
      <c r="I636" s="7"/>
      <c r="J636" s="9"/>
      <c r="K636" s="21"/>
      <c r="L636" s="77"/>
      <c r="M636" s="77"/>
      <c r="N636" s="77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9"/>
      <c r="Z636" s="79"/>
      <c r="AA636" s="79"/>
    </row>
    <row r="637" spans="1:27" ht="99" customHeight="1" x14ac:dyDescent="0.25">
      <c r="A637" s="79"/>
      <c r="B637" s="79"/>
      <c r="C637" s="80"/>
      <c r="D637" s="80"/>
      <c r="E637" s="80"/>
      <c r="F637" s="6"/>
      <c r="G637" s="54"/>
      <c r="H637" s="54"/>
      <c r="I637" s="7"/>
      <c r="J637" s="9"/>
      <c r="K637" s="21"/>
      <c r="L637" s="77"/>
      <c r="M637" s="77"/>
      <c r="N637" s="77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9"/>
      <c r="Z637" s="79"/>
      <c r="AA637" s="79"/>
    </row>
    <row r="638" spans="1:27" ht="99" customHeight="1" x14ac:dyDescent="0.25">
      <c r="A638" s="79"/>
      <c r="B638" s="79"/>
      <c r="C638" s="80"/>
      <c r="D638" s="80"/>
      <c r="E638" s="80"/>
      <c r="F638" s="6"/>
      <c r="G638" s="54"/>
      <c r="H638" s="54"/>
      <c r="I638" s="7"/>
      <c r="J638" s="9"/>
      <c r="K638" s="21"/>
      <c r="L638" s="77"/>
      <c r="M638" s="77"/>
      <c r="N638" s="77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9"/>
      <c r="Z638" s="79"/>
      <c r="AA638" s="79"/>
    </row>
    <row r="639" spans="1:27" ht="99" customHeight="1" x14ac:dyDescent="0.25">
      <c r="A639" s="79"/>
      <c r="B639" s="79"/>
      <c r="C639" s="80"/>
      <c r="D639" s="80"/>
      <c r="E639" s="80"/>
      <c r="F639" s="6"/>
      <c r="G639" s="54"/>
      <c r="H639" s="54"/>
      <c r="I639" s="7"/>
      <c r="J639" s="9"/>
      <c r="K639" s="21"/>
      <c r="L639" s="77"/>
      <c r="M639" s="77"/>
      <c r="N639" s="77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9"/>
      <c r="Z639" s="79"/>
      <c r="AA639" s="79"/>
    </row>
    <row r="640" spans="1:27" ht="99" customHeight="1" x14ac:dyDescent="0.25">
      <c r="A640" s="79"/>
      <c r="B640" s="79"/>
      <c r="C640" s="80"/>
      <c r="D640" s="80"/>
      <c r="E640" s="80"/>
      <c r="F640" s="6"/>
      <c r="G640" s="54"/>
      <c r="H640" s="54"/>
      <c r="I640" s="7"/>
      <c r="J640" s="9"/>
      <c r="K640" s="21"/>
      <c r="L640" s="77"/>
      <c r="M640" s="77"/>
      <c r="N640" s="77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9"/>
      <c r="Z640" s="79"/>
      <c r="AA640" s="79"/>
    </row>
    <row r="641" spans="1:27" ht="99" customHeight="1" x14ac:dyDescent="0.25">
      <c r="A641" s="79"/>
      <c r="B641" s="79"/>
      <c r="C641" s="80"/>
      <c r="D641" s="80"/>
      <c r="E641" s="80"/>
      <c r="F641" s="6"/>
      <c r="G641" s="54"/>
      <c r="H641" s="54"/>
      <c r="I641" s="7"/>
      <c r="J641" s="9"/>
      <c r="K641" s="21"/>
      <c r="L641" s="77"/>
      <c r="M641" s="77"/>
      <c r="N641" s="77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9"/>
      <c r="Z641" s="79"/>
      <c r="AA641" s="79"/>
    </row>
    <row r="642" spans="1:27" ht="99" customHeight="1" x14ac:dyDescent="0.25">
      <c r="A642" s="79"/>
      <c r="B642" s="79"/>
      <c r="C642" s="80"/>
      <c r="D642" s="80"/>
      <c r="E642" s="80"/>
      <c r="F642" s="6"/>
      <c r="G642" s="54"/>
      <c r="H642" s="54"/>
      <c r="I642" s="7"/>
      <c r="J642" s="9"/>
      <c r="K642" s="21"/>
      <c r="L642" s="77"/>
      <c r="M642" s="77"/>
      <c r="N642" s="77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9"/>
      <c r="Z642" s="79"/>
      <c r="AA642" s="79"/>
    </row>
    <row r="643" spans="1:27" ht="99" customHeight="1" x14ac:dyDescent="0.25">
      <c r="A643" s="79"/>
      <c r="B643" s="79"/>
      <c r="C643" s="80"/>
      <c r="D643" s="80"/>
      <c r="E643" s="80"/>
      <c r="F643" s="6"/>
      <c r="G643" s="54"/>
      <c r="H643" s="54"/>
      <c r="I643" s="7"/>
      <c r="J643" s="9"/>
      <c r="K643" s="21"/>
      <c r="L643" s="77"/>
      <c r="M643" s="77"/>
      <c r="N643" s="77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9"/>
      <c r="Z643" s="79"/>
      <c r="AA643" s="79"/>
    </row>
    <row r="644" spans="1:27" ht="99" customHeight="1" x14ac:dyDescent="0.25">
      <c r="A644" s="79"/>
      <c r="B644" s="79"/>
      <c r="C644" s="80"/>
      <c r="D644" s="80"/>
      <c r="E644" s="80"/>
      <c r="F644" s="6"/>
      <c r="G644" s="54"/>
      <c r="H644" s="54"/>
      <c r="I644" s="7"/>
      <c r="J644" s="9"/>
      <c r="K644" s="21"/>
      <c r="L644" s="77"/>
      <c r="M644" s="77"/>
      <c r="N644" s="77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9"/>
      <c r="Z644" s="79"/>
      <c r="AA644" s="79"/>
    </row>
    <row r="645" spans="1:27" ht="99" customHeight="1" x14ac:dyDescent="0.25">
      <c r="A645" s="79"/>
      <c r="B645" s="79"/>
      <c r="C645" s="80"/>
      <c r="D645" s="80"/>
      <c r="E645" s="80"/>
      <c r="F645" s="6"/>
      <c r="G645" s="54"/>
      <c r="H645" s="54"/>
      <c r="I645" s="7"/>
      <c r="J645" s="9"/>
      <c r="K645" s="21"/>
      <c r="L645" s="77"/>
      <c r="M645" s="77"/>
      <c r="N645" s="77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9"/>
      <c r="Z645" s="79"/>
      <c r="AA645" s="79"/>
    </row>
    <row r="646" spans="1:27" ht="99" customHeight="1" x14ac:dyDescent="0.25">
      <c r="A646" s="79"/>
      <c r="B646" s="79"/>
      <c r="C646" s="80"/>
      <c r="D646" s="80"/>
      <c r="E646" s="80"/>
      <c r="F646" s="6"/>
      <c r="G646" s="54"/>
      <c r="H646" s="54"/>
      <c r="I646" s="7"/>
      <c r="J646" s="9"/>
      <c r="K646" s="21"/>
      <c r="L646" s="77"/>
      <c r="M646" s="77"/>
      <c r="N646" s="77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9"/>
      <c r="Z646" s="79"/>
      <c r="AA646" s="79"/>
    </row>
    <row r="647" spans="1:27" ht="99" customHeight="1" x14ac:dyDescent="0.25">
      <c r="A647" s="79"/>
      <c r="B647" s="79"/>
      <c r="C647" s="80"/>
      <c r="D647" s="80"/>
      <c r="E647" s="80"/>
      <c r="F647" s="6"/>
      <c r="G647" s="54"/>
      <c r="H647" s="54"/>
      <c r="I647" s="7"/>
      <c r="J647" s="9"/>
      <c r="K647" s="21"/>
      <c r="L647" s="77"/>
      <c r="M647" s="77"/>
      <c r="N647" s="77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9"/>
      <c r="Z647" s="79"/>
      <c r="AA647" s="79"/>
    </row>
    <row r="648" spans="1:27" ht="99" customHeight="1" x14ac:dyDescent="0.25">
      <c r="A648" s="79"/>
      <c r="B648" s="79"/>
      <c r="C648" s="80"/>
      <c r="D648" s="80"/>
      <c r="E648" s="80"/>
      <c r="F648" s="6"/>
      <c r="G648" s="54"/>
      <c r="H648" s="54"/>
      <c r="I648" s="7"/>
      <c r="J648" s="9"/>
      <c r="K648" s="21"/>
      <c r="L648" s="77"/>
      <c r="M648" s="77"/>
      <c r="N648" s="77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9"/>
      <c r="Z648" s="79"/>
      <c r="AA648" s="79"/>
    </row>
    <row r="649" spans="1:27" ht="99" customHeight="1" x14ac:dyDescent="0.25">
      <c r="A649" s="79"/>
      <c r="B649" s="79"/>
      <c r="C649" s="80"/>
      <c r="D649" s="80"/>
      <c r="E649" s="80"/>
      <c r="F649" s="6"/>
      <c r="G649" s="54"/>
      <c r="H649" s="54"/>
      <c r="I649" s="7"/>
      <c r="J649" s="9"/>
      <c r="K649" s="21"/>
      <c r="L649" s="77"/>
      <c r="M649" s="77"/>
      <c r="N649" s="77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9"/>
      <c r="Z649" s="79"/>
      <c r="AA649" s="79"/>
    </row>
    <row r="650" spans="1:27" ht="99" customHeight="1" x14ac:dyDescent="0.25">
      <c r="A650" s="79"/>
      <c r="B650" s="79"/>
      <c r="C650" s="80"/>
      <c r="D650" s="80"/>
      <c r="E650" s="80"/>
      <c r="F650" s="6"/>
      <c r="G650" s="54"/>
      <c r="H650" s="54"/>
      <c r="I650" s="7"/>
      <c r="J650" s="9"/>
      <c r="K650" s="21"/>
      <c r="L650" s="77"/>
      <c r="M650" s="77"/>
      <c r="N650" s="77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9"/>
      <c r="Z650" s="79"/>
      <c r="AA650" s="79"/>
    </row>
    <row r="651" spans="1:27" ht="99" customHeight="1" x14ac:dyDescent="0.25">
      <c r="A651" s="79"/>
      <c r="B651" s="79"/>
      <c r="C651" s="80"/>
      <c r="D651" s="80"/>
      <c r="E651" s="80"/>
      <c r="F651" s="6"/>
      <c r="G651" s="54"/>
      <c r="H651" s="54"/>
      <c r="I651" s="7"/>
      <c r="J651" s="9"/>
      <c r="K651" s="21"/>
      <c r="L651" s="77"/>
      <c r="M651" s="77"/>
      <c r="N651" s="77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9"/>
      <c r="Z651" s="79"/>
      <c r="AA651" s="79"/>
    </row>
    <row r="652" spans="1:27" ht="99" customHeight="1" x14ac:dyDescent="0.25">
      <c r="A652" s="79"/>
      <c r="B652" s="79"/>
      <c r="C652" s="80"/>
      <c r="D652" s="80"/>
      <c r="E652" s="80"/>
      <c r="F652" s="6"/>
      <c r="G652" s="54"/>
      <c r="H652" s="54"/>
      <c r="I652" s="7"/>
      <c r="J652" s="9"/>
      <c r="K652" s="21"/>
      <c r="L652" s="77"/>
      <c r="M652" s="77"/>
      <c r="N652" s="77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9"/>
      <c r="Z652" s="79"/>
      <c r="AA652" s="79"/>
    </row>
    <row r="653" spans="1:27" ht="99" customHeight="1" x14ac:dyDescent="0.25">
      <c r="A653" s="79"/>
      <c r="B653" s="79"/>
      <c r="C653" s="80"/>
      <c r="D653" s="80"/>
      <c r="E653" s="80"/>
      <c r="F653" s="6"/>
      <c r="G653" s="54"/>
      <c r="H653" s="54"/>
      <c r="I653" s="7"/>
      <c r="J653" s="9"/>
      <c r="K653" s="21"/>
      <c r="L653" s="77"/>
      <c r="M653" s="77"/>
      <c r="N653" s="77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9"/>
      <c r="Z653" s="79"/>
      <c r="AA653" s="79"/>
    </row>
    <row r="654" spans="1:27" ht="99" customHeight="1" x14ac:dyDescent="0.25">
      <c r="A654" s="79"/>
      <c r="B654" s="79"/>
      <c r="C654" s="80"/>
      <c r="D654" s="80"/>
      <c r="E654" s="80"/>
      <c r="F654" s="6"/>
      <c r="G654" s="54"/>
      <c r="H654" s="54"/>
      <c r="I654" s="7"/>
      <c r="J654" s="9"/>
      <c r="K654" s="21"/>
      <c r="L654" s="77"/>
      <c r="M654" s="77"/>
      <c r="N654" s="77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9"/>
      <c r="Z654" s="79"/>
      <c r="AA654" s="79"/>
    </row>
    <row r="655" spans="1:27" ht="99" customHeight="1" x14ac:dyDescent="0.25">
      <c r="A655" s="79"/>
      <c r="B655" s="79"/>
      <c r="C655" s="80"/>
      <c r="D655" s="80"/>
      <c r="E655" s="80"/>
      <c r="F655" s="6"/>
      <c r="G655" s="54"/>
      <c r="H655" s="54"/>
      <c r="I655" s="7"/>
      <c r="J655" s="9"/>
      <c r="K655" s="21"/>
      <c r="L655" s="77"/>
      <c r="M655" s="77"/>
      <c r="N655" s="77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9"/>
      <c r="Z655" s="79"/>
      <c r="AA655" s="79"/>
    </row>
    <row r="656" spans="1:27" ht="99" customHeight="1" x14ac:dyDescent="0.25">
      <c r="A656" s="79"/>
      <c r="B656" s="79"/>
      <c r="C656" s="80"/>
      <c r="D656" s="80"/>
      <c r="E656" s="80"/>
      <c r="F656" s="6"/>
      <c r="G656" s="54"/>
      <c r="H656" s="54"/>
      <c r="I656" s="7"/>
      <c r="J656" s="9"/>
      <c r="K656" s="21"/>
      <c r="L656" s="77"/>
      <c r="M656" s="77"/>
      <c r="N656" s="77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9"/>
      <c r="Z656" s="79"/>
      <c r="AA656" s="79"/>
    </row>
    <row r="657" spans="1:27" ht="99" customHeight="1" x14ac:dyDescent="0.25">
      <c r="A657" s="79"/>
      <c r="B657" s="79"/>
      <c r="C657" s="80"/>
      <c r="D657" s="80"/>
      <c r="E657" s="80"/>
      <c r="F657" s="6"/>
      <c r="G657" s="54"/>
      <c r="H657" s="54"/>
      <c r="I657" s="7"/>
      <c r="J657" s="9"/>
      <c r="K657" s="21"/>
      <c r="L657" s="77"/>
      <c r="M657" s="77"/>
      <c r="N657" s="77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9"/>
      <c r="Z657" s="79"/>
      <c r="AA657" s="79"/>
    </row>
    <row r="658" spans="1:27" ht="99" customHeight="1" x14ac:dyDescent="0.25">
      <c r="A658" s="79"/>
      <c r="B658" s="79"/>
      <c r="C658" s="80"/>
      <c r="D658" s="80"/>
      <c r="E658" s="80"/>
      <c r="F658" s="6"/>
      <c r="G658" s="54"/>
      <c r="H658" s="54"/>
      <c r="I658" s="7"/>
      <c r="J658" s="9"/>
      <c r="K658" s="21"/>
      <c r="L658" s="77"/>
      <c r="M658" s="77"/>
      <c r="N658" s="77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9"/>
      <c r="Z658" s="79"/>
      <c r="AA658" s="79"/>
    </row>
    <row r="659" spans="1:27" ht="99" customHeight="1" x14ac:dyDescent="0.25">
      <c r="A659" s="79"/>
      <c r="B659" s="79"/>
      <c r="C659" s="80"/>
      <c r="D659" s="80"/>
      <c r="E659" s="80"/>
      <c r="F659" s="6"/>
      <c r="G659" s="54"/>
      <c r="H659" s="54"/>
      <c r="I659" s="7"/>
      <c r="J659" s="9"/>
      <c r="K659" s="21"/>
      <c r="L659" s="77"/>
      <c r="M659" s="77"/>
      <c r="N659" s="77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9"/>
      <c r="Z659" s="79"/>
      <c r="AA659" s="79"/>
    </row>
    <row r="660" spans="1:27" ht="99" customHeight="1" x14ac:dyDescent="0.25">
      <c r="A660" s="79"/>
      <c r="B660" s="79"/>
      <c r="C660" s="80"/>
      <c r="D660" s="80"/>
      <c r="E660" s="80"/>
      <c r="F660" s="6"/>
      <c r="G660" s="54"/>
      <c r="H660" s="54"/>
      <c r="I660" s="7"/>
      <c r="J660" s="9"/>
      <c r="K660" s="21"/>
      <c r="L660" s="77"/>
      <c r="M660" s="77"/>
      <c r="N660" s="77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9"/>
      <c r="Z660" s="79"/>
      <c r="AA660" s="79"/>
    </row>
    <row r="661" spans="1:27" ht="99" customHeight="1" x14ac:dyDescent="0.25">
      <c r="A661" s="79"/>
      <c r="B661" s="79"/>
      <c r="C661" s="80"/>
      <c r="D661" s="80"/>
      <c r="E661" s="80"/>
      <c r="F661" s="6"/>
      <c r="G661" s="54"/>
      <c r="H661" s="54"/>
      <c r="I661" s="7"/>
      <c r="J661" s="9"/>
      <c r="K661" s="21"/>
      <c r="L661" s="77"/>
      <c r="M661" s="77"/>
      <c r="N661" s="77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9"/>
      <c r="Z661" s="79"/>
      <c r="AA661" s="79"/>
    </row>
    <row r="662" spans="1:27" ht="99" customHeight="1" x14ac:dyDescent="0.25">
      <c r="A662" s="79"/>
      <c r="B662" s="79"/>
      <c r="C662" s="80"/>
      <c r="D662" s="80"/>
      <c r="E662" s="80"/>
      <c r="F662" s="6"/>
      <c r="G662" s="54"/>
      <c r="H662" s="54"/>
      <c r="I662" s="7"/>
      <c r="J662" s="9"/>
      <c r="K662" s="21"/>
      <c r="L662" s="77"/>
      <c r="M662" s="77"/>
      <c r="N662" s="77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9"/>
      <c r="Z662" s="79"/>
      <c r="AA662" s="79"/>
    </row>
    <row r="663" spans="1:27" ht="99" customHeight="1" x14ac:dyDescent="0.25">
      <c r="A663" s="79"/>
      <c r="B663" s="79"/>
      <c r="C663" s="80"/>
      <c r="D663" s="80"/>
      <c r="E663" s="80"/>
      <c r="F663" s="6"/>
      <c r="G663" s="54"/>
      <c r="H663" s="54"/>
      <c r="I663" s="7"/>
      <c r="J663" s="9"/>
      <c r="K663" s="21"/>
      <c r="L663" s="77"/>
      <c r="M663" s="77"/>
      <c r="N663" s="77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9"/>
      <c r="Z663" s="79"/>
      <c r="AA663" s="79"/>
    </row>
    <row r="664" spans="1:27" ht="99" customHeight="1" x14ac:dyDescent="0.25">
      <c r="A664" s="79"/>
      <c r="B664" s="79"/>
      <c r="C664" s="80"/>
      <c r="D664" s="80"/>
      <c r="E664" s="80"/>
      <c r="F664" s="6"/>
      <c r="G664" s="54"/>
      <c r="H664" s="54"/>
      <c r="I664" s="7"/>
      <c r="J664" s="9"/>
      <c r="K664" s="21"/>
      <c r="L664" s="77"/>
      <c r="M664" s="77"/>
      <c r="N664" s="77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9"/>
      <c r="Z664" s="79"/>
      <c r="AA664" s="79"/>
    </row>
    <row r="665" spans="1:27" ht="99" customHeight="1" x14ac:dyDescent="0.25">
      <c r="A665" s="79"/>
      <c r="B665" s="79"/>
      <c r="C665" s="80"/>
      <c r="D665" s="80"/>
      <c r="E665" s="80"/>
      <c r="F665" s="6"/>
      <c r="G665" s="54"/>
      <c r="H665" s="54"/>
      <c r="I665" s="7"/>
      <c r="J665" s="9"/>
      <c r="K665" s="21"/>
      <c r="L665" s="77"/>
      <c r="M665" s="77"/>
      <c r="N665" s="77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9"/>
      <c r="Z665" s="79"/>
      <c r="AA665" s="79"/>
    </row>
    <row r="666" spans="1:27" ht="99" customHeight="1" x14ac:dyDescent="0.25">
      <c r="A666" s="79"/>
      <c r="B666" s="79"/>
      <c r="C666" s="80"/>
      <c r="D666" s="80"/>
      <c r="E666" s="80"/>
      <c r="F666" s="6"/>
      <c r="G666" s="54"/>
      <c r="H666" s="54"/>
      <c r="I666" s="7"/>
      <c r="J666" s="9"/>
      <c r="K666" s="21"/>
      <c r="L666" s="77"/>
      <c r="M666" s="77"/>
      <c r="N666" s="77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9"/>
      <c r="Z666" s="79"/>
      <c r="AA666" s="79"/>
    </row>
    <row r="667" spans="1:27" ht="99" customHeight="1" x14ac:dyDescent="0.25">
      <c r="A667" s="79"/>
      <c r="B667" s="79"/>
      <c r="C667" s="80"/>
      <c r="D667" s="80"/>
      <c r="E667" s="80"/>
      <c r="F667" s="6"/>
      <c r="G667" s="54"/>
      <c r="H667" s="54"/>
      <c r="I667" s="7"/>
      <c r="J667" s="9"/>
      <c r="K667" s="21"/>
      <c r="L667" s="77"/>
      <c r="M667" s="77"/>
      <c r="N667" s="77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9"/>
      <c r="Z667" s="79"/>
      <c r="AA667" s="79"/>
    </row>
    <row r="668" spans="1:27" ht="99" customHeight="1" x14ac:dyDescent="0.25">
      <c r="A668" s="79"/>
      <c r="B668" s="79"/>
      <c r="C668" s="80"/>
      <c r="D668" s="80"/>
      <c r="E668" s="80"/>
      <c r="F668" s="6"/>
      <c r="G668" s="54"/>
      <c r="H668" s="54"/>
      <c r="I668" s="7"/>
      <c r="J668" s="9"/>
      <c r="K668" s="21"/>
      <c r="L668" s="77"/>
      <c r="M668" s="77"/>
      <c r="N668" s="77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9"/>
      <c r="Z668" s="79"/>
      <c r="AA668" s="79"/>
    </row>
    <row r="669" spans="1:27" ht="99" customHeight="1" x14ac:dyDescent="0.25">
      <c r="A669" s="79"/>
      <c r="B669" s="79"/>
      <c r="C669" s="80"/>
      <c r="D669" s="80"/>
      <c r="E669" s="80"/>
      <c r="F669" s="6"/>
      <c r="G669" s="54"/>
      <c r="H669" s="54"/>
      <c r="I669" s="7"/>
      <c r="J669" s="9"/>
      <c r="K669" s="21"/>
      <c r="L669" s="77"/>
      <c r="M669" s="77"/>
      <c r="N669" s="77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9"/>
      <c r="Z669" s="79"/>
      <c r="AA669" s="79"/>
    </row>
    <row r="670" spans="1:27" ht="99" customHeight="1" x14ac:dyDescent="0.25">
      <c r="A670" s="79"/>
      <c r="B670" s="79"/>
      <c r="C670" s="80"/>
      <c r="D670" s="80"/>
      <c r="E670" s="80"/>
      <c r="F670" s="6"/>
      <c r="G670" s="54"/>
      <c r="H670" s="54"/>
      <c r="I670" s="7"/>
      <c r="J670" s="9"/>
      <c r="K670" s="21"/>
      <c r="L670" s="77"/>
      <c r="M670" s="77"/>
      <c r="N670" s="77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9"/>
      <c r="Z670" s="79"/>
      <c r="AA670" s="79"/>
    </row>
    <row r="671" spans="1:27" ht="99" customHeight="1" x14ac:dyDescent="0.25">
      <c r="A671" s="79"/>
      <c r="B671" s="79"/>
      <c r="C671" s="80"/>
      <c r="D671" s="80"/>
      <c r="E671" s="80"/>
      <c r="F671" s="6"/>
      <c r="G671" s="54"/>
      <c r="H671" s="54"/>
      <c r="I671" s="7"/>
      <c r="J671" s="9"/>
      <c r="K671" s="21"/>
      <c r="L671" s="77"/>
      <c r="M671" s="77"/>
      <c r="N671" s="77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9"/>
      <c r="Z671" s="79"/>
      <c r="AA671" s="79"/>
    </row>
    <row r="672" spans="1:27" ht="99" customHeight="1" x14ac:dyDescent="0.25">
      <c r="A672" s="79"/>
      <c r="B672" s="79"/>
      <c r="C672" s="80"/>
      <c r="D672" s="80"/>
      <c r="E672" s="80"/>
      <c r="F672" s="6"/>
      <c r="G672" s="54"/>
      <c r="H672" s="54"/>
      <c r="I672" s="7"/>
      <c r="J672" s="9"/>
      <c r="K672" s="21"/>
      <c r="L672" s="77"/>
      <c r="M672" s="77"/>
      <c r="N672" s="77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9"/>
      <c r="Z672" s="79"/>
      <c r="AA672" s="79"/>
    </row>
    <row r="673" spans="1:27" ht="99" customHeight="1" x14ac:dyDescent="0.25">
      <c r="A673" s="79"/>
      <c r="B673" s="79"/>
      <c r="C673" s="80"/>
      <c r="D673" s="80"/>
      <c r="E673" s="80"/>
      <c r="F673" s="6"/>
      <c r="G673" s="54"/>
      <c r="H673" s="54"/>
      <c r="I673" s="7"/>
      <c r="J673" s="9"/>
      <c r="K673" s="21"/>
      <c r="L673" s="77"/>
      <c r="M673" s="77"/>
      <c r="N673" s="77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9"/>
      <c r="Z673" s="79"/>
      <c r="AA673" s="79"/>
    </row>
    <row r="674" spans="1:27" ht="99" customHeight="1" x14ac:dyDescent="0.25">
      <c r="A674" s="79"/>
      <c r="B674" s="79"/>
      <c r="C674" s="80"/>
      <c r="D674" s="80"/>
      <c r="E674" s="80"/>
      <c r="F674" s="6"/>
      <c r="G674" s="54"/>
      <c r="H674" s="54"/>
      <c r="I674" s="7"/>
      <c r="J674" s="9"/>
      <c r="K674" s="21"/>
      <c r="L674" s="77"/>
      <c r="M674" s="77"/>
      <c r="N674" s="77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9"/>
      <c r="Z674" s="79"/>
      <c r="AA674" s="79"/>
    </row>
    <row r="675" spans="1:27" ht="99" customHeight="1" x14ac:dyDescent="0.25">
      <c r="A675" s="79"/>
      <c r="B675" s="79"/>
      <c r="C675" s="80"/>
      <c r="D675" s="80"/>
      <c r="E675" s="80"/>
      <c r="F675" s="6"/>
      <c r="G675" s="54"/>
      <c r="H675" s="54"/>
      <c r="I675" s="7"/>
      <c r="J675" s="9"/>
      <c r="K675" s="21"/>
      <c r="L675" s="77"/>
      <c r="M675" s="77"/>
      <c r="N675" s="77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9"/>
      <c r="Z675" s="79"/>
      <c r="AA675" s="79"/>
    </row>
    <row r="676" spans="1:27" ht="99" customHeight="1" x14ac:dyDescent="0.25">
      <c r="A676" s="79"/>
      <c r="B676" s="79"/>
      <c r="C676" s="80"/>
      <c r="D676" s="80"/>
      <c r="E676" s="80"/>
      <c r="F676" s="6"/>
      <c r="G676" s="54"/>
      <c r="H676" s="54"/>
      <c r="I676" s="7"/>
      <c r="J676" s="9"/>
      <c r="K676" s="21"/>
      <c r="L676" s="77"/>
      <c r="M676" s="77"/>
      <c r="N676" s="77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9"/>
      <c r="Z676" s="79"/>
      <c r="AA676" s="79"/>
    </row>
    <row r="677" spans="1:27" ht="99" customHeight="1" x14ac:dyDescent="0.25">
      <c r="A677" s="79"/>
      <c r="B677" s="79"/>
      <c r="C677" s="80"/>
      <c r="D677" s="80"/>
      <c r="E677" s="80"/>
      <c r="F677" s="6"/>
      <c r="G677" s="54"/>
      <c r="H677" s="54"/>
      <c r="I677" s="7"/>
      <c r="J677" s="9"/>
      <c r="K677" s="21"/>
      <c r="L677" s="77"/>
      <c r="M677" s="77"/>
      <c r="N677" s="77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9"/>
      <c r="Z677" s="79"/>
      <c r="AA677" s="79"/>
    </row>
    <row r="678" spans="1:27" ht="99" customHeight="1" x14ac:dyDescent="0.25">
      <c r="A678" s="79"/>
      <c r="B678" s="79"/>
      <c r="C678" s="80"/>
      <c r="D678" s="80"/>
      <c r="E678" s="80"/>
      <c r="F678" s="6"/>
      <c r="G678" s="54"/>
      <c r="H678" s="54"/>
      <c r="I678" s="7"/>
      <c r="J678" s="9"/>
      <c r="K678" s="21"/>
      <c r="L678" s="77"/>
      <c r="M678" s="77"/>
      <c r="N678" s="77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9"/>
      <c r="Z678" s="79"/>
      <c r="AA678" s="79"/>
    </row>
    <row r="679" spans="1:27" ht="99" customHeight="1" x14ac:dyDescent="0.25">
      <c r="A679" s="79"/>
      <c r="B679" s="79"/>
      <c r="C679" s="80"/>
      <c r="D679" s="80"/>
      <c r="E679" s="80"/>
      <c r="F679" s="6"/>
      <c r="G679" s="54"/>
      <c r="H679" s="54"/>
      <c r="I679" s="7"/>
      <c r="J679" s="9"/>
      <c r="K679" s="21"/>
      <c r="L679" s="77"/>
      <c r="M679" s="77"/>
      <c r="N679" s="77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9"/>
      <c r="Z679" s="79"/>
      <c r="AA679" s="79"/>
    </row>
    <row r="680" spans="1:27" ht="99" customHeight="1" x14ac:dyDescent="0.25">
      <c r="A680" s="79"/>
      <c r="B680" s="79"/>
      <c r="C680" s="80"/>
      <c r="D680" s="80"/>
      <c r="E680" s="80"/>
      <c r="F680" s="6"/>
      <c r="G680" s="54"/>
      <c r="H680" s="54"/>
      <c r="I680" s="7"/>
      <c r="J680" s="9"/>
      <c r="K680" s="21"/>
      <c r="L680" s="77"/>
      <c r="M680" s="77"/>
      <c r="N680" s="77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9"/>
      <c r="Z680" s="79"/>
      <c r="AA680" s="79"/>
    </row>
    <row r="681" spans="1:27" ht="99" customHeight="1" x14ac:dyDescent="0.25">
      <c r="A681" s="79"/>
      <c r="B681" s="79"/>
      <c r="C681" s="80"/>
      <c r="D681" s="80"/>
      <c r="E681" s="80"/>
      <c r="F681" s="6"/>
      <c r="G681" s="54"/>
      <c r="H681" s="54"/>
      <c r="I681" s="7"/>
      <c r="J681" s="9"/>
      <c r="K681" s="21"/>
      <c r="L681" s="77"/>
      <c r="M681" s="77"/>
      <c r="N681" s="77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9"/>
      <c r="Z681" s="79"/>
      <c r="AA681" s="79"/>
    </row>
    <row r="682" spans="1:27" ht="99" customHeight="1" x14ac:dyDescent="0.25">
      <c r="A682" s="79"/>
      <c r="B682" s="79"/>
      <c r="C682" s="80"/>
      <c r="D682" s="80"/>
      <c r="E682" s="80"/>
      <c r="F682" s="6"/>
      <c r="G682" s="54"/>
      <c r="H682" s="54"/>
      <c r="I682" s="7"/>
      <c r="J682" s="9"/>
      <c r="K682" s="21"/>
      <c r="L682" s="77"/>
      <c r="M682" s="77"/>
      <c r="N682" s="77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9"/>
      <c r="Z682" s="79"/>
      <c r="AA682" s="79"/>
    </row>
    <row r="683" spans="1:27" ht="99" customHeight="1" x14ac:dyDescent="0.25">
      <c r="A683" s="79"/>
      <c r="B683" s="79"/>
      <c r="C683" s="80"/>
      <c r="D683" s="80"/>
      <c r="E683" s="80"/>
      <c r="F683" s="6"/>
      <c r="G683" s="54"/>
      <c r="H683" s="54"/>
      <c r="I683" s="7"/>
      <c r="J683" s="9"/>
      <c r="K683" s="21"/>
      <c r="L683" s="77"/>
      <c r="M683" s="77"/>
      <c r="N683" s="77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9"/>
      <c r="Z683" s="79"/>
      <c r="AA683" s="79"/>
    </row>
    <row r="684" spans="1:27" ht="99" customHeight="1" x14ac:dyDescent="0.25">
      <c r="A684" s="79"/>
      <c r="B684" s="79"/>
      <c r="C684" s="80"/>
      <c r="D684" s="80"/>
      <c r="E684" s="80"/>
      <c r="F684" s="6"/>
      <c r="G684" s="54"/>
      <c r="H684" s="54"/>
      <c r="I684" s="7"/>
      <c r="J684" s="9"/>
      <c r="K684" s="21"/>
      <c r="L684" s="77"/>
      <c r="M684" s="77"/>
      <c r="N684" s="77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9"/>
      <c r="Z684" s="79"/>
      <c r="AA684" s="79"/>
    </row>
    <row r="685" spans="1:27" ht="99" customHeight="1" x14ac:dyDescent="0.25">
      <c r="A685" s="79"/>
      <c r="B685" s="79"/>
      <c r="C685" s="80"/>
      <c r="D685" s="80"/>
      <c r="E685" s="80"/>
      <c r="F685" s="6"/>
      <c r="G685" s="54"/>
      <c r="H685" s="54"/>
      <c r="I685" s="7"/>
      <c r="J685" s="9"/>
      <c r="K685" s="21"/>
      <c r="L685" s="77"/>
      <c r="M685" s="77"/>
      <c r="N685" s="77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9"/>
      <c r="Z685" s="79"/>
      <c r="AA685" s="79"/>
    </row>
    <row r="686" spans="1:27" ht="99" customHeight="1" x14ac:dyDescent="0.25">
      <c r="A686" s="79"/>
      <c r="B686" s="79"/>
      <c r="C686" s="80"/>
      <c r="D686" s="80"/>
      <c r="E686" s="80"/>
      <c r="F686" s="6"/>
      <c r="G686" s="54"/>
      <c r="H686" s="54"/>
      <c r="I686" s="7"/>
      <c r="J686" s="9"/>
      <c r="K686" s="21"/>
      <c r="L686" s="77"/>
      <c r="M686" s="77"/>
      <c r="N686" s="77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9"/>
      <c r="Z686" s="79"/>
      <c r="AA686" s="79"/>
    </row>
    <row r="687" spans="1:27" ht="99" customHeight="1" x14ac:dyDescent="0.25">
      <c r="A687" s="79"/>
      <c r="B687" s="79"/>
      <c r="C687" s="80"/>
      <c r="D687" s="80"/>
      <c r="E687" s="80"/>
      <c r="F687" s="6"/>
      <c r="G687" s="54"/>
      <c r="H687" s="54"/>
      <c r="I687" s="7"/>
      <c r="J687" s="9"/>
      <c r="K687" s="21"/>
      <c r="L687" s="77"/>
      <c r="M687" s="77"/>
      <c r="N687" s="77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9"/>
      <c r="Z687" s="79"/>
      <c r="AA687" s="79"/>
    </row>
    <row r="688" spans="1:27" ht="99" customHeight="1" x14ac:dyDescent="0.25">
      <c r="A688" s="79"/>
      <c r="B688" s="79"/>
      <c r="C688" s="80"/>
      <c r="D688" s="80"/>
      <c r="E688" s="80"/>
      <c r="F688" s="6"/>
      <c r="G688" s="54"/>
      <c r="H688" s="54"/>
      <c r="I688" s="7"/>
      <c r="J688" s="9"/>
      <c r="K688" s="21"/>
      <c r="L688" s="77"/>
      <c r="M688" s="77"/>
      <c r="N688" s="77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9"/>
      <c r="Z688" s="79"/>
      <c r="AA688" s="79"/>
    </row>
    <row r="689" spans="1:27" ht="99" customHeight="1" x14ac:dyDescent="0.25">
      <c r="A689" s="79"/>
      <c r="B689" s="79"/>
      <c r="C689" s="80"/>
      <c r="D689" s="80"/>
      <c r="E689" s="80"/>
      <c r="F689" s="6"/>
      <c r="G689" s="54"/>
      <c r="H689" s="54"/>
      <c r="I689" s="7"/>
      <c r="J689" s="9"/>
      <c r="K689" s="21"/>
      <c r="L689" s="77"/>
      <c r="M689" s="77"/>
      <c r="N689" s="77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9"/>
      <c r="Z689" s="79"/>
      <c r="AA689" s="79"/>
    </row>
    <row r="690" spans="1:27" ht="99" customHeight="1" x14ac:dyDescent="0.25">
      <c r="A690" s="79"/>
      <c r="B690" s="79"/>
      <c r="C690" s="80"/>
      <c r="D690" s="80"/>
      <c r="E690" s="80"/>
      <c r="F690" s="6"/>
      <c r="G690" s="54"/>
      <c r="H690" s="54"/>
      <c r="I690" s="7"/>
      <c r="J690" s="9"/>
      <c r="K690" s="21"/>
      <c r="L690" s="77"/>
      <c r="M690" s="77"/>
      <c r="N690" s="77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9"/>
      <c r="Z690" s="79"/>
      <c r="AA690" s="79"/>
    </row>
    <row r="691" spans="1:27" ht="99" customHeight="1" x14ac:dyDescent="0.25">
      <c r="A691" s="79"/>
      <c r="B691" s="79"/>
      <c r="C691" s="80"/>
      <c r="D691" s="80"/>
      <c r="E691" s="80"/>
      <c r="F691" s="6"/>
      <c r="G691" s="54"/>
      <c r="H691" s="54"/>
      <c r="I691" s="7"/>
      <c r="J691" s="9"/>
      <c r="K691" s="21"/>
      <c r="L691" s="77"/>
      <c r="M691" s="77"/>
      <c r="N691" s="77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9"/>
      <c r="Z691" s="79"/>
      <c r="AA691" s="79"/>
    </row>
    <row r="692" spans="1:27" ht="99" customHeight="1" x14ac:dyDescent="0.25">
      <c r="A692" s="79"/>
      <c r="B692" s="79"/>
      <c r="C692" s="80"/>
      <c r="D692" s="80"/>
      <c r="E692" s="80"/>
      <c r="F692" s="6"/>
      <c r="G692" s="54"/>
      <c r="H692" s="54"/>
      <c r="I692" s="7"/>
      <c r="J692" s="9"/>
      <c r="K692" s="21"/>
      <c r="L692" s="77"/>
      <c r="M692" s="77"/>
      <c r="N692" s="77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9"/>
      <c r="Z692" s="79"/>
      <c r="AA692" s="79"/>
    </row>
    <row r="693" spans="1:27" ht="99" customHeight="1" x14ac:dyDescent="0.25">
      <c r="A693" s="79"/>
      <c r="B693" s="79"/>
      <c r="C693" s="80"/>
      <c r="D693" s="80"/>
      <c r="E693" s="80"/>
      <c r="F693" s="6"/>
      <c r="G693" s="54"/>
      <c r="H693" s="54"/>
      <c r="I693" s="7"/>
      <c r="J693" s="9"/>
      <c r="K693" s="21"/>
      <c r="L693" s="77"/>
      <c r="M693" s="77"/>
      <c r="N693" s="77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9"/>
      <c r="Z693" s="79"/>
      <c r="AA693" s="79"/>
    </row>
    <row r="694" spans="1:27" ht="99" customHeight="1" x14ac:dyDescent="0.25">
      <c r="A694" s="79"/>
      <c r="B694" s="79"/>
      <c r="C694" s="80"/>
      <c r="D694" s="80"/>
      <c r="E694" s="80"/>
      <c r="F694" s="6"/>
      <c r="G694" s="54"/>
      <c r="H694" s="54"/>
      <c r="I694" s="7"/>
      <c r="J694" s="9"/>
      <c r="K694" s="21"/>
      <c r="L694" s="77"/>
      <c r="M694" s="77"/>
      <c r="N694" s="77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9"/>
      <c r="Z694" s="79"/>
      <c r="AA694" s="79"/>
    </row>
    <row r="695" spans="1:27" ht="99" customHeight="1" x14ac:dyDescent="0.25">
      <c r="A695" s="79"/>
      <c r="B695" s="79"/>
      <c r="C695" s="80"/>
      <c r="D695" s="80"/>
      <c r="E695" s="80"/>
      <c r="F695" s="6"/>
      <c r="G695" s="54"/>
      <c r="H695" s="54"/>
      <c r="I695" s="7"/>
      <c r="J695" s="9"/>
      <c r="K695" s="21"/>
      <c r="L695" s="77"/>
      <c r="M695" s="77"/>
      <c r="N695" s="77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9"/>
      <c r="Z695" s="79"/>
      <c r="AA695" s="79"/>
    </row>
    <row r="696" spans="1:27" ht="99" customHeight="1" x14ac:dyDescent="0.25">
      <c r="A696" s="79"/>
      <c r="B696" s="79"/>
      <c r="C696" s="80"/>
      <c r="D696" s="80"/>
      <c r="E696" s="80"/>
      <c r="F696" s="6"/>
      <c r="G696" s="54"/>
      <c r="H696" s="54"/>
      <c r="I696" s="7"/>
      <c r="J696" s="9"/>
      <c r="K696" s="21"/>
      <c r="L696" s="77"/>
      <c r="M696" s="77"/>
      <c r="N696" s="77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9"/>
      <c r="Z696" s="79"/>
      <c r="AA696" s="79"/>
    </row>
    <row r="697" spans="1:27" ht="99" customHeight="1" x14ac:dyDescent="0.25">
      <c r="A697" s="79"/>
      <c r="B697" s="79"/>
      <c r="C697" s="80"/>
      <c r="D697" s="80"/>
      <c r="E697" s="80"/>
      <c r="F697" s="6"/>
      <c r="G697" s="54"/>
      <c r="H697" s="54"/>
      <c r="I697" s="7"/>
      <c r="J697" s="9"/>
      <c r="K697" s="21"/>
      <c r="L697" s="77"/>
      <c r="M697" s="77"/>
      <c r="N697" s="77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9"/>
      <c r="Z697" s="79"/>
      <c r="AA697" s="79"/>
    </row>
    <row r="698" spans="1:27" ht="99" customHeight="1" x14ac:dyDescent="0.25">
      <c r="A698" s="79"/>
      <c r="B698" s="79"/>
      <c r="C698" s="80"/>
      <c r="D698" s="80"/>
      <c r="E698" s="80"/>
      <c r="F698" s="6"/>
      <c r="G698" s="54"/>
      <c r="H698" s="54"/>
      <c r="I698" s="7"/>
      <c r="J698" s="9"/>
      <c r="K698" s="21"/>
      <c r="L698" s="77"/>
      <c r="M698" s="77"/>
      <c r="N698" s="77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9"/>
      <c r="Z698" s="79"/>
      <c r="AA698" s="79"/>
    </row>
    <row r="699" spans="1:27" ht="99" customHeight="1" x14ac:dyDescent="0.25">
      <c r="A699" s="79"/>
      <c r="B699" s="79"/>
      <c r="C699" s="80"/>
      <c r="D699" s="80"/>
      <c r="E699" s="80"/>
      <c r="F699" s="6"/>
      <c r="G699" s="54"/>
      <c r="H699" s="54"/>
      <c r="I699" s="7"/>
      <c r="J699" s="9"/>
      <c r="K699" s="21"/>
      <c r="L699" s="77"/>
      <c r="M699" s="77"/>
      <c r="N699" s="77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9"/>
      <c r="Z699" s="79"/>
      <c r="AA699" s="79"/>
    </row>
    <row r="700" spans="1:27" ht="99" customHeight="1" x14ac:dyDescent="0.25">
      <c r="A700" s="79"/>
      <c r="B700" s="79"/>
      <c r="C700" s="80"/>
      <c r="D700" s="80"/>
      <c r="E700" s="80"/>
      <c r="F700" s="6"/>
      <c r="G700" s="54"/>
      <c r="H700" s="54"/>
      <c r="I700" s="7"/>
      <c r="J700" s="9"/>
      <c r="K700" s="21"/>
      <c r="L700" s="77"/>
      <c r="M700" s="77"/>
      <c r="N700" s="77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9"/>
      <c r="Z700" s="79"/>
      <c r="AA700" s="79"/>
    </row>
    <row r="701" spans="1:27" ht="99" customHeight="1" x14ac:dyDescent="0.25">
      <c r="A701" s="79"/>
      <c r="B701" s="79"/>
      <c r="C701" s="80"/>
      <c r="D701" s="80"/>
      <c r="E701" s="80"/>
      <c r="F701" s="6"/>
      <c r="G701" s="54"/>
      <c r="H701" s="54"/>
      <c r="I701" s="7"/>
      <c r="J701" s="9"/>
      <c r="K701" s="21"/>
      <c r="L701" s="77"/>
      <c r="M701" s="77"/>
      <c r="N701" s="77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9"/>
      <c r="Z701" s="79"/>
      <c r="AA701" s="79"/>
    </row>
    <row r="702" spans="1:27" ht="99" customHeight="1" x14ac:dyDescent="0.25">
      <c r="A702" s="79"/>
      <c r="B702" s="79"/>
      <c r="C702" s="80"/>
      <c r="D702" s="80"/>
      <c r="E702" s="80"/>
      <c r="F702" s="6"/>
      <c r="G702" s="54"/>
      <c r="H702" s="54"/>
      <c r="I702" s="7"/>
      <c r="J702" s="9"/>
      <c r="K702" s="21"/>
      <c r="L702" s="77"/>
      <c r="M702" s="77"/>
      <c r="N702" s="77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9"/>
      <c r="Z702" s="79"/>
      <c r="AA702" s="79"/>
    </row>
    <row r="703" spans="1:27" ht="99" customHeight="1" x14ac:dyDescent="0.25">
      <c r="A703" s="79"/>
      <c r="B703" s="79"/>
      <c r="C703" s="80"/>
      <c r="D703" s="80"/>
      <c r="E703" s="80"/>
      <c r="F703" s="6"/>
      <c r="G703" s="54"/>
      <c r="H703" s="54"/>
      <c r="I703" s="7"/>
      <c r="J703" s="9"/>
      <c r="K703" s="21"/>
      <c r="L703" s="77"/>
      <c r="M703" s="77"/>
      <c r="N703" s="77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9"/>
      <c r="Z703" s="79"/>
      <c r="AA703" s="79"/>
    </row>
    <row r="704" spans="1:27" ht="99" customHeight="1" x14ac:dyDescent="0.25">
      <c r="A704" s="79"/>
      <c r="B704" s="79"/>
      <c r="C704" s="80"/>
      <c r="D704" s="80"/>
      <c r="E704" s="80"/>
      <c r="F704" s="6"/>
      <c r="G704" s="54"/>
      <c r="H704" s="54"/>
      <c r="I704" s="7"/>
      <c r="J704" s="9"/>
      <c r="K704" s="21"/>
      <c r="L704" s="77"/>
      <c r="M704" s="77"/>
      <c r="N704" s="77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9"/>
      <c r="Z704" s="79"/>
      <c r="AA704" s="79"/>
    </row>
    <row r="705" spans="1:27" ht="99" customHeight="1" x14ac:dyDescent="0.25">
      <c r="A705" s="79"/>
      <c r="B705" s="79"/>
      <c r="C705" s="80"/>
      <c r="D705" s="80"/>
      <c r="E705" s="80"/>
      <c r="F705" s="6"/>
      <c r="G705" s="54"/>
      <c r="H705" s="54"/>
      <c r="I705" s="7"/>
      <c r="J705" s="9"/>
      <c r="K705" s="21"/>
      <c r="L705" s="77"/>
      <c r="M705" s="77"/>
      <c r="N705" s="77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9"/>
      <c r="Z705" s="79"/>
      <c r="AA705" s="79"/>
    </row>
    <row r="706" spans="1:27" ht="99" customHeight="1" x14ac:dyDescent="0.25">
      <c r="A706" s="79"/>
      <c r="B706" s="79"/>
      <c r="C706" s="80"/>
      <c r="D706" s="80"/>
      <c r="E706" s="80"/>
      <c r="F706" s="6"/>
      <c r="G706" s="54"/>
      <c r="H706" s="54"/>
      <c r="I706" s="7"/>
      <c r="J706" s="9"/>
      <c r="K706" s="21"/>
      <c r="L706" s="77"/>
      <c r="M706" s="77"/>
      <c r="N706" s="77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9"/>
      <c r="Z706" s="79"/>
      <c r="AA706" s="79"/>
    </row>
    <row r="707" spans="1:27" ht="99" customHeight="1" x14ac:dyDescent="0.25">
      <c r="A707" s="79"/>
      <c r="B707" s="79"/>
      <c r="C707" s="80"/>
      <c r="D707" s="80"/>
      <c r="E707" s="80"/>
      <c r="F707" s="6"/>
      <c r="G707" s="54"/>
      <c r="H707" s="54"/>
      <c r="I707" s="7"/>
      <c r="J707" s="9"/>
      <c r="K707" s="21"/>
      <c r="L707" s="77"/>
      <c r="M707" s="77"/>
      <c r="N707" s="77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9"/>
      <c r="Z707" s="79"/>
      <c r="AA707" s="79"/>
    </row>
    <row r="708" spans="1:27" ht="99" customHeight="1" x14ac:dyDescent="0.25">
      <c r="A708" s="79"/>
      <c r="B708" s="79"/>
      <c r="C708" s="80"/>
      <c r="D708" s="80"/>
      <c r="E708" s="80"/>
      <c r="F708" s="6"/>
      <c r="G708" s="54"/>
      <c r="H708" s="54"/>
      <c r="I708" s="7"/>
      <c r="J708" s="9"/>
      <c r="K708" s="21"/>
      <c r="L708" s="77"/>
      <c r="M708" s="77"/>
      <c r="N708" s="77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9"/>
      <c r="Z708" s="79"/>
      <c r="AA708" s="79"/>
    </row>
    <row r="709" spans="1:27" ht="99" customHeight="1" x14ac:dyDescent="0.25">
      <c r="A709" s="79"/>
      <c r="B709" s="79"/>
      <c r="C709" s="80"/>
      <c r="D709" s="80"/>
      <c r="E709" s="80"/>
      <c r="F709" s="6"/>
      <c r="G709" s="54"/>
      <c r="H709" s="54"/>
      <c r="I709" s="7"/>
      <c r="J709" s="9"/>
      <c r="K709" s="21"/>
      <c r="L709" s="77"/>
      <c r="M709" s="77"/>
      <c r="N709" s="77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9"/>
      <c r="Z709" s="79"/>
      <c r="AA709" s="79"/>
    </row>
    <row r="710" spans="1:27" ht="99" customHeight="1" x14ac:dyDescent="0.25">
      <c r="A710" s="79"/>
      <c r="B710" s="79"/>
      <c r="C710" s="80"/>
      <c r="D710" s="80"/>
      <c r="E710" s="80"/>
      <c r="F710" s="6"/>
      <c r="G710" s="54"/>
      <c r="H710" s="54"/>
      <c r="I710" s="7"/>
      <c r="J710" s="9"/>
      <c r="K710" s="21"/>
      <c r="L710" s="77"/>
      <c r="M710" s="77"/>
      <c r="N710" s="77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9"/>
      <c r="Z710" s="79"/>
      <c r="AA710" s="79"/>
    </row>
    <row r="711" spans="1:27" ht="99" customHeight="1" x14ac:dyDescent="0.25">
      <c r="A711" s="79"/>
      <c r="B711" s="79"/>
      <c r="C711" s="80"/>
      <c r="D711" s="80"/>
      <c r="E711" s="80"/>
      <c r="F711" s="6"/>
      <c r="G711" s="54"/>
      <c r="H711" s="54"/>
      <c r="I711" s="7"/>
      <c r="J711" s="9"/>
      <c r="K711" s="21"/>
      <c r="L711" s="77"/>
      <c r="M711" s="77"/>
      <c r="N711" s="77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9"/>
      <c r="Z711" s="79"/>
      <c r="AA711" s="79"/>
    </row>
    <row r="712" spans="1:27" ht="99" customHeight="1" x14ac:dyDescent="0.25">
      <c r="A712" s="79"/>
      <c r="B712" s="79"/>
      <c r="C712" s="80"/>
      <c r="D712" s="80"/>
      <c r="E712" s="80"/>
      <c r="F712" s="6"/>
      <c r="G712" s="54"/>
      <c r="H712" s="54"/>
      <c r="I712" s="7"/>
      <c r="J712" s="9"/>
      <c r="K712" s="21"/>
      <c r="L712" s="77"/>
      <c r="M712" s="77"/>
      <c r="N712" s="77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9"/>
      <c r="Z712" s="79"/>
      <c r="AA712" s="79"/>
    </row>
    <row r="713" spans="1:27" ht="99" customHeight="1" x14ac:dyDescent="0.25">
      <c r="A713" s="79"/>
      <c r="B713" s="79"/>
      <c r="C713" s="80"/>
      <c r="D713" s="80"/>
      <c r="E713" s="80"/>
      <c r="F713" s="6"/>
      <c r="G713" s="54"/>
      <c r="H713" s="54"/>
      <c r="I713" s="7"/>
      <c r="J713" s="9"/>
      <c r="K713" s="21"/>
      <c r="L713" s="77"/>
      <c r="M713" s="77"/>
      <c r="N713" s="77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9"/>
      <c r="Z713" s="79"/>
      <c r="AA713" s="79"/>
    </row>
    <row r="714" spans="1:27" ht="99" customHeight="1" x14ac:dyDescent="0.25">
      <c r="A714" s="79"/>
      <c r="B714" s="79"/>
      <c r="C714" s="80"/>
      <c r="D714" s="80"/>
      <c r="E714" s="80"/>
      <c r="F714" s="6"/>
      <c r="G714" s="54"/>
      <c r="H714" s="54"/>
      <c r="I714" s="7"/>
      <c r="J714" s="9"/>
      <c r="K714" s="21"/>
      <c r="L714" s="77"/>
      <c r="M714" s="77"/>
      <c r="N714" s="77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9"/>
      <c r="Z714" s="79"/>
      <c r="AA714" s="79"/>
    </row>
    <row r="715" spans="1:27" ht="99" customHeight="1" x14ac:dyDescent="0.25">
      <c r="A715" s="79"/>
      <c r="B715" s="79"/>
      <c r="C715" s="80"/>
      <c r="D715" s="80"/>
      <c r="E715" s="80"/>
      <c r="F715" s="6"/>
      <c r="G715" s="54"/>
      <c r="H715" s="54"/>
      <c r="I715" s="7"/>
      <c r="J715" s="9"/>
      <c r="K715" s="21"/>
      <c r="L715" s="77"/>
      <c r="M715" s="77"/>
      <c r="N715" s="77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9"/>
      <c r="Z715" s="79"/>
      <c r="AA715" s="79"/>
    </row>
    <row r="716" spans="1:27" ht="99" customHeight="1" x14ac:dyDescent="0.25">
      <c r="A716" s="79"/>
      <c r="B716" s="79"/>
      <c r="C716" s="80"/>
      <c r="D716" s="80"/>
      <c r="E716" s="80"/>
      <c r="F716" s="6"/>
      <c r="G716" s="54"/>
      <c r="H716" s="54"/>
      <c r="I716" s="7"/>
      <c r="J716" s="9"/>
      <c r="K716" s="21"/>
      <c r="L716" s="77"/>
      <c r="M716" s="77"/>
      <c r="N716" s="77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9"/>
      <c r="Z716" s="79"/>
      <c r="AA716" s="79"/>
    </row>
    <row r="717" spans="1:27" ht="99" customHeight="1" x14ac:dyDescent="0.25">
      <c r="A717" s="79"/>
      <c r="B717" s="79"/>
      <c r="C717" s="80"/>
      <c r="D717" s="80"/>
      <c r="E717" s="80"/>
      <c r="F717" s="6"/>
      <c r="G717" s="54"/>
      <c r="H717" s="54"/>
      <c r="I717" s="7"/>
      <c r="J717" s="9"/>
      <c r="K717" s="21"/>
      <c r="L717" s="77"/>
      <c r="M717" s="77"/>
      <c r="N717" s="77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9"/>
      <c r="Z717" s="79"/>
      <c r="AA717" s="79"/>
    </row>
    <row r="718" spans="1:27" ht="99" customHeight="1" x14ac:dyDescent="0.25">
      <c r="A718" s="79"/>
      <c r="B718" s="79"/>
      <c r="C718" s="80"/>
      <c r="D718" s="80"/>
      <c r="E718" s="80"/>
      <c r="F718" s="6"/>
      <c r="G718" s="54"/>
      <c r="H718" s="54"/>
      <c r="I718" s="7"/>
      <c r="J718" s="9"/>
      <c r="K718" s="21"/>
      <c r="L718" s="77"/>
      <c r="M718" s="77"/>
      <c r="N718" s="77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9"/>
      <c r="Z718" s="79"/>
      <c r="AA718" s="79"/>
    </row>
    <row r="719" spans="1:27" ht="99" customHeight="1" x14ac:dyDescent="0.25">
      <c r="A719" s="79"/>
      <c r="B719" s="79"/>
      <c r="C719" s="80"/>
      <c r="D719" s="80"/>
      <c r="E719" s="80"/>
      <c r="F719" s="6"/>
      <c r="G719" s="54"/>
      <c r="H719" s="54"/>
      <c r="I719" s="7"/>
      <c r="J719" s="9"/>
      <c r="K719" s="21"/>
      <c r="L719" s="77"/>
      <c r="M719" s="77"/>
      <c r="N719" s="77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9"/>
      <c r="Z719" s="79"/>
      <c r="AA719" s="79"/>
    </row>
    <row r="720" spans="1:27" ht="99" customHeight="1" x14ac:dyDescent="0.25">
      <c r="A720" s="79"/>
      <c r="B720" s="79"/>
      <c r="C720" s="80"/>
      <c r="D720" s="80"/>
      <c r="E720" s="80"/>
      <c r="F720" s="6"/>
      <c r="G720" s="54"/>
      <c r="H720" s="54"/>
      <c r="I720" s="7"/>
      <c r="J720" s="9"/>
      <c r="K720" s="21"/>
      <c r="L720" s="77"/>
      <c r="M720" s="77"/>
      <c r="N720" s="77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9"/>
      <c r="Z720" s="79"/>
      <c r="AA720" s="79"/>
    </row>
    <row r="721" spans="1:27" ht="99" customHeight="1" x14ac:dyDescent="0.25">
      <c r="A721" s="79"/>
      <c r="B721" s="79"/>
      <c r="C721" s="80"/>
      <c r="D721" s="80"/>
      <c r="E721" s="80"/>
      <c r="F721" s="6"/>
      <c r="G721" s="54"/>
      <c r="H721" s="54"/>
      <c r="I721" s="7"/>
      <c r="J721" s="9"/>
      <c r="K721" s="21"/>
      <c r="L721" s="77"/>
      <c r="M721" s="77"/>
      <c r="N721" s="77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9"/>
      <c r="Z721" s="79"/>
      <c r="AA721" s="79"/>
    </row>
    <row r="722" spans="1:27" ht="99" customHeight="1" x14ac:dyDescent="0.25">
      <c r="A722" s="79"/>
      <c r="B722" s="79"/>
      <c r="C722" s="80"/>
      <c r="D722" s="80"/>
      <c r="E722" s="80"/>
      <c r="F722" s="6"/>
      <c r="G722" s="54"/>
      <c r="H722" s="54"/>
      <c r="I722" s="7"/>
      <c r="J722" s="9"/>
      <c r="K722" s="21"/>
      <c r="L722" s="77"/>
      <c r="M722" s="77"/>
      <c r="N722" s="77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9"/>
      <c r="Z722" s="79"/>
      <c r="AA722" s="79"/>
    </row>
    <row r="723" spans="1:27" ht="99" customHeight="1" x14ac:dyDescent="0.25">
      <c r="A723" s="79"/>
      <c r="B723" s="79"/>
      <c r="C723" s="80"/>
      <c r="D723" s="80"/>
      <c r="E723" s="80"/>
      <c r="F723" s="6"/>
      <c r="G723" s="54"/>
      <c r="H723" s="54"/>
      <c r="I723" s="7"/>
      <c r="J723" s="9"/>
      <c r="K723" s="21"/>
      <c r="L723" s="77"/>
      <c r="M723" s="77"/>
      <c r="N723" s="77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9"/>
      <c r="Z723" s="79"/>
      <c r="AA723" s="79"/>
    </row>
    <row r="724" spans="1:27" ht="99" customHeight="1" x14ac:dyDescent="0.25">
      <c r="A724" s="79"/>
      <c r="B724" s="79"/>
      <c r="C724" s="80"/>
      <c r="D724" s="80"/>
      <c r="E724" s="80"/>
      <c r="F724" s="6"/>
      <c r="G724" s="54"/>
      <c r="H724" s="54"/>
      <c r="I724" s="7"/>
      <c r="J724" s="9"/>
      <c r="K724" s="21"/>
      <c r="L724" s="77"/>
      <c r="M724" s="77"/>
      <c r="N724" s="77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9"/>
      <c r="Z724" s="79"/>
      <c r="AA724" s="79"/>
    </row>
    <row r="725" spans="1:27" ht="99" customHeight="1" x14ac:dyDescent="0.25">
      <c r="A725" s="79"/>
      <c r="B725" s="79"/>
      <c r="C725" s="80"/>
      <c r="D725" s="80"/>
      <c r="E725" s="80"/>
      <c r="F725" s="6"/>
      <c r="G725" s="54"/>
      <c r="H725" s="54"/>
      <c r="I725" s="7"/>
      <c r="J725" s="9"/>
      <c r="K725" s="21"/>
      <c r="L725" s="77"/>
      <c r="M725" s="77"/>
      <c r="N725" s="77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9"/>
      <c r="Z725" s="79"/>
      <c r="AA725" s="79"/>
    </row>
    <row r="726" spans="1:27" ht="99" customHeight="1" x14ac:dyDescent="0.25">
      <c r="A726" s="79"/>
      <c r="B726" s="79"/>
      <c r="C726" s="80"/>
      <c r="D726" s="80"/>
      <c r="E726" s="80"/>
      <c r="F726" s="6"/>
      <c r="G726" s="54"/>
      <c r="H726" s="54"/>
      <c r="I726" s="7"/>
      <c r="J726" s="9"/>
      <c r="K726" s="21"/>
      <c r="L726" s="77"/>
      <c r="M726" s="77"/>
      <c r="N726" s="77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9"/>
      <c r="Z726" s="79"/>
      <c r="AA726" s="79"/>
    </row>
    <row r="727" spans="1:27" ht="99" customHeight="1" x14ac:dyDescent="0.25">
      <c r="A727" s="79"/>
      <c r="B727" s="79"/>
      <c r="C727" s="80"/>
      <c r="D727" s="80"/>
      <c r="E727" s="80"/>
      <c r="F727" s="6"/>
      <c r="G727" s="54"/>
      <c r="H727" s="54"/>
      <c r="I727" s="7"/>
      <c r="J727" s="9"/>
      <c r="K727" s="21"/>
      <c r="L727" s="77"/>
      <c r="M727" s="77"/>
      <c r="N727" s="77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9"/>
      <c r="Z727" s="79"/>
      <c r="AA727" s="79"/>
    </row>
    <row r="728" spans="1:27" ht="99" customHeight="1" x14ac:dyDescent="0.25">
      <c r="A728" s="79"/>
      <c r="B728" s="79"/>
      <c r="C728" s="80"/>
      <c r="D728" s="80"/>
      <c r="E728" s="80"/>
      <c r="F728" s="6"/>
      <c r="G728" s="54"/>
      <c r="H728" s="54"/>
      <c r="I728" s="7"/>
      <c r="J728" s="9"/>
      <c r="K728" s="21"/>
      <c r="L728" s="77"/>
      <c r="M728" s="77"/>
      <c r="N728" s="77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9"/>
      <c r="Z728" s="79"/>
      <c r="AA728" s="79"/>
    </row>
    <row r="729" spans="1:27" ht="99" customHeight="1" x14ac:dyDescent="0.25">
      <c r="A729" s="79"/>
      <c r="B729" s="79"/>
      <c r="C729" s="80"/>
      <c r="D729" s="80"/>
      <c r="E729" s="80"/>
      <c r="F729" s="6"/>
      <c r="G729" s="54"/>
      <c r="H729" s="54"/>
      <c r="I729" s="7"/>
      <c r="J729" s="9"/>
      <c r="K729" s="21"/>
      <c r="L729" s="77"/>
      <c r="M729" s="77"/>
      <c r="N729" s="77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9"/>
      <c r="Z729" s="79"/>
      <c r="AA729" s="79"/>
    </row>
    <row r="730" spans="1:27" ht="99" customHeight="1" x14ac:dyDescent="0.25">
      <c r="A730" s="79"/>
      <c r="B730" s="79"/>
      <c r="C730" s="80"/>
      <c r="D730" s="80"/>
      <c r="E730" s="80"/>
      <c r="F730" s="6"/>
      <c r="G730" s="54"/>
      <c r="H730" s="54"/>
      <c r="I730" s="7"/>
      <c r="J730" s="9"/>
      <c r="K730" s="21"/>
      <c r="L730" s="77"/>
      <c r="M730" s="77"/>
      <c r="N730" s="77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9"/>
      <c r="Z730" s="79"/>
      <c r="AA730" s="79"/>
    </row>
    <row r="731" spans="1:27" ht="99" customHeight="1" x14ac:dyDescent="0.25">
      <c r="A731" s="79"/>
      <c r="B731" s="79"/>
      <c r="C731" s="80"/>
      <c r="D731" s="80"/>
      <c r="E731" s="80"/>
      <c r="F731" s="6"/>
      <c r="G731" s="54"/>
      <c r="H731" s="54"/>
      <c r="I731" s="7"/>
      <c r="J731" s="9"/>
      <c r="K731" s="21"/>
      <c r="L731" s="77"/>
      <c r="M731" s="77"/>
      <c r="N731" s="77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9"/>
      <c r="Z731" s="79"/>
      <c r="AA731" s="79"/>
    </row>
    <row r="732" spans="1:27" ht="99" customHeight="1" x14ac:dyDescent="0.25">
      <c r="A732" s="79"/>
      <c r="B732" s="79"/>
      <c r="C732" s="80"/>
      <c r="D732" s="80"/>
      <c r="E732" s="80"/>
      <c r="F732" s="6"/>
      <c r="G732" s="54"/>
      <c r="H732" s="54"/>
      <c r="I732" s="7"/>
      <c r="J732" s="9"/>
      <c r="K732" s="21"/>
      <c r="L732" s="77"/>
      <c r="M732" s="77"/>
      <c r="N732" s="77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9"/>
      <c r="Z732" s="79"/>
      <c r="AA732" s="79"/>
    </row>
    <row r="733" spans="1:27" ht="99" customHeight="1" x14ac:dyDescent="0.25">
      <c r="A733" s="79"/>
      <c r="B733" s="79"/>
      <c r="C733" s="80"/>
      <c r="D733" s="80"/>
      <c r="E733" s="80"/>
      <c r="F733" s="6"/>
      <c r="G733" s="54"/>
      <c r="H733" s="54"/>
      <c r="I733" s="7"/>
      <c r="J733" s="9"/>
      <c r="K733" s="21"/>
      <c r="L733" s="77"/>
      <c r="M733" s="77"/>
      <c r="N733" s="77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9"/>
      <c r="Z733" s="79"/>
      <c r="AA733" s="79"/>
    </row>
    <row r="734" spans="1:27" ht="99" customHeight="1" x14ac:dyDescent="0.25">
      <c r="A734" s="79"/>
      <c r="B734" s="79"/>
      <c r="C734" s="80"/>
      <c r="D734" s="80"/>
      <c r="E734" s="80"/>
      <c r="F734" s="6"/>
      <c r="G734" s="54"/>
      <c r="H734" s="54"/>
      <c r="I734" s="7"/>
      <c r="J734" s="9"/>
      <c r="K734" s="21"/>
      <c r="L734" s="77"/>
      <c r="M734" s="77"/>
      <c r="N734" s="77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9"/>
      <c r="Z734" s="79"/>
      <c r="AA734" s="79"/>
    </row>
    <row r="735" spans="1:27" ht="99" customHeight="1" x14ac:dyDescent="0.25">
      <c r="A735" s="79"/>
      <c r="B735" s="79"/>
      <c r="C735" s="80"/>
      <c r="D735" s="80"/>
      <c r="E735" s="80"/>
      <c r="F735" s="6"/>
      <c r="G735" s="54"/>
      <c r="H735" s="54"/>
      <c r="I735" s="7"/>
      <c r="J735" s="9"/>
      <c r="K735" s="21"/>
      <c r="L735" s="77"/>
      <c r="M735" s="77"/>
      <c r="N735" s="77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9"/>
      <c r="Z735" s="79"/>
      <c r="AA735" s="79"/>
    </row>
    <row r="736" spans="1:27" ht="99" customHeight="1" x14ac:dyDescent="0.25">
      <c r="A736" s="79"/>
      <c r="B736" s="79"/>
      <c r="C736" s="80"/>
      <c r="D736" s="80"/>
      <c r="E736" s="80"/>
      <c r="F736" s="6"/>
      <c r="G736" s="54"/>
      <c r="H736" s="54"/>
      <c r="I736" s="7"/>
      <c r="J736" s="9"/>
      <c r="K736" s="21"/>
      <c r="L736" s="77"/>
      <c r="M736" s="77"/>
      <c r="N736" s="77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9"/>
      <c r="Z736" s="79"/>
      <c r="AA736" s="79"/>
    </row>
    <row r="737" spans="1:27" ht="99" customHeight="1" x14ac:dyDescent="0.25">
      <c r="A737" s="79"/>
      <c r="B737" s="79"/>
      <c r="C737" s="80"/>
      <c r="D737" s="80"/>
      <c r="E737" s="80"/>
      <c r="F737" s="6"/>
      <c r="G737" s="54"/>
      <c r="H737" s="54"/>
      <c r="I737" s="7"/>
      <c r="J737" s="9"/>
      <c r="K737" s="21"/>
      <c r="L737" s="77"/>
      <c r="M737" s="77"/>
      <c r="N737" s="77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9"/>
      <c r="Z737" s="79"/>
      <c r="AA737" s="79"/>
    </row>
    <row r="738" spans="1:27" ht="99" customHeight="1" x14ac:dyDescent="0.25">
      <c r="A738" s="79"/>
      <c r="B738" s="79"/>
      <c r="C738" s="80"/>
      <c r="D738" s="80"/>
      <c r="E738" s="80"/>
      <c r="F738" s="6"/>
      <c r="G738" s="54"/>
      <c r="H738" s="54"/>
      <c r="I738" s="7"/>
      <c r="J738" s="9"/>
      <c r="K738" s="21"/>
      <c r="L738" s="77"/>
      <c r="M738" s="77"/>
      <c r="N738" s="77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9"/>
      <c r="Z738" s="79"/>
      <c r="AA738" s="79"/>
    </row>
    <row r="739" spans="1:27" ht="99" customHeight="1" x14ac:dyDescent="0.25">
      <c r="A739" s="79"/>
      <c r="B739" s="79"/>
      <c r="C739" s="80"/>
      <c r="D739" s="80"/>
      <c r="E739" s="80"/>
      <c r="F739" s="6"/>
      <c r="G739" s="54"/>
      <c r="H739" s="54"/>
      <c r="I739" s="7"/>
      <c r="J739" s="9"/>
      <c r="K739" s="21"/>
      <c r="L739" s="77"/>
      <c r="M739" s="77"/>
      <c r="N739" s="77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9"/>
      <c r="Z739" s="79"/>
      <c r="AA739" s="79"/>
    </row>
    <row r="740" spans="1:27" ht="99" customHeight="1" x14ac:dyDescent="0.25">
      <c r="A740" s="79"/>
      <c r="B740" s="79"/>
      <c r="C740" s="80"/>
      <c r="D740" s="80"/>
      <c r="E740" s="80"/>
      <c r="F740" s="6"/>
      <c r="G740" s="54"/>
      <c r="H740" s="54"/>
      <c r="I740" s="7"/>
      <c r="J740" s="9"/>
      <c r="K740" s="21"/>
      <c r="L740" s="77"/>
      <c r="M740" s="77"/>
      <c r="N740" s="77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9"/>
      <c r="Z740" s="79"/>
      <c r="AA740" s="79"/>
    </row>
    <row r="741" spans="1:27" ht="99" customHeight="1" x14ac:dyDescent="0.25">
      <c r="A741" s="79"/>
      <c r="B741" s="79"/>
      <c r="C741" s="80"/>
      <c r="D741" s="80"/>
      <c r="E741" s="80"/>
      <c r="F741" s="6"/>
      <c r="G741" s="54"/>
      <c r="H741" s="54"/>
      <c r="I741" s="7"/>
      <c r="J741" s="9"/>
      <c r="K741" s="21"/>
      <c r="L741" s="77"/>
      <c r="M741" s="77"/>
      <c r="N741" s="77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9"/>
      <c r="Z741" s="79"/>
      <c r="AA741" s="79"/>
    </row>
    <row r="742" spans="1:27" ht="99" customHeight="1" x14ac:dyDescent="0.25">
      <c r="A742" s="79"/>
      <c r="B742" s="79"/>
      <c r="C742" s="80"/>
      <c r="D742" s="80"/>
      <c r="E742" s="80"/>
      <c r="F742" s="6"/>
      <c r="G742" s="54"/>
      <c r="H742" s="54"/>
      <c r="I742" s="7"/>
      <c r="J742" s="9"/>
      <c r="K742" s="21"/>
      <c r="L742" s="77"/>
      <c r="M742" s="77"/>
      <c r="N742" s="77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9"/>
      <c r="Z742" s="79"/>
      <c r="AA742" s="79"/>
    </row>
    <row r="743" spans="1:27" ht="99" customHeight="1" x14ac:dyDescent="0.25">
      <c r="A743" s="79"/>
      <c r="B743" s="79"/>
      <c r="C743" s="80"/>
      <c r="D743" s="80"/>
      <c r="E743" s="80"/>
      <c r="F743" s="6"/>
      <c r="G743" s="54"/>
      <c r="H743" s="54"/>
      <c r="I743" s="7"/>
      <c r="J743" s="9"/>
      <c r="K743" s="21"/>
      <c r="L743" s="77"/>
      <c r="M743" s="77"/>
      <c r="N743" s="77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9"/>
      <c r="Z743" s="79"/>
      <c r="AA743" s="79"/>
    </row>
    <row r="744" spans="1:27" ht="99" customHeight="1" x14ac:dyDescent="0.25">
      <c r="A744" s="79"/>
      <c r="B744" s="79"/>
      <c r="C744" s="80"/>
      <c r="D744" s="80"/>
      <c r="E744" s="80"/>
      <c r="F744" s="6"/>
      <c r="G744" s="54"/>
      <c r="H744" s="54"/>
      <c r="I744" s="7"/>
      <c r="J744" s="9"/>
      <c r="K744" s="21"/>
      <c r="L744" s="77"/>
      <c r="M744" s="77"/>
      <c r="N744" s="77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9"/>
      <c r="Z744" s="79"/>
      <c r="AA744" s="79"/>
    </row>
    <row r="745" spans="1:27" ht="99" customHeight="1" x14ac:dyDescent="0.25">
      <c r="A745" s="79"/>
      <c r="B745" s="79"/>
      <c r="C745" s="80"/>
      <c r="D745" s="80"/>
      <c r="E745" s="80"/>
      <c r="F745" s="6"/>
      <c r="G745" s="54"/>
      <c r="H745" s="54"/>
      <c r="I745" s="7"/>
      <c r="J745" s="9"/>
      <c r="K745" s="21"/>
      <c r="L745" s="77"/>
      <c r="M745" s="77"/>
      <c r="N745" s="77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9"/>
      <c r="Z745" s="79"/>
      <c r="AA745" s="79"/>
    </row>
    <row r="746" spans="1:27" ht="99" customHeight="1" x14ac:dyDescent="0.25">
      <c r="A746" s="79"/>
      <c r="B746" s="79"/>
      <c r="C746" s="80"/>
      <c r="D746" s="80"/>
      <c r="E746" s="80"/>
      <c r="F746" s="6"/>
      <c r="G746" s="54"/>
      <c r="H746" s="54"/>
      <c r="I746" s="7"/>
      <c r="J746" s="9"/>
      <c r="K746" s="21"/>
      <c r="L746" s="77"/>
      <c r="M746" s="77"/>
      <c r="N746" s="77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9"/>
      <c r="Z746" s="79"/>
      <c r="AA746" s="79"/>
    </row>
    <row r="747" spans="1:27" ht="99" customHeight="1" x14ac:dyDescent="0.25">
      <c r="A747" s="79"/>
      <c r="B747" s="79"/>
      <c r="C747" s="80"/>
      <c r="D747" s="80"/>
      <c r="E747" s="80"/>
      <c r="F747" s="6"/>
      <c r="G747" s="54"/>
      <c r="H747" s="54"/>
      <c r="I747" s="7"/>
      <c r="J747" s="9"/>
      <c r="K747" s="21"/>
      <c r="L747" s="77"/>
      <c r="M747" s="77"/>
      <c r="N747" s="77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9"/>
      <c r="Z747" s="79"/>
      <c r="AA747" s="79"/>
    </row>
    <row r="748" spans="1:27" ht="99" customHeight="1" x14ac:dyDescent="0.25">
      <c r="A748" s="79"/>
      <c r="B748" s="79"/>
      <c r="C748" s="80"/>
      <c r="D748" s="80"/>
      <c r="E748" s="80"/>
      <c r="F748" s="6"/>
      <c r="G748" s="54"/>
      <c r="H748" s="54"/>
      <c r="I748" s="7"/>
      <c r="J748" s="9"/>
      <c r="K748" s="21"/>
      <c r="L748" s="77"/>
      <c r="M748" s="77"/>
      <c r="N748" s="77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9"/>
      <c r="Z748" s="79"/>
      <c r="AA748" s="79"/>
    </row>
    <row r="749" spans="1:27" ht="99" customHeight="1" x14ac:dyDescent="0.25">
      <c r="A749" s="79"/>
      <c r="B749" s="79"/>
      <c r="C749" s="80"/>
      <c r="D749" s="80"/>
      <c r="E749" s="80"/>
      <c r="F749" s="6"/>
      <c r="G749" s="54"/>
      <c r="H749" s="54"/>
      <c r="I749" s="7"/>
      <c r="J749" s="9"/>
      <c r="K749" s="21"/>
      <c r="L749" s="77"/>
      <c r="M749" s="77"/>
      <c r="N749" s="77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9"/>
      <c r="Z749" s="79"/>
      <c r="AA749" s="79"/>
    </row>
    <row r="750" spans="1:27" ht="99" customHeight="1" x14ac:dyDescent="0.25">
      <c r="A750" s="79"/>
      <c r="B750" s="79"/>
      <c r="C750" s="80"/>
      <c r="D750" s="80"/>
      <c r="E750" s="80"/>
      <c r="F750" s="6"/>
      <c r="G750" s="54"/>
      <c r="H750" s="54"/>
      <c r="I750" s="7"/>
      <c r="J750" s="9"/>
      <c r="K750" s="21"/>
      <c r="L750" s="77"/>
      <c r="M750" s="77"/>
      <c r="N750" s="77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9"/>
      <c r="Z750" s="79"/>
      <c r="AA750" s="79"/>
    </row>
    <row r="751" spans="1:27" ht="99" customHeight="1" x14ac:dyDescent="0.25">
      <c r="A751" s="79"/>
      <c r="B751" s="79"/>
      <c r="C751" s="80"/>
      <c r="D751" s="80"/>
      <c r="E751" s="80"/>
      <c r="F751" s="6"/>
      <c r="G751" s="54"/>
      <c r="H751" s="54"/>
      <c r="I751" s="7"/>
      <c r="J751" s="9"/>
      <c r="K751" s="21"/>
      <c r="L751" s="77"/>
      <c r="M751" s="77"/>
      <c r="N751" s="77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9"/>
      <c r="Z751" s="79"/>
      <c r="AA751" s="79"/>
    </row>
    <row r="752" spans="1:27" ht="99" customHeight="1" x14ac:dyDescent="0.25">
      <c r="A752" s="79"/>
      <c r="B752" s="79"/>
      <c r="C752" s="80"/>
      <c r="D752" s="80"/>
      <c r="E752" s="80"/>
      <c r="F752" s="6"/>
      <c r="G752" s="54"/>
      <c r="H752" s="54"/>
      <c r="I752" s="7"/>
      <c r="J752" s="9"/>
      <c r="K752" s="21"/>
      <c r="L752" s="77"/>
      <c r="M752" s="77"/>
      <c r="N752" s="77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9"/>
      <c r="Z752" s="79"/>
      <c r="AA752" s="79"/>
    </row>
    <row r="753" spans="1:27" ht="99" customHeight="1" x14ac:dyDescent="0.25">
      <c r="A753" s="79"/>
      <c r="B753" s="79"/>
      <c r="C753" s="80"/>
      <c r="D753" s="80"/>
      <c r="E753" s="80"/>
      <c r="F753" s="6"/>
      <c r="G753" s="54"/>
      <c r="H753" s="54"/>
      <c r="I753" s="7"/>
      <c r="J753" s="9"/>
      <c r="K753" s="21"/>
      <c r="L753" s="77"/>
      <c r="M753" s="77"/>
      <c r="N753" s="77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9"/>
      <c r="Z753" s="79"/>
      <c r="AA753" s="79"/>
    </row>
    <row r="754" spans="1:27" ht="99" customHeight="1" x14ac:dyDescent="0.25">
      <c r="A754" s="79"/>
      <c r="B754" s="79"/>
      <c r="C754" s="80"/>
      <c r="D754" s="80"/>
      <c r="E754" s="80"/>
      <c r="F754" s="6"/>
      <c r="G754" s="54"/>
      <c r="H754" s="54"/>
      <c r="I754" s="7"/>
      <c r="J754" s="9"/>
      <c r="K754" s="21"/>
      <c r="L754" s="77"/>
      <c r="M754" s="77"/>
      <c r="N754" s="77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9"/>
      <c r="Z754" s="79"/>
      <c r="AA754" s="79"/>
    </row>
    <row r="755" spans="1:27" ht="99" customHeight="1" x14ac:dyDescent="0.25">
      <c r="A755" s="79"/>
      <c r="B755" s="79"/>
      <c r="C755" s="80"/>
      <c r="D755" s="80"/>
      <c r="E755" s="80"/>
      <c r="F755" s="6"/>
      <c r="G755" s="54"/>
      <c r="H755" s="54"/>
      <c r="I755" s="7"/>
      <c r="J755" s="9"/>
      <c r="K755" s="21"/>
      <c r="L755" s="77"/>
      <c r="M755" s="77"/>
      <c r="N755" s="77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9"/>
      <c r="Z755" s="79"/>
      <c r="AA755" s="79"/>
    </row>
    <row r="756" spans="1:27" ht="99" customHeight="1" x14ac:dyDescent="0.25">
      <c r="A756" s="79"/>
      <c r="B756" s="79"/>
      <c r="C756" s="80"/>
      <c r="D756" s="80"/>
      <c r="E756" s="80"/>
      <c r="F756" s="6"/>
      <c r="G756" s="54"/>
      <c r="H756" s="54"/>
      <c r="I756" s="7"/>
      <c r="J756" s="9"/>
      <c r="K756" s="21"/>
      <c r="L756" s="77"/>
      <c r="M756" s="77"/>
      <c r="N756" s="77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9"/>
      <c r="Z756" s="79"/>
      <c r="AA756" s="79"/>
    </row>
    <row r="757" spans="1:27" ht="99" customHeight="1" x14ac:dyDescent="0.25">
      <c r="A757" s="79"/>
      <c r="B757" s="79"/>
      <c r="C757" s="80"/>
      <c r="D757" s="80"/>
      <c r="E757" s="80"/>
      <c r="F757" s="6"/>
      <c r="G757" s="54"/>
      <c r="H757" s="54"/>
      <c r="I757" s="7"/>
      <c r="J757" s="9"/>
      <c r="K757" s="21"/>
      <c r="L757" s="77"/>
      <c r="M757" s="77"/>
      <c r="N757" s="77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9"/>
      <c r="Z757" s="79"/>
      <c r="AA757" s="79"/>
    </row>
    <row r="758" spans="1:27" ht="99" customHeight="1" x14ac:dyDescent="0.25">
      <c r="A758" s="79"/>
      <c r="B758" s="79"/>
      <c r="C758" s="80"/>
      <c r="D758" s="80"/>
      <c r="E758" s="80"/>
      <c r="F758" s="6"/>
      <c r="G758" s="54"/>
      <c r="H758" s="54"/>
      <c r="I758" s="7"/>
      <c r="J758" s="9"/>
      <c r="K758" s="21"/>
      <c r="L758" s="77"/>
      <c r="M758" s="77"/>
      <c r="N758" s="77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9"/>
      <c r="Z758" s="79"/>
      <c r="AA758" s="79"/>
    </row>
    <row r="759" spans="1:27" ht="99" customHeight="1" x14ac:dyDescent="0.25">
      <c r="A759" s="79"/>
      <c r="B759" s="79"/>
      <c r="C759" s="80"/>
      <c r="D759" s="80"/>
      <c r="E759" s="80"/>
      <c r="F759" s="6"/>
      <c r="G759" s="54"/>
      <c r="H759" s="54"/>
      <c r="I759" s="7"/>
      <c r="J759" s="9"/>
      <c r="K759" s="21"/>
      <c r="L759" s="77"/>
      <c r="M759" s="77"/>
      <c r="N759" s="77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9"/>
      <c r="Z759" s="79"/>
      <c r="AA759" s="79"/>
    </row>
    <row r="760" spans="1:27" ht="99" customHeight="1" x14ac:dyDescent="0.25">
      <c r="A760" s="79"/>
      <c r="B760" s="79"/>
      <c r="C760" s="80"/>
      <c r="D760" s="80"/>
      <c r="E760" s="80"/>
      <c r="F760" s="6"/>
      <c r="G760" s="54"/>
      <c r="H760" s="54"/>
      <c r="I760" s="7"/>
      <c r="J760" s="9"/>
      <c r="K760" s="21"/>
      <c r="L760" s="77"/>
      <c r="M760" s="77"/>
      <c r="N760" s="77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9"/>
      <c r="Z760" s="79"/>
      <c r="AA760" s="79"/>
    </row>
    <row r="761" spans="1:27" ht="99" customHeight="1" x14ac:dyDescent="0.25">
      <c r="A761" s="79"/>
      <c r="B761" s="79"/>
      <c r="C761" s="80"/>
      <c r="D761" s="80"/>
      <c r="E761" s="80"/>
      <c r="F761" s="6"/>
      <c r="G761" s="54"/>
      <c r="H761" s="54"/>
      <c r="I761" s="7"/>
      <c r="J761" s="9"/>
      <c r="K761" s="21"/>
      <c r="L761" s="77"/>
      <c r="M761" s="77"/>
      <c r="N761" s="77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9"/>
      <c r="Z761" s="79"/>
      <c r="AA761" s="79"/>
    </row>
    <row r="762" spans="1:27" ht="99" customHeight="1" x14ac:dyDescent="0.25">
      <c r="A762" s="79"/>
      <c r="B762" s="79"/>
      <c r="C762" s="80"/>
      <c r="D762" s="80"/>
      <c r="E762" s="80"/>
      <c r="F762" s="6"/>
      <c r="G762" s="54"/>
      <c r="H762" s="54"/>
      <c r="I762" s="7"/>
      <c r="J762" s="9"/>
      <c r="K762" s="21"/>
      <c r="L762" s="77"/>
      <c r="M762" s="77"/>
      <c r="N762" s="77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9"/>
      <c r="Z762" s="79"/>
      <c r="AA762" s="79"/>
    </row>
    <row r="763" spans="1:27" ht="99" customHeight="1" x14ac:dyDescent="0.25">
      <c r="A763" s="79"/>
      <c r="B763" s="79"/>
      <c r="C763" s="80"/>
      <c r="D763" s="80"/>
      <c r="E763" s="80"/>
      <c r="F763" s="6"/>
      <c r="G763" s="54"/>
      <c r="H763" s="54"/>
      <c r="I763" s="7"/>
      <c r="J763" s="9"/>
      <c r="K763" s="21"/>
      <c r="L763" s="77"/>
      <c r="M763" s="77"/>
      <c r="N763" s="77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9"/>
      <c r="Z763" s="79"/>
      <c r="AA763" s="79"/>
    </row>
    <row r="764" spans="1:27" ht="99" customHeight="1" x14ac:dyDescent="0.25">
      <c r="A764" s="79"/>
      <c r="B764" s="79"/>
      <c r="C764" s="80"/>
      <c r="D764" s="80"/>
      <c r="E764" s="80"/>
      <c r="F764" s="6"/>
      <c r="G764" s="54"/>
      <c r="H764" s="54"/>
      <c r="I764" s="7"/>
      <c r="J764" s="9"/>
      <c r="K764" s="21"/>
      <c r="L764" s="77"/>
      <c r="M764" s="77"/>
      <c r="N764" s="77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9"/>
      <c r="Z764" s="79"/>
      <c r="AA764" s="79"/>
    </row>
    <row r="765" spans="1:27" ht="99" customHeight="1" x14ac:dyDescent="0.25">
      <c r="A765" s="79"/>
      <c r="B765" s="79"/>
      <c r="C765" s="80"/>
      <c r="D765" s="80"/>
      <c r="E765" s="80"/>
      <c r="F765" s="6"/>
      <c r="G765" s="54"/>
      <c r="H765" s="54"/>
      <c r="I765" s="7"/>
      <c r="J765" s="9"/>
      <c r="K765" s="21"/>
      <c r="L765" s="77"/>
      <c r="M765" s="77"/>
      <c r="N765" s="77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9"/>
      <c r="Z765" s="79"/>
      <c r="AA765" s="79"/>
    </row>
    <row r="766" spans="1:27" ht="99" customHeight="1" x14ac:dyDescent="0.25">
      <c r="A766" s="79"/>
      <c r="B766" s="79"/>
      <c r="C766" s="80"/>
      <c r="D766" s="80"/>
      <c r="E766" s="80"/>
      <c r="F766" s="6"/>
      <c r="G766" s="54"/>
      <c r="H766" s="54"/>
      <c r="I766" s="7"/>
      <c r="J766" s="9"/>
      <c r="K766" s="21"/>
      <c r="L766" s="77"/>
      <c r="M766" s="77"/>
      <c r="N766" s="77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9"/>
      <c r="Z766" s="79"/>
      <c r="AA766" s="79"/>
    </row>
    <row r="767" spans="1:27" ht="99" customHeight="1" x14ac:dyDescent="0.25">
      <c r="A767" s="79"/>
      <c r="B767" s="79"/>
      <c r="C767" s="80"/>
      <c r="D767" s="80"/>
      <c r="E767" s="80"/>
      <c r="F767" s="6"/>
      <c r="G767" s="54"/>
      <c r="H767" s="54"/>
      <c r="I767" s="7"/>
      <c r="J767" s="9"/>
      <c r="K767" s="21"/>
      <c r="L767" s="77"/>
      <c r="M767" s="77"/>
      <c r="N767" s="77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9"/>
      <c r="Z767" s="79"/>
      <c r="AA767" s="79"/>
    </row>
    <row r="768" spans="1:27" ht="99" customHeight="1" x14ac:dyDescent="0.25">
      <c r="A768" s="79"/>
      <c r="B768" s="79"/>
      <c r="C768" s="80"/>
      <c r="D768" s="80"/>
      <c r="E768" s="80"/>
      <c r="F768" s="6"/>
      <c r="G768" s="54"/>
      <c r="H768" s="54"/>
      <c r="I768" s="7"/>
      <c r="J768" s="9"/>
      <c r="K768" s="21"/>
      <c r="L768" s="77"/>
      <c r="M768" s="77"/>
      <c r="N768" s="77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9"/>
      <c r="Z768" s="79"/>
      <c r="AA768" s="79"/>
    </row>
    <row r="769" spans="1:27" ht="99" customHeight="1" x14ac:dyDescent="0.25">
      <c r="A769" s="79"/>
      <c r="B769" s="79"/>
      <c r="C769" s="80"/>
      <c r="D769" s="80"/>
      <c r="E769" s="80"/>
      <c r="F769" s="6"/>
      <c r="G769" s="54"/>
      <c r="H769" s="54"/>
      <c r="I769" s="7"/>
      <c r="J769" s="9"/>
      <c r="K769" s="21"/>
      <c r="L769" s="77"/>
      <c r="M769" s="77"/>
      <c r="N769" s="77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9"/>
      <c r="Z769" s="79"/>
      <c r="AA769" s="79"/>
    </row>
    <row r="770" spans="1:27" ht="99" customHeight="1" x14ac:dyDescent="0.25">
      <c r="A770" s="79"/>
      <c r="B770" s="79"/>
      <c r="C770" s="80"/>
      <c r="D770" s="80"/>
      <c r="E770" s="80"/>
      <c r="F770" s="6"/>
      <c r="G770" s="54"/>
      <c r="H770" s="54"/>
      <c r="I770" s="7"/>
      <c r="J770" s="9"/>
      <c r="K770" s="21"/>
      <c r="L770" s="77"/>
      <c r="M770" s="77"/>
      <c r="N770" s="77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9"/>
      <c r="Z770" s="79"/>
      <c r="AA770" s="79"/>
    </row>
    <row r="771" spans="1:27" ht="99" customHeight="1" x14ac:dyDescent="0.25">
      <c r="A771" s="79"/>
      <c r="B771" s="79"/>
      <c r="C771" s="80"/>
      <c r="D771" s="80"/>
      <c r="E771" s="80"/>
      <c r="F771" s="6"/>
      <c r="G771" s="54"/>
      <c r="H771" s="54"/>
      <c r="I771" s="7"/>
      <c r="J771" s="9"/>
      <c r="K771" s="21"/>
      <c r="L771" s="77"/>
      <c r="M771" s="77"/>
      <c r="N771" s="77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9"/>
      <c r="Z771" s="79"/>
      <c r="AA771" s="79"/>
    </row>
    <row r="772" spans="1:27" ht="99" customHeight="1" x14ac:dyDescent="0.25">
      <c r="A772" s="79"/>
      <c r="B772" s="79"/>
      <c r="C772" s="80"/>
      <c r="D772" s="80"/>
      <c r="E772" s="80"/>
      <c r="F772" s="6"/>
      <c r="G772" s="54"/>
      <c r="H772" s="54"/>
      <c r="I772" s="7"/>
      <c r="J772" s="9"/>
      <c r="K772" s="21"/>
      <c r="L772" s="77"/>
      <c r="M772" s="77"/>
      <c r="N772" s="77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9"/>
      <c r="Z772" s="79"/>
      <c r="AA772" s="79"/>
    </row>
    <row r="773" spans="1:27" ht="99" customHeight="1" x14ac:dyDescent="0.25">
      <c r="A773" s="79"/>
      <c r="B773" s="79"/>
      <c r="C773" s="80"/>
      <c r="D773" s="80"/>
      <c r="E773" s="80"/>
      <c r="F773" s="6"/>
      <c r="G773" s="54"/>
      <c r="H773" s="54"/>
      <c r="I773" s="7"/>
      <c r="J773" s="9"/>
      <c r="K773" s="21"/>
      <c r="L773" s="77"/>
      <c r="M773" s="77"/>
      <c r="N773" s="77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9"/>
      <c r="Z773" s="79"/>
      <c r="AA773" s="79"/>
    </row>
    <row r="774" spans="1:27" ht="99" customHeight="1" x14ac:dyDescent="0.25">
      <c r="A774" s="79"/>
      <c r="B774" s="79"/>
      <c r="C774" s="80"/>
      <c r="D774" s="80"/>
      <c r="E774" s="80"/>
      <c r="F774" s="6"/>
      <c r="G774" s="54"/>
      <c r="H774" s="54"/>
      <c r="I774" s="7"/>
      <c r="J774" s="9"/>
      <c r="K774" s="21"/>
      <c r="L774" s="77"/>
      <c r="M774" s="77"/>
      <c r="N774" s="77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9"/>
      <c r="Z774" s="79"/>
      <c r="AA774" s="79"/>
    </row>
    <row r="775" spans="1:27" ht="99" customHeight="1" x14ac:dyDescent="0.25">
      <c r="A775" s="79"/>
      <c r="B775" s="79"/>
      <c r="C775" s="80"/>
      <c r="D775" s="80"/>
      <c r="E775" s="80"/>
      <c r="F775" s="6"/>
      <c r="G775" s="54"/>
      <c r="H775" s="54"/>
      <c r="I775" s="7"/>
      <c r="J775" s="9"/>
      <c r="K775" s="21"/>
      <c r="L775" s="77"/>
      <c r="M775" s="77"/>
      <c r="N775" s="77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9"/>
      <c r="Z775" s="79"/>
      <c r="AA775" s="79"/>
    </row>
    <row r="776" spans="1:27" ht="99" customHeight="1" x14ac:dyDescent="0.25">
      <c r="A776" s="79"/>
      <c r="B776" s="79"/>
      <c r="C776" s="80"/>
      <c r="D776" s="80"/>
      <c r="E776" s="80"/>
      <c r="F776" s="6"/>
      <c r="G776" s="54"/>
      <c r="H776" s="54"/>
      <c r="I776" s="7"/>
      <c r="J776" s="9"/>
      <c r="K776" s="21"/>
      <c r="L776" s="77"/>
      <c r="M776" s="77"/>
      <c r="N776" s="77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9"/>
      <c r="Z776" s="79"/>
      <c r="AA776" s="79"/>
    </row>
    <row r="777" spans="1:27" ht="99" customHeight="1" x14ac:dyDescent="0.25">
      <c r="A777" s="79"/>
      <c r="B777" s="79"/>
      <c r="C777" s="80"/>
      <c r="D777" s="80"/>
      <c r="E777" s="80"/>
      <c r="F777" s="6"/>
      <c r="G777" s="54"/>
      <c r="H777" s="54"/>
      <c r="I777" s="7"/>
      <c r="J777" s="9"/>
      <c r="K777" s="21"/>
      <c r="L777" s="77"/>
      <c r="M777" s="77"/>
      <c r="N777" s="77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9"/>
      <c r="Z777" s="79"/>
      <c r="AA777" s="79"/>
    </row>
    <row r="778" spans="1:27" ht="99" customHeight="1" x14ac:dyDescent="0.25">
      <c r="A778" s="79"/>
      <c r="B778" s="79"/>
      <c r="C778" s="80"/>
      <c r="D778" s="80"/>
      <c r="E778" s="80"/>
      <c r="F778" s="6"/>
      <c r="G778" s="54"/>
      <c r="H778" s="54"/>
      <c r="I778" s="7"/>
      <c r="J778" s="9"/>
      <c r="K778" s="21"/>
      <c r="L778" s="77"/>
      <c r="M778" s="77"/>
      <c r="N778" s="77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9"/>
      <c r="Z778" s="79"/>
      <c r="AA778" s="79"/>
    </row>
    <row r="779" spans="1:27" ht="99" customHeight="1" x14ac:dyDescent="0.25">
      <c r="A779" s="79"/>
      <c r="B779" s="79"/>
      <c r="C779" s="80"/>
      <c r="D779" s="80"/>
      <c r="E779" s="80"/>
      <c r="F779" s="6"/>
      <c r="G779" s="54"/>
      <c r="H779" s="54"/>
      <c r="I779" s="7"/>
      <c r="J779" s="9"/>
      <c r="K779" s="21"/>
      <c r="L779" s="77"/>
      <c r="M779" s="77"/>
      <c r="N779" s="77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9"/>
      <c r="Z779" s="79"/>
      <c r="AA779" s="79"/>
    </row>
    <row r="780" spans="1:27" ht="99" customHeight="1" x14ac:dyDescent="0.25">
      <c r="A780" s="79"/>
      <c r="B780" s="79"/>
      <c r="C780" s="80"/>
      <c r="D780" s="80"/>
      <c r="E780" s="80"/>
      <c r="F780" s="6"/>
      <c r="G780" s="54"/>
      <c r="H780" s="54"/>
      <c r="I780" s="7"/>
      <c r="J780" s="9"/>
      <c r="K780" s="21"/>
      <c r="L780" s="77"/>
      <c r="M780" s="77"/>
      <c r="N780" s="77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9"/>
      <c r="Z780" s="79"/>
      <c r="AA780" s="79"/>
    </row>
    <row r="781" spans="1:27" ht="99" customHeight="1" x14ac:dyDescent="0.25">
      <c r="A781" s="79"/>
      <c r="B781" s="79"/>
      <c r="C781" s="80"/>
      <c r="D781" s="80"/>
      <c r="E781" s="80"/>
      <c r="F781" s="6"/>
      <c r="G781" s="54"/>
      <c r="H781" s="54"/>
      <c r="I781" s="7"/>
      <c r="J781" s="9"/>
      <c r="K781" s="21"/>
      <c r="L781" s="77"/>
      <c r="M781" s="77"/>
      <c r="N781" s="77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9"/>
      <c r="Z781" s="79"/>
      <c r="AA781" s="79"/>
    </row>
    <row r="782" spans="1:27" ht="99" customHeight="1" x14ac:dyDescent="0.25">
      <c r="A782" s="79"/>
      <c r="B782" s="79"/>
      <c r="C782" s="80"/>
      <c r="D782" s="80"/>
      <c r="E782" s="80"/>
      <c r="F782" s="6"/>
      <c r="G782" s="54"/>
      <c r="H782" s="54"/>
      <c r="I782" s="7"/>
      <c r="J782" s="9"/>
      <c r="K782" s="21"/>
      <c r="L782" s="77"/>
      <c r="M782" s="77"/>
      <c r="N782" s="77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9"/>
      <c r="Z782" s="79"/>
      <c r="AA782" s="79"/>
    </row>
    <row r="783" spans="1:27" ht="99" customHeight="1" x14ac:dyDescent="0.25">
      <c r="A783" s="79"/>
      <c r="B783" s="79"/>
      <c r="C783" s="80"/>
      <c r="D783" s="80"/>
      <c r="E783" s="80"/>
      <c r="F783" s="6"/>
      <c r="G783" s="54"/>
      <c r="H783" s="54"/>
      <c r="I783" s="7"/>
      <c r="J783" s="9"/>
      <c r="K783" s="21"/>
      <c r="L783" s="77"/>
      <c r="M783" s="77"/>
      <c r="N783" s="77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9"/>
      <c r="Z783" s="79"/>
      <c r="AA783" s="79"/>
    </row>
    <row r="784" spans="1:27" ht="99" customHeight="1" x14ac:dyDescent="0.25">
      <c r="A784" s="79"/>
      <c r="B784" s="79"/>
      <c r="C784" s="80"/>
      <c r="D784" s="80"/>
      <c r="E784" s="80"/>
      <c r="F784" s="6"/>
      <c r="G784" s="54"/>
      <c r="H784" s="54"/>
      <c r="I784" s="7"/>
      <c r="J784" s="9"/>
      <c r="K784" s="21"/>
      <c r="L784" s="77"/>
      <c r="M784" s="77"/>
      <c r="N784" s="77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9"/>
      <c r="Z784" s="79"/>
      <c r="AA784" s="79"/>
    </row>
    <row r="785" spans="1:27" ht="99" customHeight="1" x14ac:dyDescent="0.25">
      <c r="A785" s="79"/>
      <c r="B785" s="79"/>
      <c r="C785" s="80"/>
      <c r="D785" s="80"/>
      <c r="E785" s="80"/>
      <c r="F785" s="6"/>
      <c r="G785" s="54"/>
      <c r="H785" s="54"/>
      <c r="I785" s="7"/>
      <c r="J785" s="9"/>
      <c r="K785" s="21"/>
      <c r="L785" s="77"/>
      <c r="M785" s="77"/>
      <c r="N785" s="77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9"/>
      <c r="Z785" s="79"/>
      <c r="AA785" s="79"/>
    </row>
    <row r="786" spans="1:27" ht="99" customHeight="1" x14ac:dyDescent="0.25">
      <c r="A786" s="79"/>
      <c r="B786" s="79"/>
      <c r="C786" s="80"/>
      <c r="D786" s="80"/>
      <c r="E786" s="80"/>
      <c r="F786" s="6"/>
      <c r="G786" s="54"/>
      <c r="H786" s="54"/>
      <c r="I786" s="7"/>
      <c r="J786" s="9"/>
      <c r="K786" s="21"/>
      <c r="L786" s="77"/>
      <c r="M786" s="77"/>
      <c r="N786" s="77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9"/>
      <c r="Z786" s="79"/>
      <c r="AA786" s="79"/>
    </row>
    <row r="787" spans="1:27" ht="99" customHeight="1" x14ac:dyDescent="0.25">
      <c r="A787" s="79"/>
      <c r="B787" s="79"/>
      <c r="C787" s="80"/>
      <c r="D787" s="80"/>
      <c r="E787" s="80"/>
      <c r="F787" s="6"/>
      <c r="G787" s="54"/>
      <c r="H787" s="54"/>
      <c r="I787" s="7"/>
      <c r="J787" s="9"/>
      <c r="K787" s="21"/>
      <c r="L787" s="77"/>
      <c r="M787" s="77"/>
      <c r="N787" s="77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9"/>
      <c r="Z787" s="79"/>
      <c r="AA787" s="79"/>
    </row>
    <row r="788" spans="1:27" ht="99" customHeight="1" x14ac:dyDescent="0.25">
      <c r="A788" s="79"/>
      <c r="B788" s="79"/>
      <c r="C788" s="80"/>
      <c r="D788" s="80"/>
      <c r="E788" s="80"/>
      <c r="F788" s="6"/>
      <c r="G788" s="54"/>
      <c r="H788" s="54"/>
      <c r="I788" s="7"/>
      <c r="J788" s="9"/>
      <c r="K788" s="21"/>
      <c r="L788" s="77"/>
      <c r="M788" s="77"/>
      <c r="N788" s="77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9"/>
      <c r="Z788" s="79"/>
      <c r="AA788" s="79"/>
    </row>
    <row r="789" spans="1:27" ht="99" customHeight="1" x14ac:dyDescent="0.25">
      <c r="A789" s="79"/>
      <c r="B789" s="79"/>
      <c r="C789" s="80"/>
      <c r="D789" s="80"/>
      <c r="E789" s="80"/>
      <c r="F789" s="6"/>
      <c r="G789" s="54"/>
      <c r="H789" s="54"/>
      <c r="I789" s="7"/>
      <c r="J789" s="9"/>
      <c r="K789" s="21"/>
      <c r="L789" s="77"/>
      <c r="M789" s="77"/>
      <c r="N789" s="77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9"/>
      <c r="Z789" s="79"/>
      <c r="AA789" s="79"/>
    </row>
    <row r="790" spans="1:27" ht="99" customHeight="1" x14ac:dyDescent="0.25">
      <c r="A790" s="79"/>
      <c r="B790" s="79"/>
      <c r="C790" s="80"/>
      <c r="D790" s="80"/>
      <c r="E790" s="80"/>
      <c r="F790" s="6"/>
      <c r="G790" s="54"/>
      <c r="H790" s="54"/>
      <c r="I790" s="7"/>
      <c r="J790" s="9"/>
      <c r="K790" s="21"/>
      <c r="L790" s="77"/>
      <c r="M790" s="77"/>
      <c r="N790" s="77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9"/>
      <c r="Z790" s="79"/>
      <c r="AA790" s="79"/>
    </row>
    <row r="791" spans="1:27" ht="99" customHeight="1" x14ac:dyDescent="0.25">
      <c r="A791" s="79"/>
      <c r="B791" s="79"/>
      <c r="C791" s="80"/>
      <c r="D791" s="80"/>
      <c r="E791" s="80"/>
      <c r="F791" s="6"/>
      <c r="G791" s="54"/>
      <c r="H791" s="54"/>
      <c r="I791" s="7"/>
      <c r="J791" s="9"/>
      <c r="K791" s="21"/>
      <c r="L791" s="77"/>
      <c r="M791" s="77"/>
      <c r="N791" s="77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9"/>
      <c r="Z791" s="79"/>
      <c r="AA791" s="79"/>
    </row>
    <row r="792" spans="1:27" ht="99" customHeight="1" x14ac:dyDescent="0.25">
      <c r="A792" s="79"/>
      <c r="B792" s="79"/>
      <c r="C792" s="80"/>
      <c r="D792" s="80"/>
      <c r="E792" s="80"/>
      <c r="F792" s="6"/>
      <c r="G792" s="54"/>
      <c r="H792" s="54"/>
      <c r="I792" s="7"/>
      <c r="J792" s="9"/>
      <c r="K792" s="21"/>
      <c r="L792" s="77"/>
      <c r="M792" s="77"/>
      <c r="N792" s="77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9"/>
      <c r="Z792" s="79"/>
      <c r="AA792" s="79"/>
    </row>
    <row r="793" spans="1:27" ht="99" customHeight="1" x14ac:dyDescent="0.25">
      <c r="A793" s="79"/>
      <c r="B793" s="79"/>
      <c r="C793" s="80"/>
      <c r="D793" s="80"/>
      <c r="E793" s="80"/>
      <c r="F793" s="6"/>
      <c r="G793" s="54"/>
      <c r="H793" s="54"/>
      <c r="I793" s="7"/>
      <c r="J793" s="9"/>
      <c r="K793" s="21"/>
      <c r="L793" s="77"/>
      <c r="M793" s="77"/>
      <c r="N793" s="77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9"/>
      <c r="Z793" s="79"/>
      <c r="AA793" s="79"/>
    </row>
    <row r="794" spans="1:27" ht="99" customHeight="1" x14ac:dyDescent="0.25">
      <c r="A794" s="79"/>
      <c r="B794" s="79"/>
      <c r="C794" s="80"/>
      <c r="D794" s="80"/>
      <c r="E794" s="80"/>
      <c r="F794" s="6"/>
      <c r="G794" s="54"/>
      <c r="H794" s="54"/>
      <c r="I794" s="7"/>
      <c r="J794" s="9"/>
      <c r="K794" s="21"/>
      <c r="L794" s="77"/>
      <c r="M794" s="77"/>
      <c r="N794" s="77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9"/>
      <c r="Z794" s="79"/>
      <c r="AA794" s="79"/>
    </row>
    <row r="795" spans="1:27" ht="99" customHeight="1" x14ac:dyDescent="0.25">
      <c r="A795" s="79"/>
      <c r="B795" s="79"/>
      <c r="C795" s="80"/>
      <c r="D795" s="80"/>
      <c r="E795" s="80"/>
      <c r="F795" s="6"/>
      <c r="G795" s="54"/>
      <c r="H795" s="54"/>
      <c r="I795" s="7"/>
      <c r="J795" s="9"/>
      <c r="K795" s="21"/>
      <c r="L795" s="77"/>
      <c r="M795" s="77"/>
      <c r="N795" s="77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9"/>
      <c r="Z795" s="79"/>
      <c r="AA795" s="79"/>
    </row>
    <row r="796" spans="1:27" ht="99" customHeight="1" x14ac:dyDescent="0.25">
      <c r="A796" s="79"/>
      <c r="B796" s="79"/>
      <c r="C796" s="80"/>
      <c r="D796" s="80"/>
      <c r="E796" s="80"/>
      <c r="F796" s="6"/>
      <c r="G796" s="54"/>
      <c r="H796" s="54"/>
      <c r="I796" s="7"/>
      <c r="J796" s="9"/>
      <c r="K796" s="21"/>
      <c r="L796" s="77"/>
      <c r="M796" s="77"/>
      <c r="N796" s="77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9"/>
      <c r="Z796" s="79"/>
      <c r="AA796" s="79"/>
    </row>
    <row r="797" spans="1:27" ht="99" customHeight="1" x14ac:dyDescent="0.25">
      <c r="A797" s="79"/>
      <c r="B797" s="79"/>
      <c r="C797" s="80"/>
      <c r="D797" s="80"/>
      <c r="E797" s="80"/>
      <c r="F797" s="6"/>
      <c r="G797" s="54"/>
      <c r="H797" s="54"/>
      <c r="I797" s="7"/>
      <c r="J797" s="9"/>
      <c r="K797" s="21"/>
      <c r="L797" s="77"/>
      <c r="M797" s="77"/>
      <c r="N797" s="77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9"/>
      <c r="Z797" s="79"/>
      <c r="AA797" s="79"/>
    </row>
    <row r="798" spans="1:27" ht="99" customHeight="1" x14ac:dyDescent="0.25">
      <c r="A798" s="79"/>
      <c r="B798" s="79"/>
      <c r="C798" s="80"/>
      <c r="D798" s="80"/>
      <c r="E798" s="80"/>
      <c r="F798" s="6"/>
      <c r="G798" s="54"/>
      <c r="H798" s="54"/>
      <c r="I798" s="7"/>
      <c r="J798" s="9"/>
      <c r="K798" s="21"/>
      <c r="L798" s="77"/>
      <c r="M798" s="77"/>
      <c r="N798" s="77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9"/>
      <c r="Z798" s="79"/>
      <c r="AA798" s="79"/>
    </row>
    <row r="799" spans="1:27" ht="99" customHeight="1" x14ac:dyDescent="0.25">
      <c r="A799" s="79"/>
      <c r="B799" s="79"/>
      <c r="C799" s="80"/>
      <c r="D799" s="80"/>
      <c r="E799" s="80"/>
      <c r="F799" s="6"/>
      <c r="G799" s="54"/>
      <c r="H799" s="54"/>
      <c r="I799" s="7"/>
      <c r="J799" s="9"/>
      <c r="K799" s="21"/>
      <c r="L799" s="77"/>
      <c r="M799" s="77"/>
      <c r="N799" s="77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9"/>
      <c r="Z799" s="79"/>
      <c r="AA799" s="79"/>
    </row>
    <row r="800" spans="1:27" ht="99" customHeight="1" x14ac:dyDescent="0.25">
      <c r="A800" s="79"/>
      <c r="B800" s="79"/>
      <c r="C800" s="80"/>
      <c r="D800" s="80"/>
      <c r="E800" s="80"/>
      <c r="F800" s="6"/>
      <c r="G800" s="54"/>
      <c r="H800" s="54"/>
      <c r="I800" s="7"/>
      <c r="J800" s="9"/>
      <c r="K800" s="21"/>
      <c r="L800" s="77"/>
      <c r="M800" s="77"/>
      <c r="N800" s="77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9"/>
      <c r="Z800" s="79"/>
      <c r="AA800" s="79"/>
    </row>
    <row r="801" spans="1:27" ht="99" customHeight="1" x14ac:dyDescent="0.25">
      <c r="A801" s="79"/>
      <c r="B801" s="79"/>
      <c r="C801" s="80"/>
      <c r="D801" s="80"/>
      <c r="E801" s="80"/>
      <c r="F801" s="6"/>
      <c r="G801" s="54"/>
      <c r="H801" s="54"/>
      <c r="I801" s="7"/>
      <c r="J801" s="9"/>
      <c r="K801" s="21"/>
      <c r="L801" s="77"/>
      <c r="M801" s="77"/>
      <c r="N801" s="77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9"/>
      <c r="Z801" s="79"/>
      <c r="AA801" s="79"/>
    </row>
    <row r="802" spans="1:27" ht="99" customHeight="1" x14ac:dyDescent="0.25">
      <c r="A802" s="79"/>
      <c r="B802" s="79"/>
      <c r="C802" s="80"/>
      <c r="D802" s="80"/>
      <c r="E802" s="80"/>
      <c r="F802" s="6"/>
      <c r="G802" s="54"/>
      <c r="H802" s="54"/>
      <c r="I802" s="7"/>
      <c r="J802" s="9"/>
      <c r="K802" s="21"/>
      <c r="L802" s="77"/>
      <c r="M802" s="77"/>
      <c r="N802" s="77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9"/>
      <c r="Z802" s="79"/>
      <c r="AA802" s="79"/>
    </row>
    <row r="803" spans="1:27" ht="99" customHeight="1" x14ac:dyDescent="0.25">
      <c r="A803" s="79"/>
      <c r="B803" s="79"/>
      <c r="C803" s="80"/>
      <c r="D803" s="80"/>
      <c r="E803" s="80"/>
      <c r="F803" s="6"/>
      <c r="G803" s="54"/>
      <c r="H803" s="54"/>
      <c r="I803" s="7"/>
      <c r="J803" s="9"/>
      <c r="K803" s="21"/>
      <c r="L803" s="77"/>
      <c r="M803" s="77"/>
      <c r="N803" s="77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9"/>
      <c r="Z803" s="79"/>
      <c r="AA803" s="79"/>
    </row>
    <row r="804" spans="1:27" ht="99" customHeight="1" x14ac:dyDescent="0.25">
      <c r="A804" s="79"/>
      <c r="B804" s="79"/>
      <c r="C804" s="80"/>
      <c r="D804" s="80"/>
      <c r="E804" s="80"/>
      <c r="F804" s="6"/>
      <c r="G804" s="54"/>
      <c r="H804" s="54"/>
      <c r="I804" s="7"/>
      <c r="J804" s="9"/>
      <c r="K804" s="21"/>
      <c r="L804" s="77"/>
      <c r="M804" s="77"/>
      <c r="N804" s="77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9"/>
      <c r="Z804" s="79"/>
      <c r="AA804" s="79"/>
    </row>
    <row r="805" spans="1:27" ht="99" customHeight="1" x14ac:dyDescent="0.25">
      <c r="A805" s="79"/>
      <c r="B805" s="79"/>
      <c r="C805" s="80"/>
      <c r="D805" s="80"/>
      <c r="E805" s="80"/>
      <c r="F805" s="6"/>
      <c r="G805" s="54"/>
      <c r="H805" s="54"/>
      <c r="I805" s="7"/>
      <c r="J805" s="9"/>
      <c r="K805" s="21"/>
      <c r="L805" s="77"/>
      <c r="M805" s="77"/>
      <c r="N805" s="77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9"/>
      <c r="Z805" s="79"/>
      <c r="AA805" s="79"/>
    </row>
    <row r="806" spans="1:27" ht="99" customHeight="1" x14ac:dyDescent="0.25">
      <c r="A806" s="79"/>
      <c r="B806" s="79"/>
      <c r="C806" s="80"/>
      <c r="D806" s="80"/>
      <c r="E806" s="80"/>
      <c r="F806" s="6"/>
      <c r="G806" s="54"/>
      <c r="H806" s="54"/>
      <c r="I806" s="7"/>
      <c r="J806" s="9"/>
      <c r="K806" s="21"/>
      <c r="L806" s="77"/>
      <c r="M806" s="77"/>
      <c r="N806" s="77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9"/>
      <c r="Z806" s="79"/>
      <c r="AA806" s="79"/>
    </row>
    <row r="807" spans="1:27" ht="99" customHeight="1" x14ac:dyDescent="0.25">
      <c r="A807" s="79"/>
      <c r="B807" s="79"/>
      <c r="C807" s="80"/>
      <c r="D807" s="80"/>
      <c r="E807" s="80"/>
      <c r="F807" s="6"/>
      <c r="G807" s="54"/>
      <c r="H807" s="54"/>
      <c r="I807" s="7"/>
      <c r="J807" s="9"/>
      <c r="K807" s="21"/>
      <c r="L807" s="77"/>
      <c r="M807" s="77"/>
      <c r="N807" s="77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9"/>
      <c r="Z807" s="79"/>
      <c r="AA807" s="79"/>
    </row>
    <row r="808" spans="1:27" ht="99" customHeight="1" x14ac:dyDescent="0.25">
      <c r="A808" s="79"/>
      <c r="B808" s="79"/>
      <c r="C808" s="80"/>
      <c r="D808" s="80"/>
      <c r="E808" s="80"/>
      <c r="F808" s="6"/>
      <c r="G808" s="54"/>
      <c r="H808" s="54"/>
      <c r="I808" s="7"/>
      <c r="J808" s="9"/>
      <c r="K808" s="21"/>
      <c r="L808" s="77"/>
      <c r="M808" s="77"/>
      <c r="N808" s="77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9"/>
      <c r="Z808" s="79"/>
      <c r="AA808" s="79"/>
    </row>
    <row r="809" spans="1:27" ht="99" customHeight="1" x14ac:dyDescent="0.25">
      <c r="A809" s="79"/>
      <c r="B809" s="79"/>
      <c r="C809" s="80"/>
      <c r="D809" s="80"/>
      <c r="E809" s="80"/>
      <c r="F809" s="6"/>
      <c r="G809" s="54"/>
      <c r="H809" s="54"/>
      <c r="I809" s="7"/>
      <c r="J809" s="9"/>
      <c r="K809" s="21"/>
      <c r="L809" s="77"/>
      <c r="M809" s="77"/>
      <c r="N809" s="77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9"/>
      <c r="Z809" s="79"/>
      <c r="AA809" s="79"/>
    </row>
    <row r="810" spans="1:27" ht="99" customHeight="1" x14ac:dyDescent="0.25">
      <c r="A810" s="79"/>
      <c r="B810" s="79"/>
      <c r="C810" s="80"/>
      <c r="D810" s="80"/>
      <c r="E810" s="80"/>
      <c r="F810" s="6"/>
      <c r="G810" s="54"/>
      <c r="H810" s="54"/>
      <c r="I810" s="7"/>
      <c r="J810" s="9"/>
      <c r="K810" s="21"/>
      <c r="L810" s="77"/>
      <c r="M810" s="77"/>
      <c r="N810" s="77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9"/>
      <c r="Z810" s="79"/>
      <c r="AA810" s="79"/>
    </row>
    <row r="811" spans="1:27" ht="99" customHeight="1" x14ac:dyDescent="0.25">
      <c r="A811" s="79"/>
      <c r="B811" s="79"/>
      <c r="C811" s="80"/>
      <c r="D811" s="80"/>
      <c r="E811" s="80"/>
      <c r="F811" s="6"/>
      <c r="G811" s="54"/>
      <c r="H811" s="54"/>
      <c r="I811" s="7"/>
      <c r="J811" s="9"/>
      <c r="K811" s="21"/>
      <c r="L811" s="77"/>
      <c r="M811" s="77"/>
      <c r="N811" s="77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9"/>
      <c r="Z811" s="79"/>
      <c r="AA811" s="79"/>
    </row>
    <row r="812" spans="1:27" ht="99" customHeight="1" x14ac:dyDescent="0.25">
      <c r="A812" s="79"/>
      <c r="B812" s="79"/>
      <c r="C812" s="80"/>
      <c r="D812" s="80"/>
      <c r="E812" s="80"/>
      <c r="F812" s="6"/>
      <c r="G812" s="54"/>
      <c r="H812" s="54"/>
      <c r="I812" s="7"/>
      <c r="J812" s="9"/>
      <c r="K812" s="21"/>
      <c r="L812" s="77"/>
      <c r="M812" s="77"/>
      <c r="N812" s="77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9"/>
      <c r="Z812" s="79"/>
      <c r="AA812" s="79"/>
    </row>
    <row r="813" spans="1:27" ht="99" customHeight="1" x14ac:dyDescent="0.25">
      <c r="A813" s="79"/>
      <c r="B813" s="79"/>
      <c r="C813" s="80"/>
      <c r="D813" s="80"/>
      <c r="E813" s="80"/>
      <c r="F813" s="6"/>
      <c r="G813" s="54"/>
      <c r="H813" s="54"/>
      <c r="I813" s="7"/>
      <c r="J813" s="9"/>
      <c r="K813" s="21"/>
      <c r="L813" s="77"/>
      <c r="M813" s="77"/>
      <c r="N813" s="77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9"/>
      <c r="Z813" s="79"/>
      <c r="AA813" s="79"/>
    </row>
    <row r="814" spans="1:27" ht="99" customHeight="1" x14ac:dyDescent="0.25">
      <c r="A814" s="79"/>
      <c r="B814" s="79"/>
      <c r="C814" s="80"/>
      <c r="D814" s="80"/>
      <c r="E814" s="80"/>
      <c r="F814" s="6"/>
      <c r="G814" s="54"/>
      <c r="H814" s="54"/>
      <c r="I814" s="7"/>
      <c r="J814" s="9"/>
      <c r="K814" s="21"/>
      <c r="L814" s="77"/>
      <c r="M814" s="77"/>
      <c r="N814" s="77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9"/>
      <c r="Z814" s="79"/>
      <c r="AA814" s="79"/>
    </row>
    <row r="815" spans="1:27" ht="99" customHeight="1" x14ac:dyDescent="0.25">
      <c r="A815" s="79"/>
      <c r="B815" s="79"/>
      <c r="C815" s="80"/>
      <c r="D815" s="80"/>
      <c r="E815" s="80"/>
      <c r="F815" s="6"/>
      <c r="G815" s="54"/>
      <c r="H815" s="54"/>
      <c r="I815" s="7"/>
      <c r="J815" s="9"/>
      <c r="K815" s="21"/>
      <c r="L815" s="77"/>
      <c r="M815" s="77"/>
      <c r="N815" s="77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9"/>
      <c r="Z815" s="79"/>
      <c r="AA815" s="79"/>
    </row>
    <row r="816" spans="1:27" ht="99" customHeight="1" x14ac:dyDescent="0.25">
      <c r="A816" s="79"/>
      <c r="B816" s="79"/>
      <c r="C816" s="80"/>
      <c r="D816" s="80"/>
      <c r="E816" s="80"/>
      <c r="F816" s="6"/>
      <c r="G816" s="54"/>
      <c r="H816" s="54"/>
      <c r="I816" s="7"/>
      <c r="J816" s="9"/>
      <c r="K816" s="21"/>
      <c r="L816" s="77"/>
      <c r="M816" s="77"/>
      <c r="N816" s="77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9"/>
      <c r="Z816" s="79"/>
      <c r="AA816" s="79"/>
    </row>
    <row r="817" spans="1:27" ht="99" customHeight="1" x14ac:dyDescent="0.25">
      <c r="A817" s="79"/>
      <c r="B817" s="79"/>
      <c r="C817" s="80"/>
      <c r="D817" s="80"/>
      <c r="E817" s="80"/>
      <c r="F817" s="6"/>
      <c r="G817" s="54"/>
      <c r="H817" s="54"/>
      <c r="I817" s="7"/>
      <c r="J817" s="9"/>
      <c r="K817" s="21"/>
      <c r="L817" s="77"/>
      <c r="M817" s="77"/>
      <c r="N817" s="77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9"/>
      <c r="Z817" s="79"/>
      <c r="AA817" s="79"/>
    </row>
    <row r="818" spans="1:27" ht="99" customHeight="1" x14ac:dyDescent="0.25">
      <c r="A818" s="79"/>
      <c r="B818" s="79"/>
      <c r="C818" s="80"/>
      <c r="D818" s="80"/>
      <c r="E818" s="80"/>
      <c r="F818" s="6"/>
      <c r="G818" s="54"/>
      <c r="H818" s="54"/>
      <c r="I818" s="7"/>
      <c r="J818" s="9"/>
      <c r="K818" s="21"/>
      <c r="L818" s="77"/>
      <c r="M818" s="77"/>
      <c r="N818" s="77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9"/>
      <c r="Z818" s="79"/>
      <c r="AA818" s="79"/>
    </row>
    <row r="819" spans="1:27" ht="99" customHeight="1" x14ac:dyDescent="0.25">
      <c r="A819" s="79"/>
      <c r="B819" s="79"/>
      <c r="C819" s="80"/>
      <c r="D819" s="80"/>
      <c r="E819" s="80"/>
      <c r="F819" s="6"/>
      <c r="G819" s="54"/>
      <c r="H819" s="54"/>
      <c r="I819" s="7"/>
      <c r="J819" s="9"/>
      <c r="K819" s="21"/>
      <c r="L819" s="77"/>
      <c r="M819" s="77"/>
      <c r="N819" s="77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9"/>
      <c r="Z819" s="79"/>
      <c r="AA819" s="79"/>
    </row>
    <row r="820" spans="1:27" ht="99" customHeight="1" x14ac:dyDescent="0.25">
      <c r="A820" s="79"/>
      <c r="B820" s="79"/>
      <c r="C820" s="80"/>
      <c r="D820" s="80"/>
      <c r="E820" s="80"/>
      <c r="F820" s="6"/>
      <c r="G820" s="54"/>
      <c r="H820" s="54"/>
      <c r="I820" s="7"/>
      <c r="J820" s="9"/>
      <c r="K820" s="21"/>
      <c r="L820" s="77"/>
      <c r="M820" s="77"/>
      <c r="N820" s="77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9"/>
      <c r="Z820" s="79"/>
      <c r="AA820" s="79"/>
    </row>
    <row r="821" spans="1:27" ht="99" customHeight="1" x14ac:dyDescent="0.25">
      <c r="A821" s="79"/>
      <c r="B821" s="79"/>
      <c r="C821" s="80"/>
      <c r="D821" s="80"/>
      <c r="E821" s="80"/>
      <c r="F821" s="6"/>
      <c r="G821" s="54"/>
      <c r="H821" s="54"/>
      <c r="I821" s="7"/>
      <c r="J821" s="9"/>
      <c r="K821" s="21"/>
      <c r="L821" s="77"/>
      <c r="M821" s="77"/>
      <c r="N821" s="77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9"/>
      <c r="Z821" s="79"/>
      <c r="AA821" s="79"/>
    </row>
    <row r="822" spans="1:27" ht="99" customHeight="1" x14ac:dyDescent="0.25">
      <c r="A822" s="79"/>
      <c r="B822" s="79"/>
      <c r="C822" s="80"/>
      <c r="D822" s="80"/>
      <c r="E822" s="80"/>
      <c r="F822" s="6"/>
      <c r="G822" s="54"/>
      <c r="H822" s="54"/>
      <c r="I822" s="7"/>
      <c r="J822" s="9"/>
      <c r="K822" s="21"/>
      <c r="L822" s="77"/>
      <c r="M822" s="77"/>
      <c r="N822" s="77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9"/>
      <c r="Z822" s="79"/>
      <c r="AA822" s="79"/>
    </row>
    <row r="823" spans="1:27" ht="99" customHeight="1" x14ac:dyDescent="0.25">
      <c r="A823" s="79"/>
      <c r="B823" s="79"/>
      <c r="C823" s="80"/>
      <c r="D823" s="80"/>
      <c r="E823" s="80"/>
      <c r="F823" s="6"/>
      <c r="G823" s="54"/>
      <c r="H823" s="54"/>
      <c r="I823" s="7"/>
      <c r="J823" s="9"/>
      <c r="K823" s="21"/>
      <c r="L823" s="77"/>
      <c r="M823" s="77"/>
      <c r="N823" s="77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9"/>
      <c r="Z823" s="79"/>
      <c r="AA823" s="79"/>
    </row>
    <row r="824" spans="1:27" ht="99" customHeight="1" x14ac:dyDescent="0.25">
      <c r="A824" s="79"/>
      <c r="B824" s="79"/>
      <c r="C824" s="80"/>
      <c r="D824" s="80"/>
      <c r="E824" s="80"/>
      <c r="F824" s="6"/>
      <c r="G824" s="54"/>
      <c r="H824" s="54"/>
      <c r="I824" s="7"/>
      <c r="J824" s="9"/>
      <c r="K824" s="21"/>
      <c r="L824" s="77"/>
      <c r="M824" s="77"/>
      <c r="N824" s="77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9"/>
      <c r="Z824" s="79"/>
      <c r="AA824" s="79"/>
    </row>
    <row r="825" spans="1:27" ht="99" customHeight="1" x14ac:dyDescent="0.25">
      <c r="A825" s="79"/>
      <c r="B825" s="79"/>
      <c r="C825" s="80"/>
      <c r="D825" s="80"/>
      <c r="E825" s="80"/>
      <c r="F825" s="6"/>
      <c r="G825" s="54"/>
      <c r="H825" s="54"/>
      <c r="I825" s="7"/>
      <c r="J825" s="9"/>
      <c r="K825" s="21"/>
      <c r="L825" s="77"/>
      <c r="M825" s="77"/>
      <c r="N825" s="77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9"/>
      <c r="Z825" s="79"/>
      <c r="AA825" s="79"/>
    </row>
    <row r="826" spans="1:27" ht="99" customHeight="1" x14ac:dyDescent="0.25">
      <c r="A826" s="79"/>
      <c r="B826" s="79"/>
      <c r="C826" s="80"/>
      <c r="D826" s="80"/>
      <c r="E826" s="80"/>
      <c r="F826" s="6"/>
      <c r="G826" s="54"/>
      <c r="H826" s="54"/>
      <c r="I826" s="7"/>
      <c r="J826" s="9"/>
      <c r="K826" s="21"/>
      <c r="L826" s="77"/>
      <c r="M826" s="77"/>
      <c r="N826" s="77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9"/>
      <c r="Z826" s="79"/>
      <c r="AA826" s="79"/>
    </row>
    <row r="827" spans="1:27" ht="99" customHeight="1" x14ac:dyDescent="0.25">
      <c r="A827" s="79"/>
      <c r="B827" s="79"/>
      <c r="C827" s="80"/>
      <c r="D827" s="80"/>
      <c r="E827" s="80"/>
      <c r="F827" s="6"/>
      <c r="G827" s="54"/>
      <c r="H827" s="54"/>
      <c r="I827" s="7"/>
      <c r="J827" s="9"/>
      <c r="K827" s="21"/>
      <c r="L827" s="77"/>
      <c r="M827" s="77"/>
      <c r="N827" s="77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9"/>
      <c r="Z827" s="79"/>
      <c r="AA827" s="79"/>
    </row>
    <row r="828" spans="1:27" ht="99" customHeight="1" x14ac:dyDescent="0.25">
      <c r="A828" s="79"/>
      <c r="B828" s="79"/>
      <c r="C828" s="80"/>
      <c r="D828" s="80"/>
      <c r="E828" s="80"/>
      <c r="F828" s="6"/>
      <c r="G828" s="54"/>
      <c r="H828" s="54"/>
      <c r="I828" s="7"/>
      <c r="J828" s="9"/>
      <c r="K828" s="21"/>
      <c r="L828" s="77"/>
      <c r="M828" s="77"/>
      <c r="N828" s="77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9"/>
      <c r="Z828" s="79"/>
      <c r="AA828" s="79"/>
    </row>
    <row r="829" spans="1:27" ht="99" customHeight="1" x14ac:dyDescent="0.25">
      <c r="A829" s="79"/>
      <c r="B829" s="79"/>
      <c r="C829" s="80"/>
      <c r="D829" s="80"/>
      <c r="E829" s="80"/>
      <c r="F829" s="6"/>
      <c r="G829" s="54"/>
      <c r="H829" s="54"/>
      <c r="I829" s="7"/>
      <c r="J829" s="9"/>
      <c r="K829" s="21"/>
      <c r="L829" s="77"/>
      <c r="M829" s="77"/>
      <c r="N829" s="77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9"/>
      <c r="Z829" s="79"/>
      <c r="AA829" s="79"/>
    </row>
    <row r="830" spans="1:27" ht="99" customHeight="1" x14ac:dyDescent="0.25">
      <c r="A830" s="79"/>
      <c r="B830" s="79"/>
      <c r="C830" s="80"/>
      <c r="D830" s="80"/>
      <c r="E830" s="80"/>
      <c r="F830" s="6"/>
      <c r="G830" s="54"/>
      <c r="H830" s="54"/>
      <c r="I830" s="7"/>
      <c r="J830" s="9"/>
      <c r="K830" s="21"/>
      <c r="L830" s="77"/>
      <c r="M830" s="77"/>
      <c r="N830" s="77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9"/>
      <c r="Z830" s="79"/>
      <c r="AA830" s="79"/>
    </row>
    <row r="831" spans="1:27" ht="99" customHeight="1" x14ac:dyDescent="0.25">
      <c r="A831" s="79"/>
      <c r="B831" s="79"/>
      <c r="C831" s="80"/>
      <c r="D831" s="80"/>
      <c r="E831" s="80"/>
      <c r="F831" s="6"/>
      <c r="G831" s="54"/>
      <c r="H831" s="54"/>
      <c r="I831" s="7"/>
      <c r="J831" s="9"/>
      <c r="K831" s="21"/>
      <c r="L831" s="77"/>
      <c r="M831" s="77"/>
      <c r="N831" s="77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9"/>
      <c r="Z831" s="79"/>
      <c r="AA831" s="79"/>
    </row>
    <row r="832" spans="1:27" ht="99" customHeight="1" x14ac:dyDescent="0.25">
      <c r="A832" s="79"/>
      <c r="B832" s="79"/>
      <c r="C832" s="80"/>
      <c r="D832" s="80"/>
      <c r="E832" s="80"/>
      <c r="F832" s="6"/>
      <c r="G832" s="54"/>
      <c r="H832" s="54"/>
      <c r="I832" s="7"/>
      <c r="J832" s="9"/>
      <c r="K832" s="21"/>
      <c r="L832" s="77"/>
      <c r="M832" s="77"/>
      <c r="N832" s="77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9"/>
      <c r="Z832" s="79"/>
      <c r="AA832" s="79"/>
    </row>
    <row r="833" spans="1:27" ht="99" customHeight="1" x14ac:dyDescent="0.25">
      <c r="A833" s="79"/>
      <c r="B833" s="79"/>
      <c r="C833" s="80"/>
      <c r="D833" s="80"/>
      <c r="E833" s="80"/>
      <c r="F833" s="6"/>
      <c r="G833" s="54"/>
      <c r="H833" s="54"/>
      <c r="I833" s="7"/>
      <c r="J833" s="9"/>
      <c r="K833" s="21"/>
      <c r="L833" s="77"/>
      <c r="M833" s="77"/>
      <c r="N833" s="77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9"/>
      <c r="Z833" s="79"/>
      <c r="AA833" s="79"/>
    </row>
    <row r="834" spans="1:27" ht="99" customHeight="1" x14ac:dyDescent="0.25">
      <c r="A834" s="79"/>
      <c r="B834" s="79"/>
      <c r="C834" s="80"/>
      <c r="D834" s="80"/>
      <c r="E834" s="80"/>
      <c r="F834" s="6"/>
      <c r="G834" s="54"/>
      <c r="H834" s="54"/>
      <c r="I834" s="7"/>
      <c r="J834" s="9"/>
      <c r="K834" s="21"/>
      <c r="L834" s="77"/>
      <c r="M834" s="77"/>
      <c r="N834" s="77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9"/>
      <c r="Z834" s="79"/>
      <c r="AA834" s="79"/>
    </row>
    <row r="835" spans="1:27" ht="99" customHeight="1" x14ac:dyDescent="0.25">
      <c r="A835" s="79"/>
      <c r="B835" s="79"/>
      <c r="C835" s="80"/>
      <c r="D835" s="80"/>
      <c r="E835" s="80"/>
      <c r="F835" s="6"/>
      <c r="G835" s="54"/>
      <c r="H835" s="54"/>
      <c r="I835" s="7"/>
      <c r="J835" s="9"/>
      <c r="K835" s="21"/>
      <c r="L835" s="77"/>
      <c r="M835" s="77"/>
      <c r="N835" s="77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9"/>
      <c r="Z835" s="79"/>
      <c r="AA835" s="79"/>
    </row>
    <row r="836" spans="1:27" ht="99" customHeight="1" x14ac:dyDescent="0.25">
      <c r="A836" s="79"/>
      <c r="B836" s="79"/>
      <c r="C836" s="80"/>
      <c r="D836" s="80"/>
      <c r="E836" s="80"/>
      <c r="F836" s="6"/>
      <c r="G836" s="54"/>
      <c r="H836" s="54"/>
      <c r="I836" s="7"/>
      <c r="J836" s="9"/>
      <c r="K836" s="21"/>
      <c r="L836" s="77"/>
      <c r="M836" s="77"/>
      <c r="N836" s="77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9"/>
      <c r="Z836" s="79"/>
      <c r="AA836" s="79"/>
    </row>
    <row r="837" spans="1:27" ht="99" customHeight="1" x14ac:dyDescent="0.25">
      <c r="A837" s="79"/>
      <c r="B837" s="79"/>
      <c r="C837" s="80"/>
      <c r="D837" s="80"/>
      <c r="E837" s="80"/>
      <c r="F837" s="6"/>
      <c r="G837" s="54"/>
      <c r="H837" s="54"/>
      <c r="I837" s="7"/>
      <c r="J837" s="9"/>
      <c r="K837" s="21"/>
      <c r="L837" s="77"/>
      <c r="M837" s="77"/>
      <c r="N837" s="77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9"/>
      <c r="Z837" s="79"/>
      <c r="AA837" s="79"/>
    </row>
    <row r="838" spans="1:27" ht="99" customHeight="1" x14ac:dyDescent="0.25">
      <c r="A838" s="79"/>
      <c r="B838" s="79"/>
      <c r="C838" s="80"/>
      <c r="D838" s="80"/>
      <c r="E838" s="80"/>
      <c r="F838" s="6"/>
      <c r="G838" s="54"/>
      <c r="H838" s="54"/>
      <c r="I838" s="7"/>
      <c r="J838" s="9"/>
      <c r="K838" s="21"/>
      <c r="L838" s="77"/>
      <c r="M838" s="77"/>
      <c r="N838" s="77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9"/>
      <c r="Z838" s="79"/>
      <c r="AA838" s="79"/>
    </row>
    <row r="839" spans="1:27" ht="99" customHeight="1" x14ac:dyDescent="0.25">
      <c r="A839" s="79"/>
      <c r="B839" s="79"/>
      <c r="C839" s="80"/>
      <c r="D839" s="80"/>
      <c r="E839" s="80"/>
      <c r="F839" s="6"/>
      <c r="G839" s="54"/>
      <c r="H839" s="54"/>
      <c r="I839" s="7"/>
      <c r="J839" s="9"/>
      <c r="K839" s="21"/>
      <c r="L839" s="77"/>
      <c r="M839" s="77"/>
      <c r="N839" s="77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9"/>
      <c r="Z839" s="79"/>
      <c r="AA839" s="79"/>
    </row>
    <row r="840" spans="1:27" ht="99" customHeight="1" x14ac:dyDescent="0.25">
      <c r="A840" s="79"/>
      <c r="B840" s="79"/>
      <c r="C840" s="80"/>
      <c r="D840" s="80"/>
      <c r="E840" s="80"/>
      <c r="F840" s="6"/>
      <c r="G840" s="54"/>
      <c r="H840" s="54"/>
      <c r="I840" s="7"/>
      <c r="J840" s="9"/>
      <c r="K840" s="21"/>
      <c r="L840" s="77"/>
      <c r="M840" s="77"/>
      <c r="N840" s="77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9"/>
      <c r="Z840" s="79"/>
      <c r="AA840" s="79"/>
    </row>
    <row r="841" spans="1:27" ht="99" customHeight="1" x14ac:dyDescent="0.25">
      <c r="A841" s="79"/>
      <c r="B841" s="79"/>
      <c r="C841" s="80"/>
      <c r="D841" s="80"/>
      <c r="E841" s="80"/>
      <c r="F841" s="6"/>
      <c r="G841" s="54"/>
      <c r="H841" s="54"/>
      <c r="I841" s="7"/>
      <c r="J841" s="9"/>
      <c r="K841" s="21"/>
      <c r="L841" s="77"/>
      <c r="M841" s="77"/>
      <c r="N841" s="77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9"/>
      <c r="Z841" s="79"/>
      <c r="AA841" s="79"/>
    </row>
    <row r="842" spans="1:27" ht="99" customHeight="1" x14ac:dyDescent="0.25">
      <c r="A842" s="79"/>
      <c r="B842" s="79"/>
      <c r="C842" s="80"/>
      <c r="D842" s="80"/>
      <c r="E842" s="80"/>
      <c r="F842" s="6"/>
      <c r="G842" s="54"/>
      <c r="H842" s="54"/>
      <c r="I842" s="7"/>
      <c r="J842" s="9"/>
      <c r="K842" s="21"/>
      <c r="L842" s="77"/>
      <c r="M842" s="77"/>
      <c r="N842" s="77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9"/>
      <c r="Z842" s="79"/>
      <c r="AA842" s="79"/>
    </row>
    <row r="843" spans="1:27" ht="99" customHeight="1" x14ac:dyDescent="0.25">
      <c r="A843" s="79"/>
      <c r="B843" s="79"/>
      <c r="C843" s="80"/>
      <c r="D843" s="80"/>
      <c r="E843" s="80"/>
      <c r="F843" s="6"/>
      <c r="G843" s="54"/>
      <c r="H843" s="54"/>
      <c r="I843" s="7"/>
      <c r="J843" s="9"/>
      <c r="K843" s="21"/>
      <c r="L843" s="77"/>
      <c r="M843" s="77"/>
      <c r="N843" s="77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9"/>
      <c r="Z843" s="79"/>
      <c r="AA843" s="79"/>
    </row>
    <row r="844" spans="1:27" ht="99" customHeight="1" x14ac:dyDescent="0.25">
      <c r="A844" s="79"/>
      <c r="B844" s="79"/>
      <c r="C844" s="80"/>
      <c r="D844" s="80"/>
      <c r="E844" s="80"/>
      <c r="F844" s="6"/>
      <c r="G844" s="54"/>
      <c r="H844" s="54"/>
      <c r="I844" s="7"/>
      <c r="J844" s="9"/>
      <c r="K844" s="21"/>
      <c r="L844" s="77"/>
      <c r="M844" s="77"/>
      <c r="N844" s="77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9"/>
      <c r="Z844" s="79"/>
      <c r="AA844" s="79"/>
    </row>
    <row r="845" spans="1:27" ht="99" customHeight="1" x14ac:dyDescent="0.25">
      <c r="A845" s="79"/>
      <c r="B845" s="79"/>
      <c r="C845" s="80"/>
      <c r="D845" s="80"/>
      <c r="E845" s="80"/>
      <c r="F845" s="6"/>
      <c r="G845" s="54"/>
      <c r="H845" s="54"/>
      <c r="I845" s="7"/>
      <c r="J845" s="9"/>
      <c r="K845" s="21"/>
      <c r="L845" s="77"/>
      <c r="M845" s="77"/>
      <c r="N845" s="77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9"/>
      <c r="Z845" s="79"/>
      <c r="AA845" s="79"/>
    </row>
    <row r="846" spans="1:27" ht="99" customHeight="1" x14ac:dyDescent="0.25">
      <c r="A846" s="79"/>
      <c r="B846" s="79"/>
      <c r="C846" s="80"/>
      <c r="D846" s="80"/>
      <c r="E846" s="80"/>
      <c r="F846" s="6"/>
      <c r="G846" s="54"/>
      <c r="H846" s="54"/>
      <c r="I846" s="7"/>
      <c r="J846" s="9"/>
      <c r="K846" s="21"/>
      <c r="L846" s="77"/>
      <c r="M846" s="77"/>
      <c r="N846" s="77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9"/>
      <c r="Z846" s="79"/>
      <c r="AA846" s="79"/>
    </row>
    <row r="847" spans="1:27" ht="99" customHeight="1" x14ac:dyDescent="0.25">
      <c r="A847" s="79"/>
      <c r="B847" s="79"/>
      <c r="C847" s="80"/>
      <c r="D847" s="80"/>
      <c r="E847" s="80"/>
      <c r="F847" s="6"/>
      <c r="G847" s="54"/>
      <c r="H847" s="54"/>
      <c r="I847" s="7"/>
      <c r="J847" s="9"/>
      <c r="K847" s="21"/>
      <c r="L847" s="77"/>
      <c r="M847" s="77"/>
      <c r="N847" s="77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9"/>
      <c r="Z847" s="79"/>
      <c r="AA847" s="79"/>
    </row>
    <row r="848" spans="1:27" ht="99" customHeight="1" x14ac:dyDescent="0.25">
      <c r="A848" s="79"/>
      <c r="B848" s="79"/>
      <c r="C848" s="80"/>
      <c r="D848" s="80"/>
      <c r="E848" s="80"/>
      <c r="F848" s="6"/>
      <c r="G848" s="54"/>
      <c r="H848" s="54"/>
      <c r="I848" s="7"/>
      <c r="J848" s="9"/>
      <c r="K848" s="21"/>
      <c r="L848" s="77"/>
      <c r="M848" s="77"/>
      <c r="N848" s="77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9"/>
      <c r="Z848" s="79"/>
      <c r="AA848" s="79"/>
    </row>
    <row r="849" spans="1:27" ht="99" customHeight="1" x14ac:dyDescent="0.25">
      <c r="A849" s="79"/>
      <c r="B849" s="79"/>
      <c r="C849" s="80"/>
      <c r="D849" s="80"/>
      <c r="E849" s="80"/>
      <c r="F849" s="6"/>
      <c r="G849" s="54"/>
      <c r="H849" s="54"/>
      <c r="I849" s="7"/>
      <c r="J849" s="9"/>
      <c r="K849" s="21"/>
      <c r="L849" s="77"/>
      <c r="M849" s="77"/>
      <c r="N849" s="77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9"/>
      <c r="Z849" s="79"/>
      <c r="AA849" s="79"/>
    </row>
    <row r="850" spans="1:27" ht="99" customHeight="1" x14ac:dyDescent="0.25">
      <c r="A850" s="79"/>
      <c r="B850" s="79"/>
      <c r="C850" s="80"/>
      <c r="D850" s="80"/>
      <c r="E850" s="80"/>
      <c r="F850" s="6"/>
      <c r="G850" s="54"/>
      <c r="H850" s="54"/>
      <c r="I850" s="7"/>
      <c r="J850" s="9"/>
      <c r="K850" s="21"/>
      <c r="L850" s="77"/>
      <c r="M850" s="77"/>
      <c r="N850" s="77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9"/>
      <c r="Z850" s="79"/>
      <c r="AA850" s="79"/>
    </row>
    <row r="851" spans="1:27" ht="99" customHeight="1" x14ac:dyDescent="0.25">
      <c r="A851" s="79"/>
      <c r="B851" s="79"/>
      <c r="C851" s="80"/>
      <c r="D851" s="80"/>
      <c r="E851" s="80"/>
      <c r="F851" s="6"/>
      <c r="G851" s="54"/>
      <c r="H851" s="54"/>
      <c r="I851" s="7"/>
      <c r="J851" s="9"/>
      <c r="K851" s="21"/>
      <c r="L851" s="77"/>
      <c r="M851" s="77"/>
      <c r="N851" s="77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9"/>
      <c r="Z851" s="79"/>
      <c r="AA851" s="79"/>
    </row>
    <row r="852" spans="1:27" ht="99" customHeight="1" x14ac:dyDescent="0.25">
      <c r="A852" s="79"/>
      <c r="B852" s="79"/>
      <c r="C852" s="80"/>
      <c r="D852" s="80"/>
      <c r="E852" s="80"/>
      <c r="F852" s="6"/>
      <c r="G852" s="54"/>
      <c r="H852" s="54"/>
      <c r="I852" s="7"/>
      <c r="J852" s="9"/>
      <c r="K852" s="21"/>
      <c r="L852" s="77"/>
      <c r="M852" s="77"/>
      <c r="N852" s="77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9"/>
      <c r="Z852" s="79"/>
      <c r="AA852" s="79"/>
    </row>
    <row r="853" spans="1:27" ht="99" customHeight="1" x14ac:dyDescent="0.25">
      <c r="A853" s="79"/>
      <c r="B853" s="79"/>
      <c r="C853" s="80"/>
      <c r="D853" s="80"/>
      <c r="E853" s="80"/>
      <c r="F853" s="6"/>
      <c r="G853" s="54"/>
      <c r="H853" s="54"/>
      <c r="I853" s="7"/>
      <c r="J853" s="9"/>
      <c r="K853" s="21"/>
      <c r="L853" s="77"/>
      <c r="M853" s="77"/>
      <c r="N853" s="77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9"/>
      <c r="Z853" s="79"/>
      <c r="AA853" s="79"/>
    </row>
    <row r="854" spans="1:27" ht="99" customHeight="1" x14ac:dyDescent="0.25">
      <c r="A854" s="79"/>
      <c r="B854" s="79"/>
      <c r="C854" s="80"/>
      <c r="D854" s="80"/>
      <c r="E854" s="80"/>
      <c r="F854" s="6"/>
      <c r="G854" s="54"/>
      <c r="H854" s="54"/>
      <c r="I854" s="7"/>
      <c r="J854" s="9"/>
      <c r="K854" s="21"/>
      <c r="L854" s="77"/>
      <c r="M854" s="77"/>
      <c r="N854" s="77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9"/>
      <c r="Z854" s="79"/>
      <c r="AA854" s="79"/>
    </row>
    <row r="855" spans="1:27" ht="99" customHeight="1" x14ac:dyDescent="0.25">
      <c r="A855" s="79"/>
      <c r="B855" s="79"/>
      <c r="C855" s="80"/>
      <c r="D855" s="80"/>
      <c r="E855" s="80"/>
      <c r="F855" s="6"/>
      <c r="G855" s="54"/>
      <c r="H855" s="54"/>
      <c r="I855" s="7"/>
      <c r="J855" s="9"/>
      <c r="K855" s="21"/>
      <c r="L855" s="77"/>
      <c r="M855" s="77"/>
      <c r="N855" s="77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9"/>
      <c r="Z855" s="79"/>
      <c r="AA855" s="79"/>
    </row>
    <row r="856" spans="1:27" ht="99" customHeight="1" x14ac:dyDescent="0.25">
      <c r="A856" s="79"/>
      <c r="B856" s="79"/>
      <c r="C856" s="80"/>
      <c r="D856" s="80"/>
      <c r="E856" s="80"/>
      <c r="F856" s="6"/>
      <c r="G856" s="54"/>
      <c r="H856" s="54"/>
      <c r="I856" s="7"/>
      <c r="J856" s="9"/>
      <c r="K856" s="21"/>
      <c r="L856" s="77"/>
      <c r="M856" s="77"/>
      <c r="N856" s="77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9"/>
      <c r="Z856" s="79"/>
      <c r="AA856" s="79"/>
    </row>
    <row r="857" spans="1:27" ht="99" customHeight="1" x14ac:dyDescent="0.25">
      <c r="A857" s="79"/>
      <c r="B857" s="79"/>
      <c r="C857" s="80"/>
      <c r="D857" s="80"/>
      <c r="E857" s="80"/>
      <c r="F857" s="6"/>
      <c r="G857" s="54"/>
      <c r="H857" s="54"/>
      <c r="I857" s="7"/>
      <c r="J857" s="9"/>
      <c r="K857" s="21"/>
      <c r="L857" s="77"/>
      <c r="M857" s="77"/>
      <c r="N857" s="77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9"/>
      <c r="Z857" s="79"/>
      <c r="AA857" s="79"/>
    </row>
    <row r="858" spans="1:27" ht="99" customHeight="1" x14ac:dyDescent="0.25">
      <c r="A858" s="79"/>
      <c r="B858" s="79"/>
      <c r="C858" s="80"/>
      <c r="D858" s="80"/>
      <c r="E858" s="80"/>
      <c r="F858" s="6"/>
      <c r="G858" s="54"/>
      <c r="H858" s="54"/>
      <c r="I858" s="7"/>
      <c r="J858" s="9"/>
      <c r="K858" s="21"/>
      <c r="L858" s="77"/>
      <c r="M858" s="77"/>
      <c r="N858" s="77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9"/>
      <c r="Z858" s="79"/>
      <c r="AA858" s="79"/>
    </row>
    <row r="859" spans="1:27" ht="99" customHeight="1" x14ac:dyDescent="0.25">
      <c r="A859" s="79"/>
      <c r="B859" s="79"/>
      <c r="C859" s="80"/>
      <c r="D859" s="80"/>
      <c r="E859" s="80"/>
      <c r="F859" s="6"/>
      <c r="G859" s="54"/>
      <c r="H859" s="54"/>
      <c r="I859" s="7"/>
      <c r="J859" s="9"/>
      <c r="K859" s="21"/>
      <c r="L859" s="77"/>
      <c r="M859" s="77"/>
      <c r="N859" s="77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9"/>
      <c r="Z859" s="79"/>
      <c r="AA859" s="79"/>
    </row>
    <row r="860" spans="1:27" ht="99" customHeight="1" x14ac:dyDescent="0.25">
      <c r="A860" s="79"/>
      <c r="B860" s="79"/>
      <c r="C860" s="80"/>
      <c r="D860" s="80"/>
      <c r="E860" s="80"/>
      <c r="F860" s="6"/>
      <c r="G860" s="54"/>
      <c r="H860" s="54"/>
      <c r="I860" s="7"/>
      <c r="J860" s="9"/>
      <c r="K860" s="21"/>
      <c r="L860" s="77"/>
      <c r="M860" s="77"/>
      <c r="N860" s="77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9"/>
      <c r="Z860" s="79"/>
      <c r="AA860" s="79"/>
    </row>
    <row r="861" spans="1:27" ht="99" customHeight="1" x14ac:dyDescent="0.25">
      <c r="A861" s="79"/>
      <c r="B861" s="79"/>
      <c r="C861" s="80"/>
      <c r="D861" s="80"/>
      <c r="E861" s="80"/>
      <c r="F861" s="6"/>
      <c r="G861" s="54"/>
      <c r="H861" s="54"/>
      <c r="I861" s="7"/>
      <c r="J861" s="9"/>
      <c r="K861" s="21"/>
      <c r="L861" s="77"/>
      <c r="M861" s="77"/>
      <c r="N861" s="77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9"/>
      <c r="Z861" s="79"/>
      <c r="AA861" s="79"/>
    </row>
    <row r="862" spans="1:27" ht="99" customHeight="1" x14ac:dyDescent="0.25">
      <c r="A862" s="79"/>
      <c r="B862" s="79"/>
      <c r="C862" s="80"/>
      <c r="D862" s="80"/>
      <c r="E862" s="80"/>
      <c r="F862" s="6"/>
      <c r="G862" s="54"/>
      <c r="H862" s="54"/>
      <c r="I862" s="7"/>
      <c r="J862" s="9"/>
      <c r="K862" s="21"/>
      <c r="L862" s="77"/>
      <c r="M862" s="77"/>
      <c r="N862" s="77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9"/>
      <c r="Z862" s="79"/>
      <c r="AA862" s="79"/>
    </row>
    <row r="863" spans="1:27" ht="99" customHeight="1" x14ac:dyDescent="0.25">
      <c r="A863" s="79"/>
      <c r="B863" s="79"/>
      <c r="C863" s="80"/>
      <c r="D863" s="80"/>
      <c r="E863" s="80"/>
      <c r="F863" s="6"/>
      <c r="G863" s="54"/>
      <c r="H863" s="54"/>
      <c r="I863" s="7"/>
      <c r="J863" s="9"/>
      <c r="K863" s="21"/>
      <c r="L863" s="77"/>
      <c r="M863" s="77"/>
      <c r="N863" s="77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9"/>
      <c r="Z863" s="79"/>
      <c r="AA863" s="79"/>
    </row>
    <row r="864" spans="1:27" ht="99" customHeight="1" x14ac:dyDescent="0.25">
      <c r="A864" s="79"/>
      <c r="B864" s="79"/>
      <c r="C864" s="80"/>
      <c r="D864" s="80"/>
      <c r="E864" s="80"/>
      <c r="F864" s="6"/>
      <c r="G864" s="54"/>
      <c r="H864" s="54"/>
      <c r="I864" s="7"/>
      <c r="J864" s="9"/>
      <c r="K864" s="21"/>
      <c r="L864" s="77"/>
      <c r="M864" s="77"/>
      <c r="N864" s="77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9"/>
      <c r="Z864" s="79"/>
      <c r="AA864" s="79"/>
    </row>
    <row r="865" spans="1:27" ht="99" customHeight="1" x14ac:dyDescent="0.25">
      <c r="A865" s="79"/>
      <c r="B865" s="79"/>
      <c r="C865" s="80"/>
      <c r="D865" s="80"/>
      <c r="E865" s="80"/>
      <c r="F865" s="6"/>
      <c r="G865" s="54"/>
      <c r="H865" s="54"/>
      <c r="I865" s="7"/>
      <c r="J865" s="9"/>
      <c r="K865" s="21"/>
      <c r="L865" s="77"/>
      <c r="M865" s="77"/>
      <c r="N865" s="77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9"/>
      <c r="Z865" s="79"/>
      <c r="AA865" s="79"/>
    </row>
    <row r="866" spans="1:27" ht="99" customHeight="1" x14ac:dyDescent="0.25">
      <c r="A866" s="79"/>
      <c r="B866" s="79"/>
      <c r="C866" s="80"/>
      <c r="D866" s="80"/>
      <c r="E866" s="80"/>
      <c r="F866" s="6"/>
      <c r="G866" s="54"/>
      <c r="H866" s="54"/>
      <c r="I866" s="7"/>
      <c r="J866" s="9"/>
      <c r="K866" s="21"/>
      <c r="L866" s="77"/>
      <c r="M866" s="77"/>
      <c r="N866" s="77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9"/>
      <c r="Z866" s="79"/>
      <c r="AA866" s="79"/>
    </row>
    <row r="867" spans="1:27" ht="99" customHeight="1" x14ac:dyDescent="0.25">
      <c r="A867" s="79"/>
      <c r="B867" s="79"/>
      <c r="C867" s="80"/>
      <c r="D867" s="80"/>
      <c r="E867" s="80"/>
      <c r="F867" s="6"/>
      <c r="G867" s="54"/>
      <c r="H867" s="54"/>
      <c r="I867" s="7"/>
      <c r="J867" s="9"/>
      <c r="K867" s="21"/>
      <c r="L867" s="77"/>
      <c r="M867" s="77"/>
      <c r="N867" s="77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9"/>
      <c r="Z867" s="79"/>
      <c r="AA867" s="79"/>
    </row>
    <row r="868" spans="1:27" ht="99" customHeight="1" x14ac:dyDescent="0.25">
      <c r="A868" s="79"/>
      <c r="B868" s="79"/>
      <c r="C868" s="80"/>
      <c r="D868" s="80"/>
      <c r="E868" s="80"/>
      <c r="F868" s="6"/>
      <c r="G868" s="54"/>
      <c r="H868" s="54"/>
      <c r="I868" s="7"/>
      <c r="J868" s="9"/>
      <c r="K868" s="21"/>
      <c r="L868" s="77"/>
      <c r="M868" s="77"/>
      <c r="N868" s="77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9"/>
      <c r="Z868" s="79"/>
      <c r="AA868" s="79"/>
    </row>
    <row r="869" spans="1:27" ht="99" customHeight="1" x14ac:dyDescent="0.25">
      <c r="A869" s="79"/>
      <c r="B869" s="79"/>
      <c r="C869" s="80"/>
      <c r="D869" s="80"/>
      <c r="E869" s="80"/>
      <c r="F869" s="6"/>
      <c r="G869" s="54"/>
      <c r="H869" s="54"/>
      <c r="I869" s="7"/>
      <c r="J869" s="9"/>
      <c r="K869" s="21"/>
      <c r="L869" s="77"/>
      <c r="M869" s="77"/>
      <c r="N869" s="77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9"/>
      <c r="Z869" s="79"/>
      <c r="AA869" s="79"/>
    </row>
    <row r="870" spans="1:27" ht="99" customHeight="1" x14ac:dyDescent="0.25">
      <c r="A870" s="79"/>
      <c r="B870" s="79"/>
      <c r="C870" s="80"/>
      <c r="D870" s="80"/>
      <c r="E870" s="80"/>
      <c r="F870" s="6"/>
      <c r="G870" s="54"/>
      <c r="H870" s="54"/>
      <c r="I870" s="7"/>
      <c r="J870" s="9"/>
      <c r="K870" s="21"/>
      <c r="L870" s="77"/>
      <c r="M870" s="77"/>
      <c r="N870" s="77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9"/>
      <c r="Z870" s="79"/>
      <c r="AA870" s="79"/>
    </row>
    <row r="871" spans="1:27" ht="99" customHeight="1" x14ac:dyDescent="0.25">
      <c r="A871" s="79"/>
      <c r="B871" s="79"/>
      <c r="C871" s="80"/>
      <c r="D871" s="80"/>
      <c r="E871" s="80"/>
      <c r="F871" s="6"/>
      <c r="G871" s="54"/>
      <c r="H871" s="54"/>
      <c r="I871" s="7"/>
      <c r="J871" s="9"/>
      <c r="K871" s="21"/>
      <c r="L871" s="77"/>
      <c r="M871" s="77"/>
      <c r="N871" s="77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9"/>
      <c r="Z871" s="79"/>
      <c r="AA871" s="79"/>
    </row>
    <row r="872" spans="1:27" ht="99" customHeight="1" x14ac:dyDescent="0.25">
      <c r="A872" s="79"/>
      <c r="B872" s="79"/>
      <c r="C872" s="80"/>
      <c r="D872" s="80"/>
      <c r="E872" s="80"/>
      <c r="F872" s="6"/>
      <c r="G872" s="54"/>
      <c r="H872" s="54"/>
      <c r="I872" s="7"/>
      <c r="J872" s="9"/>
      <c r="K872" s="21"/>
      <c r="L872" s="77"/>
      <c r="M872" s="77"/>
      <c r="N872" s="77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9"/>
      <c r="Z872" s="79"/>
      <c r="AA872" s="79"/>
    </row>
    <row r="873" spans="1:27" ht="99" customHeight="1" x14ac:dyDescent="0.25">
      <c r="A873" s="79"/>
      <c r="B873" s="79"/>
      <c r="C873" s="80"/>
      <c r="D873" s="80"/>
      <c r="E873" s="80"/>
      <c r="F873" s="6"/>
      <c r="G873" s="54"/>
      <c r="H873" s="54"/>
      <c r="I873" s="7"/>
      <c r="J873" s="9"/>
      <c r="K873" s="21"/>
      <c r="L873" s="77"/>
      <c r="M873" s="77"/>
      <c r="N873" s="77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9"/>
      <c r="Z873" s="79"/>
      <c r="AA873" s="79"/>
    </row>
    <row r="874" spans="1:27" ht="99" customHeight="1" x14ac:dyDescent="0.25">
      <c r="A874" s="79"/>
      <c r="B874" s="79"/>
      <c r="C874" s="80"/>
      <c r="D874" s="80"/>
      <c r="E874" s="80"/>
      <c r="F874" s="6"/>
      <c r="G874" s="54"/>
      <c r="H874" s="54"/>
      <c r="I874" s="7"/>
      <c r="J874" s="9"/>
      <c r="K874" s="21"/>
      <c r="L874" s="77"/>
      <c r="M874" s="77"/>
      <c r="N874" s="77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9"/>
      <c r="Z874" s="79"/>
      <c r="AA874" s="79"/>
    </row>
    <row r="875" spans="1:27" ht="99" customHeight="1" x14ac:dyDescent="0.25">
      <c r="A875" s="79"/>
      <c r="B875" s="79"/>
      <c r="C875" s="80"/>
      <c r="D875" s="80"/>
      <c r="E875" s="80"/>
      <c r="F875" s="6"/>
      <c r="G875" s="54"/>
      <c r="H875" s="54"/>
      <c r="I875" s="7"/>
      <c r="J875" s="9"/>
      <c r="K875" s="21"/>
      <c r="L875" s="77"/>
      <c r="M875" s="77"/>
      <c r="N875" s="77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9"/>
      <c r="Z875" s="79"/>
      <c r="AA875" s="79"/>
    </row>
    <row r="876" spans="1:27" ht="99" customHeight="1" x14ac:dyDescent="0.25">
      <c r="A876" s="79"/>
      <c r="B876" s="79"/>
      <c r="C876" s="80"/>
      <c r="D876" s="80"/>
      <c r="E876" s="80"/>
      <c r="F876" s="6"/>
      <c r="G876" s="54"/>
      <c r="H876" s="54"/>
      <c r="I876" s="7"/>
      <c r="J876" s="9"/>
      <c r="K876" s="21"/>
      <c r="L876" s="77"/>
      <c r="M876" s="77"/>
      <c r="N876" s="77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9"/>
      <c r="Z876" s="79"/>
      <c r="AA876" s="79"/>
    </row>
    <row r="877" spans="1:27" ht="99" customHeight="1" x14ac:dyDescent="0.25">
      <c r="A877" s="79"/>
      <c r="B877" s="79"/>
      <c r="C877" s="80"/>
      <c r="D877" s="80"/>
      <c r="E877" s="80"/>
      <c r="F877" s="6"/>
      <c r="G877" s="54"/>
      <c r="H877" s="54"/>
      <c r="I877" s="7"/>
      <c r="J877" s="9"/>
      <c r="K877" s="21"/>
      <c r="L877" s="77"/>
      <c r="M877" s="77"/>
      <c r="N877" s="77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9"/>
      <c r="Z877" s="79"/>
      <c r="AA877" s="79"/>
    </row>
    <row r="878" spans="1:27" ht="99" customHeight="1" x14ac:dyDescent="0.25">
      <c r="A878" s="79"/>
      <c r="B878" s="79"/>
      <c r="C878" s="80"/>
      <c r="D878" s="80"/>
      <c r="E878" s="80"/>
      <c r="F878" s="6"/>
      <c r="G878" s="54"/>
      <c r="H878" s="54"/>
      <c r="I878" s="7"/>
      <c r="J878" s="9"/>
      <c r="K878" s="21"/>
      <c r="L878" s="77"/>
      <c r="M878" s="77"/>
      <c r="N878" s="77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9"/>
      <c r="Z878" s="79"/>
      <c r="AA878" s="79"/>
    </row>
    <row r="879" spans="1:27" ht="99" customHeight="1" x14ac:dyDescent="0.25">
      <c r="A879" s="79"/>
      <c r="B879" s="79"/>
      <c r="C879" s="80"/>
      <c r="D879" s="80"/>
      <c r="E879" s="80"/>
      <c r="F879" s="6"/>
      <c r="G879" s="54"/>
      <c r="H879" s="54"/>
      <c r="I879" s="7"/>
      <c r="J879" s="9"/>
      <c r="K879" s="21"/>
      <c r="L879" s="77"/>
      <c r="M879" s="77"/>
      <c r="N879" s="77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9"/>
      <c r="Z879" s="79"/>
      <c r="AA879" s="79"/>
    </row>
    <row r="880" spans="1:27" ht="99" customHeight="1" x14ac:dyDescent="0.25">
      <c r="A880" s="79"/>
      <c r="B880" s="79"/>
      <c r="C880" s="80"/>
      <c r="D880" s="80"/>
      <c r="E880" s="80"/>
      <c r="F880" s="6"/>
      <c r="G880" s="54"/>
      <c r="H880" s="54"/>
      <c r="I880" s="7"/>
      <c r="J880" s="9"/>
      <c r="K880" s="21"/>
      <c r="L880" s="77"/>
      <c r="M880" s="77"/>
      <c r="N880" s="77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9"/>
      <c r="Z880" s="79"/>
      <c r="AA880" s="79"/>
    </row>
    <row r="881" spans="1:27" ht="99" customHeight="1" x14ac:dyDescent="0.25">
      <c r="A881" s="79"/>
      <c r="B881" s="79"/>
      <c r="C881" s="80"/>
      <c r="D881" s="80"/>
      <c r="E881" s="80"/>
      <c r="F881" s="6"/>
      <c r="G881" s="54"/>
      <c r="H881" s="54"/>
      <c r="I881" s="7"/>
      <c r="J881" s="9"/>
      <c r="K881" s="21"/>
      <c r="L881" s="77"/>
      <c r="M881" s="77"/>
      <c r="N881" s="77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9"/>
      <c r="Z881" s="79"/>
      <c r="AA881" s="79"/>
    </row>
    <row r="882" spans="1:27" ht="99" customHeight="1" x14ac:dyDescent="0.25">
      <c r="A882" s="79"/>
      <c r="B882" s="79"/>
      <c r="C882" s="80"/>
      <c r="D882" s="80"/>
      <c r="E882" s="80"/>
      <c r="F882" s="6"/>
      <c r="G882" s="54"/>
      <c r="H882" s="54"/>
      <c r="I882" s="7"/>
      <c r="J882" s="9"/>
      <c r="K882" s="21"/>
      <c r="L882" s="77"/>
      <c r="M882" s="77"/>
      <c r="N882" s="77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9"/>
      <c r="Z882" s="79"/>
      <c r="AA882" s="79"/>
    </row>
    <row r="883" spans="1:27" ht="99" customHeight="1" x14ac:dyDescent="0.25">
      <c r="A883" s="79"/>
      <c r="B883" s="79"/>
      <c r="C883" s="80"/>
      <c r="D883" s="80"/>
      <c r="E883" s="80"/>
      <c r="F883" s="6"/>
      <c r="G883" s="54"/>
      <c r="H883" s="54"/>
      <c r="I883" s="7"/>
      <c r="J883" s="9"/>
      <c r="K883" s="21"/>
      <c r="L883" s="77"/>
      <c r="M883" s="77"/>
      <c r="N883" s="77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9"/>
      <c r="Z883" s="79"/>
      <c r="AA883" s="79"/>
    </row>
    <row r="884" spans="1:27" ht="99" customHeight="1" x14ac:dyDescent="0.25">
      <c r="A884" s="79"/>
      <c r="B884" s="79"/>
      <c r="C884" s="80"/>
      <c r="D884" s="80"/>
      <c r="E884" s="80"/>
      <c r="F884" s="6"/>
      <c r="G884" s="54"/>
      <c r="H884" s="54"/>
      <c r="I884" s="7"/>
      <c r="J884" s="9"/>
      <c r="K884" s="21"/>
      <c r="L884" s="77"/>
      <c r="M884" s="77"/>
      <c r="N884" s="77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9"/>
      <c r="Z884" s="79"/>
      <c r="AA884" s="79"/>
    </row>
    <row r="885" spans="1:27" ht="99" customHeight="1" x14ac:dyDescent="0.25">
      <c r="A885" s="79"/>
      <c r="B885" s="79"/>
      <c r="C885" s="80"/>
      <c r="D885" s="80"/>
      <c r="E885" s="80"/>
      <c r="F885" s="6"/>
      <c r="G885" s="54"/>
      <c r="H885" s="54"/>
      <c r="I885" s="7"/>
      <c r="J885" s="9"/>
      <c r="K885" s="21"/>
      <c r="L885" s="77"/>
      <c r="M885" s="77"/>
      <c r="N885" s="77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9"/>
      <c r="Z885" s="79"/>
      <c r="AA885" s="79"/>
    </row>
    <row r="886" spans="1:27" ht="99" customHeight="1" x14ac:dyDescent="0.25">
      <c r="A886" s="79"/>
      <c r="B886" s="79"/>
      <c r="C886" s="80"/>
      <c r="D886" s="80"/>
      <c r="E886" s="80"/>
      <c r="F886" s="6"/>
      <c r="G886" s="54"/>
      <c r="H886" s="54"/>
      <c r="I886" s="7"/>
      <c r="J886" s="9"/>
      <c r="K886" s="21"/>
      <c r="L886" s="77"/>
      <c r="M886" s="77"/>
      <c r="N886" s="77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9"/>
      <c r="Z886" s="79"/>
      <c r="AA886" s="79"/>
    </row>
    <row r="887" spans="1:27" ht="99" customHeight="1" x14ac:dyDescent="0.25">
      <c r="A887" s="79"/>
      <c r="B887" s="79"/>
      <c r="C887" s="80"/>
      <c r="D887" s="80"/>
      <c r="E887" s="80"/>
      <c r="F887" s="6"/>
      <c r="G887" s="54"/>
      <c r="H887" s="54"/>
      <c r="I887" s="7"/>
      <c r="J887" s="9"/>
      <c r="K887" s="21"/>
      <c r="L887" s="77"/>
      <c r="M887" s="77"/>
      <c r="N887" s="77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9"/>
      <c r="Z887" s="79"/>
      <c r="AA887" s="79"/>
    </row>
    <row r="888" spans="1:27" ht="99" customHeight="1" x14ac:dyDescent="0.25">
      <c r="A888" s="79"/>
      <c r="B888" s="79"/>
      <c r="C888" s="80"/>
      <c r="D888" s="80"/>
      <c r="E888" s="80"/>
      <c r="F888" s="6"/>
      <c r="G888" s="54"/>
      <c r="H888" s="54"/>
      <c r="I888" s="7"/>
      <c r="J888" s="9"/>
      <c r="K888" s="21"/>
      <c r="L888" s="77"/>
      <c r="M888" s="77"/>
      <c r="N888" s="77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9"/>
      <c r="Z888" s="79"/>
      <c r="AA888" s="79"/>
    </row>
    <row r="889" spans="1:27" ht="99" customHeight="1" x14ac:dyDescent="0.25">
      <c r="A889" s="79"/>
      <c r="B889" s="79"/>
      <c r="C889" s="80"/>
      <c r="D889" s="80"/>
      <c r="E889" s="80"/>
      <c r="F889" s="6"/>
      <c r="G889" s="54"/>
      <c r="H889" s="54"/>
      <c r="I889" s="7"/>
      <c r="J889" s="9"/>
      <c r="K889" s="21"/>
      <c r="L889" s="77"/>
      <c r="M889" s="77"/>
      <c r="N889" s="77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9"/>
      <c r="Z889" s="79"/>
      <c r="AA889" s="79"/>
    </row>
    <row r="890" spans="1:27" ht="99" customHeight="1" x14ac:dyDescent="0.25">
      <c r="A890" s="79"/>
      <c r="B890" s="79"/>
      <c r="C890" s="80"/>
      <c r="D890" s="80"/>
      <c r="E890" s="80"/>
      <c r="F890" s="6"/>
      <c r="G890" s="54"/>
      <c r="H890" s="54"/>
      <c r="I890" s="7"/>
      <c r="J890" s="9"/>
      <c r="K890" s="21"/>
      <c r="L890" s="77"/>
      <c r="M890" s="77"/>
      <c r="N890" s="77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9"/>
      <c r="Z890" s="79"/>
      <c r="AA890" s="79"/>
    </row>
    <row r="891" spans="1:27" ht="99" customHeight="1" x14ac:dyDescent="0.25">
      <c r="A891" s="79"/>
      <c r="B891" s="79"/>
      <c r="C891" s="80"/>
      <c r="D891" s="80"/>
      <c r="E891" s="80"/>
      <c r="F891" s="6"/>
      <c r="G891" s="54"/>
      <c r="H891" s="54"/>
      <c r="I891" s="7"/>
      <c r="J891" s="9"/>
      <c r="K891" s="21"/>
      <c r="L891" s="77"/>
      <c r="M891" s="77"/>
      <c r="N891" s="77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9"/>
      <c r="Z891" s="79"/>
      <c r="AA891" s="79"/>
    </row>
    <row r="892" spans="1:27" ht="99" customHeight="1" x14ac:dyDescent="0.25">
      <c r="A892" s="79"/>
      <c r="B892" s="79"/>
      <c r="C892" s="80"/>
      <c r="D892" s="80"/>
      <c r="E892" s="80"/>
      <c r="F892" s="6"/>
      <c r="G892" s="54"/>
      <c r="H892" s="54"/>
      <c r="I892" s="7"/>
      <c r="J892" s="9"/>
      <c r="K892" s="21"/>
      <c r="L892" s="77"/>
      <c r="M892" s="77"/>
      <c r="N892" s="77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9"/>
      <c r="Z892" s="79"/>
      <c r="AA892" s="79"/>
    </row>
    <row r="893" spans="1:27" ht="99" customHeight="1" x14ac:dyDescent="0.25">
      <c r="A893" s="79"/>
      <c r="B893" s="79"/>
      <c r="C893" s="80"/>
      <c r="D893" s="80"/>
      <c r="E893" s="80"/>
      <c r="F893" s="6"/>
      <c r="G893" s="54"/>
      <c r="H893" s="54"/>
      <c r="I893" s="7"/>
      <c r="J893" s="9"/>
      <c r="K893" s="21"/>
      <c r="L893" s="77"/>
      <c r="M893" s="77"/>
      <c r="N893" s="77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9"/>
      <c r="Z893" s="79"/>
      <c r="AA893" s="79"/>
    </row>
    <row r="894" spans="1:27" ht="99" customHeight="1" x14ac:dyDescent="0.25">
      <c r="A894" s="79"/>
      <c r="B894" s="79"/>
      <c r="C894" s="80"/>
      <c r="D894" s="80"/>
      <c r="E894" s="80"/>
      <c r="F894" s="6"/>
      <c r="G894" s="54"/>
      <c r="H894" s="54"/>
      <c r="I894" s="7"/>
      <c r="J894" s="9"/>
      <c r="K894" s="21"/>
      <c r="L894" s="77"/>
      <c r="M894" s="77"/>
      <c r="N894" s="77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9"/>
      <c r="Z894" s="79"/>
      <c r="AA894" s="79"/>
    </row>
    <row r="895" spans="1:27" ht="99" customHeight="1" x14ac:dyDescent="0.25">
      <c r="A895" s="79"/>
      <c r="B895" s="79"/>
      <c r="C895" s="80"/>
      <c r="D895" s="80"/>
      <c r="E895" s="80"/>
      <c r="F895" s="6"/>
      <c r="G895" s="54"/>
      <c r="H895" s="54"/>
      <c r="I895" s="7"/>
      <c r="J895" s="9"/>
      <c r="K895" s="21"/>
      <c r="L895" s="77"/>
      <c r="M895" s="77"/>
      <c r="N895" s="77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9"/>
      <c r="Z895" s="79"/>
      <c r="AA895" s="79"/>
    </row>
    <row r="896" spans="1:27" ht="99" customHeight="1" x14ac:dyDescent="0.25">
      <c r="A896" s="79"/>
      <c r="B896" s="79"/>
      <c r="C896" s="80"/>
      <c r="D896" s="80"/>
      <c r="E896" s="80"/>
      <c r="F896" s="6"/>
      <c r="G896" s="54"/>
      <c r="H896" s="54"/>
      <c r="I896" s="7"/>
      <c r="J896" s="9"/>
      <c r="K896" s="21"/>
      <c r="L896" s="77"/>
      <c r="M896" s="77"/>
      <c r="N896" s="77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9"/>
      <c r="Z896" s="79"/>
      <c r="AA896" s="79"/>
    </row>
    <row r="897" spans="1:27" ht="99" customHeight="1" x14ac:dyDescent="0.25">
      <c r="A897" s="79"/>
      <c r="B897" s="79"/>
      <c r="C897" s="80"/>
      <c r="D897" s="80"/>
      <c r="E897" s="80"/>
      <c r="F897" s="6"/>
      <c r="G897" s="54"/>
      <c r="H897" s="54"/>
      <c r="I897" s="7"/>
      <c r="J897" s="9"/>
      <c r="K897" s="21"/>
      <c r="L897" s="77"/>
      <c r="M897" s="77"/>
      <c r="N897" s="77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9"/>
      <c r="Z897" s="79"/>
      <c r="AA897" s="79"/>
    </row>
    <row r="898" spans="1:27" ht="99" customHeight="1" x14ac:dyDescent="0.25">
      <c r="A898" s="79"/>
      <c r="B898" s="79"/>
      <c r="C898" s="80"/>
      <c r="D898" s="80"/>
      <c r="E898" s="80"/>
      <c r="F898" s="6"/>
      <c r="G898" s="54"/>
      <c r="H898" s="54"/>
      <c r="I898" s="7"/>
      <c r="J898" s="9"/>
      <c r="K898" s="21"/>
      <c r="L898" s="77"/>
      <c r="M898" s="77"/>
      <c r="N898" s="77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9"/>
      <c r="Z898" s="79"/>
      <c r="AA898" s="79"/>
    </row>
    <row r="899" spans="1:27" ht="99" customHeight="1" x14ac:dyDescent="0.25">
      <c r="A899" s="79"/>
      <c r="B899" s="79"/>
      <c r="C899" s="80"/>
      <c r="D899" s="80"/>
      <c r="E899" s="80"/>
      <c r="F899" s="6"/>
      <c r="G899" s="54"/>
      <c r="H899" s="54"/>
      <c r="I899" s="7"/>
      <c r="J899" s="9"/>
      <c r="K899" s="21"/>
      <c r="L899" s="77"/>
      <c r="M899" s="77"/>
      <c r="N899" s="77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9"/>
      <c r="Z899" s="79"/>
      <c r="AA899" s="79"/>
    </row>
    <row r="900" spans="1:27" ht="99" customHeight="1" x14ac:dyDescent="0.25">
      <c r="A900" s="79"/>
      <c r="B900" s="79"/>
      <c r="C900" s="80"/>
      <c r="D900" s="80"/>
      <c r="E900" s="80"/>
      <c r="F900" s="6"/>
      <c r="G900" s="54"/>
      <c r="H900" s="54"/>
      <c r="I900" s="7"/>
      <c r="J900" s="9"/>
      <c r="K900" s="21"/>
      <c r="L900" s="77"/>
      <c r="M900" s="77"/>
      <c r="N900" s="77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9"/>
      <c r="Z900" s="79"/>
      <c r="AA900" s="79"/>
    </row>
    <row r="901" spans="1:27" ht="99" customHeight="1" x14ac:dyDescent="0.25">
      <c r="A901" s="79"/>
      <c r="B901" s="79"/>
      <c r="C901" s="80"/>
      <c r="D901" s="80"/>
      <c r="E901" s="80"/>
      <c r="F901" s="6"/>
      <c r="G901" s="54"/>
      <c r="H901" s="54"/>
      <c r="I901" s="7"/>
      <c r="J901" s="9"/>
      <c r="K901" s="21"/>
      <c r="L901" s="77"/>
      <c r="M901" s="77"/>
      <c r="N901" s="77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9"/>
      <c r="Z901" s="79"/>
      <c r="AA901" s="79"/>
    </row>
    <row r="902" spans="1:27" ht="99" customHeight="1" x14ac:dyDescent="0.25">
      <c r="A902" s="79"/>
      <c r="B902" s="79"/>
      <c r="C902" s="80"/>
      <c r="D902" s="80"/>
      <c r="E902" s="80"/>
      <c r="F902" s="6"/>
      <c r="G902" s="54"/>
      <c r="H902" s="54"/>
      <c r="I902" s="7"/>
      <c r="J902" s="9"/>
      <c r="K902" s="21"/>
      <c r="L902" s="77"/>
      <c r="M902" s="77"/>
      <c r="N902" s="77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9"/>
      <c r="Z902" s="79"/>
      <c r="AA902" s="79"/>
    </row>
    <row r="903" spans="1:27" ht="99" customHeight="1" x14ac:dyDescent="0.25">
      <c r="A903" s="79"/>
      <c r="B903" s="79"/>
      <c r="C903" s="80"/>
      <c r="D903" s="80"/>
      <c r="E903" s="80"/>
      <c r="F903" s="6"/>
      <c r="G903" s="54"/>
      <c r="H903" s="54"/>
      <c r="I903" s="7"/>
      <c r="J903" s="9"/>
      <c r="K903" s="21"/>
      <c r="L903" s="77"/>
      <c r="M903" s="77"/>
      <c r="N903" s="77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9"/>
      <c r="Z903" s="79"/>
      <c r="AA903" s="79"/>
    </row>
    <row r="904" spans="1:27" ht="99" customHeight="1" x14ac:dyDescent="0.25">
      <c r="A904" s="79"/>
      <c r="B904" s="79"/>
      <c r="C904" s="80"/>
      <c r="D904" s="80"/>
      <c r="E904" s="80"/>
      <c r="F904" s="6"/>
      <c r="G904" s="54"/>
      <c r="H904" s="54"/>
      <c r="I904" s="7"/>
      <c r="J904" s="9"/>
      <c r="K904" s="21"/>
      <c r="L904" s="77"/>
      <c r="M904" s="77"/>
      <c r="N904" s="77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9"/>
      <c r="Z904" s="79"/>
      <c r="AA904" s="79"/>
    </row>
    <row r="905" spans="1:27" ht="99" customHeight="1" x14ac:dyDescent="0.25">
      <c r="A905" s="79"/>
      <c r="B905" s="79"/>
      <c r="C905" s="80"/>
      <c r="D905" s="80"/>
      <c r="E905" s="80"/>
      <c r="F905" s="6"/>
      <c r="G905" s="54"/>
      <c r="H905" s="54"/>
      <c r="I905" s="7"/>
      <c r="J905" s="9"/>
      <c r="K905" s="21"/>
      <c r="L905" s="77"/>
      <c r="M905" s="77"/>
      <c r="N905" s="77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9"/>
      <c r="Z905" s="79"/>
      <c r="AA905" s="79"/>
    </row>
    <row r="906" spans="1:27" ht="99" customHeight="1" x14ac:dyDescent="0.25">
      <c r="A906" s="79"/>
      <c r="B906" s="79"/>
      <c r="C906" s="80"/>
      <c r="D906" s="80"/>
      <c r="E906" s="80"/>
      <c r="F906" s="6"/>
      <c r="G906" s="54"/>
      <c r="H906" s="54"/>
      <c r="I906" s="7"/>
      <c r="J906" s="9"/>
      <c r="K906" s="21"/>
      <c r="L906" s="77"/>
      <c r="M906" s="77"/>
      <c r="N906" s="77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9"/>
      <c r="Z906" s="79"/>
      <c r="AA906" s="79"/>
    </row>
    <row r="907" spans="1:27" ht="99" customHeight="1" x14ac:dyDescent="0.25">
      <c r="A907" s="79"/>
      <c r="B907" s="79"/>
      <c r="C907" s="80"/>
      <c r="D907" s="80"/>
      <c r="E907" s="80"/>
      <c r="F907" s="6"/>
      <c r="G907" s="54"/>
      <c r="H907" s="54"/>
      <c r="I907" s="7"/>
      <c r="J907" s="9"/>
      <c r="K907" s="21"/>
      <c r="L907" s="77"/>
      <c r="M907" s="77"/>
      <c r="N907" s="77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9"/>
      <c r="Z907" s="79"/>
      <c r="AA907" s="79"/>
    </row>
    <row r="908" spans="1:27" ht="99" customHeight="1" x14ac:dyDescent="0.25">
      <c r="A908" s="79"/>
      <c r="B908" s="79"/>
      <c r="C908" s="80"/>
      <c r="D908" s="80"/>
      <c r="E908" s="80"/>
      <c r="F908" s="6"/>
      <c r="G908" s="54"/>
      <c r="H908" s="54"/>
      <c r="I908" s="7"/>
      <c r="J908" s="9"/>
      <c r="K908" s="21"/>
      <c r="L908" s="77"/>
      <c r="M908" s="77"/>
      <c r="N908" s="77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9"/>
      <c r="Z908" s="79"/>
      <c r="AA908" s="79"/>
    </row>
    <row r="909" spans="1:27" ht="99" customHeight="1" x14ac:dyDescent="0.25">
      <c r="A909" s="79"/>
      <c r="B909" s="79"/>
      <c r="C909" s="80"/>
      <c r="D909" s="80"/>
      <c r="E909" s="80"/>
      <c r="F909" s="6"/>
      <c r="G909" s="54"/>
      <c r="H909" s="54"/>
      <c r="I909" s="7"/>
      <c r="J909" s="9"/>
      <c r="K909" s="21"/>
      <c r="L909" s="77"/>
      <c r="M909" s="77"/>
      <c r="N909" s="77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9"/>
      <c r="Z909" s="79"/>
      <c r="AA909" s="79"/>
    </row>
    <row r="910" spans="1:27" ht="99" customHeight="1" x14ac:dyDescent="0.25">
      <c r="A910" s="79"/>
      <c r="B910" s="79"/>
      <c r="C910" s="80"/>
      <c r="D910" s="80"/>
      <c r="E910" s="80"/>
      <c r="F910" s="6"/>
      <c r="G910" s="54"/>
      <c r="H910" s="54"/>
      <c r="I910" s="7"/>
      <c r="J910" s="9"/>
      <c r="K910" s="21"/>
      <c r="L910" s="77"/>
      <c r="M910" s="77"/>
      <c r="N910" s="77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9"/>
      <c r="Z910" s="79"/>
      <c r="AA910" s="79"/>
    </row>
    <row r="911" spans="1:27" ht="99" customHeight="1" x14ac:dyDescent="0.25">
      <c r="A911" s="79"/>
      <c r="B911" s="79"/>
      <c r="C911" s="80"/>
      <c r="D911" s="80"/>
      <c r="E911" s="80"/>
      <c r="F911" s="6"/>
      <c r="G911" s="54"/>
      <c r="H911" s="54"/>
      <c r="I911" s="7"/>
      <c r="J911" s="9"/>
      <c r="K911" s="21"/>
      <c r="L911" s="77"/>
      <c r="M911" s="77"/>
      <c r="N911" s="77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9"/>
      <c r="Z911" s="79"/>
      <c r="AA911" s="79"/>
    </row>
    <row r="912" spans="1:27" ht="99" customHeight="1" x14ac:dyDescent="0.25">
      <c r="A912" s="79"/>
      <c r="B912" s="79"/>
      <c r="C912" s="80"/>
      <c r="D912" s="80"/>
      <c r="E912" s="80"/>
      <c r="F912" s="6"/>
      <c r="G912" s="54"/>
      <c r="H912" s="54"/>
      <c r="I912" s="7"/>
      <c r="J912" s="9"/>
      <c r="K912" s="21"/>
      <c r="L912" s="77"/>
      <c r="M912" s="77"/>
      <c r="N912" s="77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9"/>
      <c r="Z912" s="79"/>
      <c r="AA912" s="79"/>
    </row>
    <row r="913" spans="1:27" ht="99" customHeight="1" x14ac:dyDescent="0.25">
      <c r="A913" s="79"/>
      <c r="B913" s="79"/>
      <c r="C913" s="80"/>
      <c r="D913" s="80"/>
      <c r="E913" s="80"/>
      <c r="F913" s="6"/>
      <c r="G913" s="54"/>
      <c r="H913" s="54"/>
      <c r="I913" s="7"/>
      <c r="J913" s="9"/>
      <c r="K913" s="21"/>
      <c r="L913" s="77"/>
      <c r="M913" s="77"/>
      <c r="N913" s="77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9"/>
      <c r="Z913" s="79"/>
      <c r="AA913" s="79"/>
    </row>
    <row r="914" spans="1:27" ht="99" customHeight="1" x14ac:dyDescent="0.25">
      <c r="A914" s="79"/>
      <c r="B914" s="79"/>
      <c r="C914" s="80"/>
      <c r="D914" s="80"/>
      <c r="E914" s="80"/>
      <c r="F914" s="6"/>
      <c r="G914" s="54"/>
      <c r="H914" s="54"/>
      <c r="I914" s="7"/>
      <c r="J914" s="9"/>
      <c r="K914" s="21"/>
      <c r="L914" s="77"/>
      <c r="M914" s="77"/>
      <c r="N914" s="77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9"/>
      <c r="Z914" s="79"/>
      <c r="AA914" s="79"/>
    </row>
    <row r="915" spans="1:27" ht="99" customHeight="1" x14ac:dyDescent="0.25">
      <c r="A915" s="79"/>
      <c r="B915" s="79"/>
      <c r="C915" s="80"/>
      <c r="D915" s="80"/>
      <c r="E915" s="80"/>
      <c r="F915" s="6"/>
      <c r="G915" s="54"/>
      <c r="H915" s="54"/>
      <c r="I915" s="7"/>
      <c r="J915" s="9"/>
      <c r="K915" s="21"/>
      <c r="L915" s="77"/>
      <c r="M915" s="77"/>
      <c r="N915" s="77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9"/>
      <c r="Z915" s="79"/>
      <c r="AA915" s="79"/>
    </row>
    <row r="916" spans="1:27" ht="99" customHeight="1" x14ac:dyDescent="0.25">
      <c r="A916" s="79"/>
      <c r="B916" s="79"/>
      <c r="C916" s="80"/>
      <c r="D916" s="80"/>
      <c r="E916" s="80"/>
      <c r="F916" s="6"/>
      <c r="G916" s="54"/>
      <c r="H916" s="54"/>
      <c r="I916" s="7"/>
      <c r="J916" s="9"/>
      <c r="K916" s="21"/>
      <c r="L916" s="77"/>
      <c r="M916" s="77"/>
      <c r="N916" s="77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9"/>
      <c r="Z916" s="79"/>
      <c r="AA916" s="79"/>
    </row>
    <row r="917" spans="1:27" ht="99" customHeight="1" x14ac:dyDescent="0.25">
      <c r="A917" s="79"/>
      <c r="B917" s="79"/>
      <c r="C917" s="80"/>
      <c r="D917" s="80"/>
      <c r="E917" s="80"/>
      <c r="F917" s="6"/>
      <c r="G917" s="54"/>
      <c r="H917" s="54"/>
      <c r="I917" s="7"/>
      <c r="J917" s="9"/>
      <c r="K917" s="21"/>
      <c r="L917" s="77"/>
      <c r="M917" s="77"/>
      <c r="N917" s="77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9"/>
      <c r="Z917" s="79"/>
      <c r="AA917" s="79"/>
    </row>
    <row r="918" spans="1:27" ht="99" customHeight="1" x14ac:dyDescent="0.25">
      <c r="A918" s="79"/>
      <c r="B918" s="79"/>
      <c r="C918" s="80"/>
      <c r="D918" s="80"/>
      <c r="E918" s="80"/>
      <c r="F918" s="6"/>
      <c r="G918" s="54"/>
      <c r="H918" s="54"/>
      <c r="I918" s="7"/>
      <c r="J918" s="9"/>
      <c r="K918" s="21"/>
      <c r="L918" s="77"/>
      <c r="M918" s="77"/>
      <c r="N918" s="77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9"/>
      <c r="Z918" s="79"/>
      <c r="AA918" s="79"/>
    </row>
    <row r="919" spans="1:27" ht="99" customHeight="1" x14ac:dyDescent="0.25">
      <c r="A919" s="79"/>
      <c r="B919" s="79"/>
      <c r="C919" s="80"/>
      <c r="D919" s="80"/>
      <c r="E919" s="80"/>
      <c r="F919" s="6"/>
      <c r="G919" s="54"/>
      <c r="H919" s="54"/>
      <c r="I919" s="7"/>
      <c r="J919" s="9"/>
      <c r="K919" s="21"/>
      <c r="L919" s="77"/>
      <c r="M919" s="77"/>
      <c r="N919" s="77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9"/>
      <c r="Z919" s="79"/>
      <c r="AA919" s="79"/>
    </row>
    <row r="920" spans="1:27" ht="99" customHeight="1" x14ac:dyDescent="0.25">
      <c r="A920" s="79"/>
      <c r="B920" s="79"/>
      <c r="C920" s="80"/>
      <c r="D920" s="80"/>
      <c r="E920" s="80"/>
      <c r="F920" s="6"/>
      <c r="G920" s="54"/>
      <c r="H920" s="54"/>
      <c r="I920" s="7"/>
      <c r="J920" s="9"/>
      <c r="K920" s="21"/>
      <c r="L920" s="77"/>
      <c r="M920" s="77"/>
      <c r="N920" s="77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9"/>
      <c r="Z920" s="79"/>
      <c r="AA920" s="79"/>
    </row>
    <row r="921" spans="1:27" ht="99" customHeight="1" x14ac:dyDescent="0.25">
      <c r="A921" s="79"/>
      <c r="B921" s="79"/>
      <c r="C921" s="80"/>
      <c r="D921" s="80"/>
      <c r="E921" s="80"/>
      <c r="F921" s="6"/>
      <c r="G921" s="54"/>
      <c r="H921" s="54"/>
      <c r="I921" s="7"/>
      <c r="J921" s="9"/>
      <c r="K921" s="21"/>
      <c r="L921" s="77"/>
      <c r="M921" s="77"/>
      <c r="N921" s="77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9"/>
      <c r="Z921" s="79"/>
      <c r="AA921" s="79"/>
    </row>
    <row r="922" spans="1:27" ht="99" customHeight="1" x14ac:dyDescent="0.25">
      <c r="A922" s="79"/>
      <c r="B922" s="79"/>
      <c r="C922" s="80"/>
      <c r="D922" s="80"/>
      <c r="E922" s="80"/>
      <c r="F922" s="6"/>
      <c r="G922" s="54"/>
      <c r="H922" s="54"/>
      <c r="I922" s="7"/>
      <c r="J922" s="9"/>
      <c r="K922" s="21"/>
      <c r="L922" s="77"/>
      <c r="M922" s="77"/>
      <c r="N922" s="77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9"/>
      <c r="Z922" s="79"/>
      <c r="AA922" s="79"/>
    </row>
    <row r="923" spans="1:27" ht="99" customHeight="1" x14ac:dyDescent="0.25">
      <c r="A923" s="79"/>
      <c r="B923" s="79"/>
      <c r="C923" s="80"/>
      <c r="D923" s="80"/>
      <c r="E923" s="80"/>
      <c r="F923" s="6"/>
      <c r="G923" s="54"/>
      <c r="H923" s="54"/>
      <c r="I923" s="7"/>
      <c r="J923" s="9"/>
      <c r="K923" s="21"/>
      <c r="L923" s="77"/>
      <c r="M923" s="77"/>
      <c r="N923" s="77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9"/>
      <c r="Z923" s="79"/>
      <c r="AA923" s="79"/>
    </row>
    <row r="924" spans="1:27" ht="99" customHeight="1" x14ac:dyDescent="0.25">
      <c r="A924" s="79"/>
      <c r="B924" s="79"/>
      <c r="C924" s="80"/>
      <c r="D924" s="80"/>
      <c r="E924" s="80"/>
      <c r="F924" s="6"/>
      <c r="G924" s="54"/>
      <c r="H924" s="54"/>
      <c r="I924" s="7"/>
      <c r="J924" s="9"/>
      <c r="K924" s="21"/>
      <c r="L924" s="77"/>
      <c r="M924" s="77"/>
      <c r="N924" s="77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9"/>
      <c r="Z924" s="79"/>
      <c r="AA924" s="79"/>
    </row>
    <row r="925" spans="1:27" ht="99" customHeight="1" x14ac:dyDescent="0.25">
      <c r="A925" s="79"/>
      <c r="B925" s="79"/>
      <c r="C925" s="80"/>
      <c r="D925" s="80"/>
      <c r="E925" s="80"/>
      <c r="F925" s="6"/>
      <c r="G925" s="54"/>
      <c r="H925" s="54"/>
      <c r="I925" s="7"/>
      <c r="J925" s="9"/>
      <c r="K925" s="21"/>
      <c r="L925" s="77"/>
      <c r="M925" s="77"/>
      <c r="N925" s="77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9"/>
      <c r="Z925" s="79"/>
      <c r="AA925" s="79"/>
    </row>
    <row r="926" spans="1:27" ht="99" customHeight="1" x14ac:dyDescent="0.25">
      <c r="A926" s="79"/>
      <c r="B926" s="79"/>
      <c r="C926" s="80"/>
      <c r="D926" s="80"/>
      <c r="E926" s="80"/>
      <c r="F926" s="6"/>
      <c r="G926" s="54"/>
      <c r="H926" s="54"/>
      <c r="I926" s="7"/>
      <c r="J926" s="9"/>
      <c r="K926" s="21"/>
      <c r="L926" s="77"/>
      <c r="M926" s="77"/>
      <c r="N926" s="77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9"/>
      <c r="Z926" s="79"/>
      <c r="AA926" s="79"/>
    </row>
    <row r="927" spans="1:27" ht="99" customHeight="1" x14ac:dyDescent="0.25">
      <c r="A927" s="79"/>
      <c r="B927" s="79"/>
      <c r="C927" s="80"/>
      <c r="D927" s="80"/>
      <c r="E927" s="80"/>
      <c r="F927" s="6"/>
      <c r="G927" s="54"/>
      <c r="H927" s="54"/>
      <c r="I927" s="7"/>
      <c r="J927" s="9"/>
      <c r="K927" s="21"/>
      <c r="L927" s="77"/>
      <c r="M927" s="77"/>
      <c r="N927" s="77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9"/>
      <c r="Z927" s="79"/>
      <c r="AA927" s="79"/>
    </row>
    <row r="928" spans="1:27" ht="99" customHeight="1" x14ac:dyDescent="0.25">
      <c r="A928" s="79"/>
      <c r="B928" s="79"/>
      <c r="C928" s="80"/>
      <c r="D928" s="80"/>
      <c r="E928" s="80"/>
      <c r="F928" s="6"/>
      <c r="G928" s="54"/>
      <c r="H928" s="54"/>
      <c r="I928" s="7"/>
      <c r="J928" s="9"/>
      <c r="K928" s="21"/>
      <c r="L928" s="77"/>
      <c r="M928" s="77"/>
      <c r="N928" s="77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9"/>
      <c r="Z928" s="79"/>
      <c r="AA928" s="79"/>
    </row>
    <row r="929" spans="1:27" ht="99" customHeight="1" x14ac:dyDescent="0.25">
      <c r="A929" s="79"/>
      <c r="B929" s="79"/>
      <c r="C929" s="80"/>
      <c r="D929" s="80"/>
      <c r="E929" s="80"/>
      <c r="F929" s="6"/>
      <c r="G929" s="54"/>
      <c r="H929" s="54"/>
      <c r="I929" s="7"/>
      <c r="J929" s="9"/>
      <c r="K929" s="21"/>
      <c r="L929" s="77"/>
      <c r="M929" s="77"/>
      <c r="N929" s="77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9"/>
      <c r="Z929" s="79"/>
      <c r="AA929" s="79"/>
    </row>
    <row r="930" spans="1:27" ht="99" customHeight="1" x14ac:dyDescent="0.25">
      <c r="A930" s="79"/>
      <c r="B930" s="79"/>
      <c r="C930" s="80"/>
      <c r="D930" s="80"/>
      <c r="E930" s="80"/>
      <c r="F930" s="6"/>
      <c r="G930" s="54"/>
      <c r="H930" s="54"/>
      <c r="I930" s="7"/>
      <c r="J930" s="9"/>
      <c r="K930" s="21"/>
      <c r="L930" s="77"/>
      <c r="M930" s="77"/>
      <c r="N930" s="77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9"/>
      <c r="Z930" s="79"/>
      <c r="AA930" s="79"/>
    </row>
    <row r="931" spans="1:27" ht="99" customHeight="1" x14ac:dyDescent="0.25">
      <c r="A931" s="79"/>
      <c r="B931" s="79"/>
      <c r="C931" s="80"/>
      <c r="D931" s="80"/>
      <c r="E931" s="80"/>
      <c r="F931" s="6"/>
      <c r="G931" s="54"/>
      <c r="H931" s="54"/>
      <c r="I931" s="7"/>
      <c r="J931" s="9"/>
      <c r="K931" s="21"/>
      <c r="L931" s="77"/>
      <c r="M931" s="77"/>
      <c r="N931" s="77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9"/>
      <c r="Z931" s="79"/>
      <c r="AA931" s="79"/>
    </row>
    <row r="932" spans="1:27" ht="99" customHeight="1" x14ac:dyDescent="0.25">
      <c r="A932" s="79"/>
      <c r="B932" s="79"/>
      <c r="C932" s="80"/>
      <c r="D932" s="80"/>
      <c r="E932" s="80"/>
      <c r="F932" s="6"/>
      <c r="G932" s="54"/>
      <c r="H932" s="54"/>
      <c r="I932" s="7"/>
      <c r="J932" s="9"/>
      <c r="K932" s="21"/>
      <c r="L932" s="77"/>
      <c r="M932" s="77"/>
      <c r="N932" s="77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9"/>
      <c r="Z932" s="79"/>
      <c r="AA932" s="79"/>
    </row>
    <row r="933" spans="1:27" ht="99" customHeight="1" x14ac:dyDescent="0.25">
      <c r="A933" s="79"/>
      <c r="B933" s="79"/>
      <c r="C933" s="80"/>
      <c r="D933" s="80"/>
      <c r="E933" s="80"/>
      <c r="F933" s="6"/>
      <c r="G933" s="54"/>
      <c r="H933" s="54"/>
      <c r="I933" s="7"/>
      <c r="J933" s="9"/>
      <c r="K933" s="21"/>
      <c r="L933" s="77"/>
      <c r="M933" s="77"/>
      <c r="N933" s="77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9"/>
      <c r="Z933" s="79"/>
      <c r="AA933" s="79"/>
    </row>
    <row r="934" spans="1:27" ht="99" customHeight="1" x14ac:dyDescent="0.25">
      <c r="A934" s="79"/>
      <c r="B934" s="79"/>
      <c r="C934" s="80"/>
      <c r="D934" s="80"/>
      <c r="E934" s="80"/>
      <c r="F934" s="6"/>
      <c r="G934" s="54"/>
      <c r="H934" s="54"/>
      <c r="I934" s="7"/>
      <c r="J934" s="9"/>
      <c r="K934" s="21"/>
      <c r="L934" s="77"/>
      <c r="M934" s="77"/>
      <c r="N934" s="77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9"/>
      <c r="Z934" s="79"/>
      <c r="AA934" s="79"/>
    </row>
    <row r="935" spans="1:27" ht="99" customHeight="1" x14ac:dyDescent="0.25">
      <c r="A935" s="79"/>
      <c r="B935" s="79"/>
      <c r="C935" s="80"/>
      <c r="D935" s="80"/>
      <c r="E935" s="80"/>
      <c r="F935" s="6"/>
      <c r="G935" s="54"/>
      <c r="H935" s="54"/>
      <c r="I935" s="7"/>
      <c r="J935" s="9"/>
      <c r="K935" s="21"/>
      <c r="L935" s="77"/>
      <c r="M935" s="77"/>
      <c r="N935" s="77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9"/>
      <c r="Z935" s="79"/>
      <c r="AA935" s="79"/>
    </row>
    <row r="936" spans="1:27" ht="99" customHeight="1" x14ac:dyDescent="0.25">
      <c r="A936" s="79"/>
      <c r="B936" s="79"/>
      <c r="C936" s="80"/>
      <c r="D936" s="80"/>
      <c r="E936" s="80"/>
      <c r="F936" s="6"/>
      <c r="G936" s="54"/>
      <c r="H936" s="54"/>
      <c r="I936" s="7"/>
      <c r="J936" s="9"/>
      <c r="K936" s="21"/>
      <c r="L936" s="77"/>
      <c r="M936" s="77"/>
      <c r="N936" s="77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9"/>
      <c r="Z936" s="79"/>
      <c r="AA936" s="79"/>
    </row>
    <row r="937" spans="1:27" ht="99" customHeight="1" x14ac:dyDescent="0.25">
      <c r="A937" s="79"/>
      <c r="B937" s="79"/>
      <c r="C937" s="80"/>
      <c r="D937" s="80"/>
      <c r="E937" s="80"/>
      <c r="F937" s="6"/>
      <c r="G937" s="54"/>
      <c r="H937" s="54"/>
      <c r="I937" s="7"/>
      <c r="J937" s="9"/>
      <c r="K937" s="21"/>
      <c r="L937" s="77"/>
      <c r="M937" s="77"/>
      <c r="N937" s="77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9"/>
      <c r="Z937" s="79"/>
      <c r="AA937" s="79"/>
    </row>
    <row r="938" spans="1:27" ht="99" customHeight="1" x14ac:dyDescent="0.25">
      <c r="A938" s="79"/>
      <c r="B938" s="79"/>
      <c r="C938" s="80"/>
      <c r="D938" s="80"/>
      <c r="E938" s="80"/>
      <c r="F938" s="6"/>
      <c r="G938" s="54"/>
      <c r="H938" s="54"/>
      <c r="I938" s="7"/>
      <c r="J938" s="9"/>
      <c r="K938" s="21"/>
      <c r="L938" s="77"/>
      <c r="M938" s="77"/>
      <c r="N938" s="77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9"/>
      <c r="Z938" s="79"/>
      <c r="AA938" s="79"/>
    </row>
    <row r="939" spans="1:27" ht="99" customHeight="1" x14ac:dyDescent="0.25">
      <c r="A939" s="79"/>
      <c r="B939" s="79"/>
      <c r="C939" s="80"/>
      <c r="D939" s="80"/>
      <c r="E939" s="80"/>
      <c r="F939" s="6"/>
      <c r="G939" s="54"/>
      <c r="H939" s="54"/>
      <c r="I939" s="7"/>
      <c r="J939" s="9"/>
      <c r="K939" s="21"/>
      <c r="L939" s="77"/>
      <c r="M939" s="77"/>
      <c r="N939" s="77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9"/>
      <c r="Z939" s="79"/>
      <c r="AA939" s="79"/>
    </row>
    <row r="940" spans="1:27" ht="99" customHeight="1" x14ac:dyDescent="0.25">
      <c r="A940" s="79"/>
      <c r="B940" s="79"/>
      <c r="C940" s="80"/>
      <c r="D940" s="80"/>
      <c r="E940" s="80"/>
      <c r="F940" s="6"/>
      <c r="G940" s="54"/>
      <c r="H940" s="54"/>
      <c r="I940" s="7"/>
      <c r="J940" s="9"/>
      <c r="K940" s="21"/>
      <c r="L940" s="77"/>
      <c r="M940" s="77"/>
      <c r="N940" s="77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9"/>
      <c r="Z940" s="79"/>
      <c r="AA940" s="79"/>
    </row>
    <row r="941" spans="1:27" ht="99" customHeight="1" x14ac:dyDescent="0.25">
      <c r="A941" s="79"/>
      <c r="B941" s="79"/>
      <c r="C941" s="80"/>
      <c r="D941" s="80"/>
      <c r="E941" s="80"/>
      <c r="F941" s="6"/>
      <c r="G941" s="54"/>
      <c r="H941" s="54"/>
      <c r="I941" s="7"/>
      <c r="J941" s="9"/>
      <c r="K941" s="21"/>
      <c r="L941" s="77"/>
      <c r="M941" s="77"/>
      <c r="N941" s="77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9"/>
      <c r="Z941" s="79"/>
      <c r="AA941" s="79"/>
    </row>
    <row r="942" spans="1:27" ht="99" customHeight="1" x14ac:dyDescent="0.25">
      <c r="A942" s="79"/>
      <c r="B942" s="79"/>
      <c r="C942" s="80"/>
      <c r="D942" s="80"/>
      <c r="E942" s="80"/>
      <c r="F942" s="6"/>
      <c r="G942" s="54"/>
      <c r="H942" s="54"/>
      <c r="I942" s="7"/>
      <c r="J942" s="9"/>
      <c r="K942" s="21"/>
      <c r="L942" s="77"/>
      <c r="M942" s="77"/>
      <c r="N942" s="77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9"/>
      <c r="Z942" s="79"/>
      <c r="AA942" s="79"/>
    </row>
    <row r="943" spans="1:27" ht="99" customHeight="1" x14ac:dyDescent="0.25">
      <c r="A943" s="79"/>
      <c r="B943" s="79"/>
      <c r="C943" s="80"/>
      <c r="D943" s="80"/>
      <c r="E943" s="80"/>
      <c r="F943" s="6"/>
      <c r="G943" s="54"/>
      <c r="H943" s="54"/>
      <c r="I943" s="7"/>
      <c r="J943" s="9"/>
      <c r="K943" s="21"/>
      <c r="L943" s="77"/>
      <c r="M943" s="77"/>
      <c r="N943" s="77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9"/>
      <c r="Z943" s="79"/>
      <c r="AA943" s="79"/>
    </row>
    <row r="944" spans="1:27" ht="99" customHeight="1" x14ac:dyDescent="0.25">
      <c r="A944" s="79"/>
      <c r="B944" s="79"/>
      <c r="C944" s="80"/>
      <c r="D944" s="80"/>
      <c r="E944" s="80"/>
      <c r="F944" s="6"/>
      <c r="G944" s="54"/>
      <c r="H944" s="54"/>
      <c r="I944" s="7"/>
      <c r="J944" s="9"/>
      <c r="K944" s="21"/>
      <c r="L944" s="77"/>
      <c r="M944" s="77"/>
      <c r="N944" s="77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9"/>
      <c r="Z944" s="79"/>
      <c r="AA944" s="79"/>
    </row>
    <row r="945" spans="1:27" ht="99" customHeight="1" x14ac:dyDescent="0.25">
      <c r="A945" s="79"/>
      <c r="B945" s="79"/>
      <c r="C945" s="80"/>
      <c r="D945" s="80"/>
      <c r="E945" s="80"/>
      <c r="F945" s="6"/>
      <c r="G945" s="54"/>
      <c r="H945" s="54"/>
      <c r="I945" s="7"/>
      <c r="J945" s="9"/>
      <c r="K945" s="21"/>
      <c r="L945" s="77"/>
      <c r="M945" s="77"/>
      <c r="N945" s="77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9"/>
      <c r="Z945" s="79"/>
      <c r="AA945" s="79"/>
    </row>
    <row r="946" spans="1:27" ht="99" customHeight="1" x14ac:dyDescent="0.25">
      <c r="A946" s="79"/>
      <c r="B946" s="79"/>
      <c r="C946" s="80"/>
      <c r="D946" s="80"/>
      <c r="E946" s="80"/>
      <c r="F946" s="6"/>
      <c r="G946" s="54"/>
      <c r="H946" s="54"/>
      <c r="I946" s="7"/>
      <c r="J946" s="9"/>
      <c r="K946" s="21"/>
      <c r="L946" s="77"/>
      <c r="M946" s="77"/>
      <c r="N946" s="77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9"/>
      <c r="Z946" s="79"/>
      <c r="AA946" s="79"/>
    </row>
    <row r="947" spans="1:27" ht="99" customHeight="1" x14ac:dyDescent="0.25">
      <c r="A947" s="79"/>
      <c r="B947" s="79"/>
      <c r="C947" s="80"/>
      <c r="D947" s="80"/>
      <c r="E947" s="80"/>
      <c r="F947" s="6"/>
      <c r="G947" s="54"/>
      <c r="H947" s="54"/>
      <c r="I947" s="7"/>
      <c r="J947" s="9"/>
      <c r="K947" s="21"/>
      <c r="L947" s="77"/>
      <c r="M947" s="77"/>
      <c r="N947" s="77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9"/>
      <c r="Z947" s="79"/>
      <c r="AA947" s="79"/>
    </row>
    <row r="948" spans="1:27" ht="99" customHeight="1" x14ac:dyDescent="0.25">
      <c r="A948" s="79"/>
      <c r="B948" s="79"/>
      <c r="C948" s="80"/>
      <c r="D948" s="80"/>
      <c r="E948" s="80"/>
      <c r="F948" s="6"/>
      <c r="G948" s="54"/>
      <c r="H948" s="54"/>
      <c r="I948" s="7"/>
      <c r="J948" s="9"/>
      <c r="K948" s="21"/>
      <c r="L948" s="77"/>
      <c r="M948" s="77"/>
      <c r="N948" s="77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9"/>
      <c r="Z948" s="79"/>
      <c r="AA948" s="79"/>
    </row>
    <row r="949" spans="1:27" ht="99" customHeight="1" x14ac:dyDescent="0.25">
      <c r="A949" s="79"/>
      <c r="B949" s="79"/>
      <c r="C949" s="80"/>
      <c r="D949" s="80"/>
      <c r="E949" s="80"/>
      <c r="F949" s="6"/>
      <c r="G949" s="54"/>
      <c r="H949" s="54"/>
      <c r="I949" s="7"/>
      <c r="J949" s="9"/>
      <c r="K949" s="21"/>
      <c r="L949" s="77"/>
      <c r="M949" s="77"/>
      <c r="N949" s="77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9"/>
      <c r="Z949" s="79"/>
      <c r="AA949" s="79"/>
    </row>
    <row r="950" spans="1:27" ht="99" customHeight="1" x14ac:dyDescent="0.25">
      <c r="A950" s="79"/>
      <c r="B950" s="79"/>
      <c r="C950" s="80"/>
      <c r="D950" s="80"/>
      <c r="E950" s="80"/>
      <c r="F950" s="6"/>
      <c r="G950" s="54"/>
      <c r="H950" s="54"/>
      <c r="I950" s="7"/>
      <c r="J950" s="9"/>
      <c r="K950" s="21"/>
      <c r="L950" s="77"/>
      <c r="M950" s="77"/>
      <c r="N950" s="77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9"/>
      <c r="Z950" s="79"/>
      <c r="AA950" s="79"/>
    </row>
    <row r="951" spans="1:27" ht="99" customHeight="1" x14ac:dyDescent="0.25">
      <c r="A951" s="79"/>
      <c r="B951" s="79"/>
      <c r="C951" s="80"/>
      <c r="D951" s="80"/>
      <c r="E951" s="80"/>
      <c r="F951" s="6"/>
      <c r="G951" s="54"/>
      <c r="H951" s="54"/>
      <c r="I951" s="7"/>
      <c r="J951" s="9"/>
      <c r="K951" s="21"/>
      <c r="L951" s="77"/>
      <c r="M951" s="77"/>
      <c r="N951" s="77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9"/>
      <c r="Z951" s="79"/>
      <c r="AA951" s="79"/>
    </row>
    <row r="952" spans="1:27" ht="99" customHeight="1" x14ac:dyDescent="0.25">
      <c r="A952" s="79"/>
      <c r="B952" s="79"/>
      <c r="C952" s="80"/>
      <c r="D952" s="80"/>
      <c r="E952" s="80"/>
      <c r="F952" s="6"/>
      <c r="G952" s="54"/>
      <c r="H952" s="54"/>
      <c r="I952" s="7"/>
      <c r="J952" s="9"/>
      <c r="K952" s="21"/>
      <c r="L952" s="77"/>
      <c r="M952" s="77"/>
      <c r="N952" s="77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9"/>
      <c r="Z952" s="79"/>
      <c r="AA952" s="79"/>
    </row>
    <row r="953" spans="1:27" ht="99" customHeight="1" x14ac:dyDescent="0.25">
      <c r="A953" s="79"/>
      <c r="B953" s="79"/>
      <c r="C953" s="80"/>
      <c r="D953" s="80"/>
      <c r="E953" s="80"/>
      <c r="F953" s="6"/>
      <c r="G953" s="54"/>
      <c r="H953" s="54"/>
      <c r="I953" s="7"/>
      <c r="J953" s="9"/>
      <c r="K953" s="21"/>
      <c r="L953" s="77"/>
      <c r="M953" s="77"/>
      <c r="N953" s="77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9"/>
      <c r="Z953" s="79"/>
      <c r="AA953" s="79"/>
    </row>
    <row r="954" spans="1:27" ht="99" customHeight="1" x14ac:dyDescent="0.25">
      <c r="A954" s="79"/>
      <c r="B954" s="79"/>
      <c r="C954" s="80"/>
      <c r="D954" s="80"/>
      <c r="E954" s="80"/>
      <c r="F954" s="6"/>
      <c r="G954" s="54"/>
      <c r="H954" s="54"/>
      <c r="I954" s="7"/>
      <c r="J954" s="9"/>
      <c r="K954" s="21"/>
      <c r="L954" s="77"/>
      <c r="M954" s="77"/>
      <c r="N954" s="77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9"/>
      <c r="Z954" s="79"/>
      <c r="AA954" s="79"/>
    </row>
    <row r="955" spans="1:27" ht="99" customHeight="1" x14ac:dyDescent="0.25">
      <c r="A955" s="79"/>
      <c r="B955" s="79"/>
      <c r="C955" s="80"/>
      <c r="D955" s="80"/>
      <c r="E955" s="80"/>
      <c r="F955" s="6"/>
      <c r="G955" s="54"/>
      <c r="H955" s="54"/>
      <c r="I955" s="7"/>
      <c r="J955" s="9"/>
      <c r="K955" s="21"/>
      <c r="L955" s="77"/>
      <c r="M955" s="77"/>
      <c r="N955" s="77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9"/>
      <c r="Z955" s="79"/>
      <c r="AA955" s="79"/>
    </row>
    <row r="956" spans="1:27" ht="99" customHeight="1" x14ac:dyDescent="0.25">
      <c r="A956" s="79"/>
      <c r="B956" s="79"/>
      <c r="C956" s="80"/>
      <c r="D956" s="80"/>
      <c r="E956" s="80"/>
      <c r="F956" s="6"/>
      <c r="G956" s="54"/>
      <c r="H956" s="54"/>
      <c r="I956" s="7"/>
      <c r="J956" s="9"/>
      <c r="K956" s="21"/>
      <c r="L956" s="77"/>
      <c r="M956" s="77"/>
      <c r="N956" s="77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9"/>
      <c r="Z956" s="79"/>
      <c r="AA956" s="79"/>
    </row>
    <row r="957" spans="1:27" ht="99" customHeight="1" x14ac:dyDescent="0.25">
      <c r="A957" s="79"/>
      <c r="B957" s="79"/>
      <c r="C957" s="80"/>
      <c r="D957" s="80"/>
      <c r="E957" s="80"/>
      <c r="F957" s="6"/>
      <c r="G957" s="54"/>
      <c r="H957" s="54"/>
      <c r="I957" s="7"/>
      <c r="J957" s="9"/>
      <c r="K957" s="21"/>
      <c r="L957" s="77"/>
      <c r="M957" s="77"/>
      <c r="N957" s="77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9"/>
      <c r="Z957" s="79"/>
      <c r="AA957" s="79"/>
    </row>
    <row r="958" spans="1:27" ht="99" customHeight="1" x14ac:dyDescent="0.25">
      <c r="A958" s="79"/>
      <c r="B958" s="79"/>
      <c r="C958" s="80"/>
      <c r="D958" s="80"/>
      <c r="E958" s="80"/>
      <c r="F958" s="6"/>
      <c r="G958" s="54"/>
      <c r="H958" s="54"/>
      <c r="I958" s="7"/>
      <c r="J958" s="9"/>
      <c r="K958" s="21"/>
      <c r="L958" s="77"/>
      <c r="M958" s="77"/>
      <c r="N958" s="77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9"/>
      <c r="Z958" s="79"/>
      <c r="AA958" s="79"/>
    </row>
    <row r="959" spans="1:27" ht="99" customHeight="1" x14ac:dyDescent="0.25">
      <c r="A959" s="79"/>
      <c r="B959" s="79"/>
      <c r="C959" s="80"/>
      <c r="D959" s="80"/>
      <c r="E959" s="80"/>
      <c r="F959" s="6"/>
      <c r="G959" s="54"/>
      <c r="H959" s="54"/>
      <c r="I959" s="7"/>
      <c r="J959" s="9"/>
      <c r="K959" s="21"/>
      <c r="L959" s="77"/>
      <c r="M959" s="77"/>
      <c r="N959" s="77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9"/>
      <c r="Z959" s="79"/>
      <c r="AA959" s="79"/>
    </row>
    <row r="960" spans="1:27" ht="99" customHeight="1" x14ac:dyDescent="0.25">
      <c r="A960" s="79"/>
      <c r="B960" s="79"/>
      <c r="C960" s="80"/>
      <c r="D960" s="80"/>
      <c r="E960" s="80"/>
      <c r="F960" s="6"/>
      <c r="G960" s="54"/>
      <c r="H960" s="54"/>
      <c r="I960" s="7"/>
      <c r="J960" s="9"/>
      <c r="K960" s="21"/>
      <c r="L960" s="77"/>
      <c r="M960" s="77"/>
      <c r="N960" s="77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9"/>
      <c r="Z960" s="79"/>
      <c r="AA960" s="79"/>
    </row>
    <row r="961" spans="1:27" ht="99" customHeight="1" x14ac:dyDescent="0.25">
      <c r="A961" s="79"/>
      <c r="B961" s="79"/>
      <c r="C961" s="80"/>
      <c r="D961" s="80"/>
      <c r="E961" s="80"/>
      <c r="F961" s="6"/>
      <c r="G961" s="54"/>
      <c r="H961" s="54"/>
      <c r="I961" s="7"/>
      <c r="J961" s="9"/>
      <c r="K961" s="21"/>
      <c r="L961" s="77"/>
      <c r="M961" s="77"/>
      <c r="N961" s="77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9"/>
      <c r="Z961" s="79"/>
      <c r="AA961" s="79"/>
    </row>
    <row r="962" spans="1:27" ht="99" customHeight="1" x14ac:dyDescent="0.25">
      <c r="A962" s="79"/>
      <c r="B962" s="79"/>
      <c r="C962" s="80"/>
      <c r="D962" s="80"/>
      <c r="E962" s="80"/>
      <c r="F962" s="6"/>
      <c r="G962" s="54"/>
      <c r="H962" s="54"/>
      <c r="I962" s="7"/>
      <c r="J962" s="9"/>
      <c r="K962" s="21"/>
      <c r="L962" s="77"/>
      <c r="M962" s="77"/>
      <c r="N962" s="77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9"/>
      <c r="Z962" s="79"/>
      <c r="AA962" s="79"/>
    </row>
    <row r="963" spans="1:27" ht="99" customHeight="1" x14ac:dyDescent="0.25">
      <c r="A963" s="79"/>
      <c r="B963" s="79"/>
      <c r="C963" s="80"/>
      <c r="D963" s="80"/>
      <c r="E963" s="80"/>
      <c r="F963" s="6"/>
      <c r="G963" s="54"/>
      <c r="H963" s="54"/>
      <c r="I963" s="7"/>
      <c r="J963" s="9"/>
      <c r="K963" s="21"/>
      <c r="L963" s="77"/>
      <c r="M963" s="77"/>
      <c r="N963" s="77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9"/>
      <c r="Z963" s="79"/>
      <c r="AA963" s="79"/>
    </row>
    <row r="964" spans="1:27" ht="99" customHeight="1" x14ac:dyDescent="0.25">
      <c r="A964" s="79"/>
      <c r="B964" s="79"/>
      <c r="C964" s="80"/>
      <c r="D964" s="80"/>
      <c r="E964" s="80"/>
      <c r="F964" s="6"/>
      <c r="G964" s="54"/>
      <c r="H964" s="54"/>
      <c r="I964" s="7"/>
      <c r="J964" s="9"/>
      <c r="K964" s="21"/>
      <c r="L964" s="77"/>
      <c r="M964" s="77"/>
      <c r="N964" s="77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9"/>
      <c r="Z964" s="79"/>
      <c r="AA964" s="79"/>
    </row>
    <row r="965" spans="1:27" ht="99" customHeight="1" x14ac:dyDescent="0.25">
      <c r="A965" s="79"/>
      <c r="B965" s="79"/>
      <c r="C965" s="80"/>
      <c r="D965" s="80"/>
      <c r="E965" s="80"/>
      <c r="F965" s="6"/>
      <c r="G965" s="54"/>
      <c r="H965" s="54"/>
      <c r="I965" s="7"/>
      <c r="J965" s="9"/>
      <c r="K965" s="21"/>
      <c r="L965" s="77"/>
      <c r="M965" s="77"/>
      <c r="N965" s="77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9"/>
      <c r="Z965" s="79"/>
      <c r="AA965" s="79"/>
    </row>
    <row r="966" spans="1:27" ht="99" customHeight="1" x14ac:dyDescent="0.25">
      <c r="A966" s="79"/>
      <c r="B966" s="79"/>
      <c r="C966" s="80"/>
      <c r="D966" s="80"/>
      <c r="E966" s="80"/>
      <c r="F966" s="6"/>
      <c r="G966" s="54"/>
      <c r="H966" s="54"/>
      <c r="I966" s="7"/>
      <c r="J966" s="9"/>
      <c r="K966" s="21"/>
      <c r="L966" s="77"/>
      <c r="M966" s="77"/>
      <c r="N966" s="77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9"/>
      <c r="Z966" s="79"/>
      <c r="AA966" s="79"/>
    </row>
    <row r="967" spans="1:27" ht="99" customHeight="1" x14ac:dyDescent="0.25">
      <c r="A967" s="79"/>
      <c r="B967" s="79"/>
      <c r="C967" s="80"/>
      <c r="D967" s="80"/>
      <c r="E967" s="80"/>
      <c r="F967" s="6"/>
      <c r="G967" s="54"/>
      <c r="H967" s="54"/>
      <c r="I967" s="7"/>
      <c r="J967" s="9"/>
      <c r="K967" s="21"/>
      <c r="L967" s="77"/>
      <c r="M967" s="77"/>
      <c r="N967" s="77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9"/>
      <c r="Z967" s="79"/>
      <c r="AA967" s="79"/>
    </row>
    <row r="968" spans="1:27" ht="99" customHeight="1" x14ac:dyDescent="0.25">
      <c r="A968" s="79"/>
      <c r="B968" s="79"/>
      <c r="C968" s="80"/>
      <c r="D968" s="80"/>
      <c r="E968" s="80"/>
      <c r="F968" s="6"/>
      <c r="G968" s="54"/>
      <c r="H968" s="54"/>
      <c r="I968" s="7"/>
      <c r="J968" s="9"/>
      <c r="K968" s="21"/>
      <c r="L968" s="77"/>
      <c r="M968" s="77"/>
      <c r="N968" s="77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9"/>
      <c r="Z968" s="79"/>
      <c r="AA968" s="79"/>
    </row>
    <row r="969" spans="1:27" ht="99" customHeight="1" x14ac:dyDescent="0.25">
      <c r="A969" s="79"/>
      <c r="B969" s="79"/>
      <c r="C969" s="80"/>
      <c r="D969" s="80"/>
      <c r="E969" s="80"/>
      <c r="F969" s="6"/>
      <c r="G969" s="54"/>
      <c r="H969" s="54"/>
      <c r="I969" s="7"/>
      <c r="J969" s="9"/>
      <c r="K969" s="21"/>
      <c r="L969" s="77"/>
      <c r="M969" s="77"/>
      <c r="N969" s="77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9"/>
      <c r="Z969" s="79"/>
      <c r="AA969" s="79"/>
    </row>
    <row r="970" spans="1:27" ht="99" customHeight="1" x14ac:dyDescent="0.25">
      <c r="A970" s="79"/>
      <c r="B970" s="79"/>
      <c r="C970" s="80"/>
      <c r="D970" s="80"/>
      <c r="E970" s="80"/>
      <c r="F970" s="6"/>
      <c r="G970" s="54"/>
      <c r="H970" s="54"/>
      <c r="I970" s="7"/>
      <c r="J970" s="9"/>
      <c r="K970" s="21"/>
      <c r="L970" s="77"/>
      <c r="M970" s="77"/>
      <c r="N970" s="77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9"/>
      <c r="Z970" s="79"/>
      <c r="AA970" s="79"/>
    </row>
    <row r="971" spans="1:27" ht="99" customHeight="1" x14ac:dyDescent="0.25">
      <c r="A971" s="79"/>
      <c r="B971" s="79"/>
      <c r="C971" s="80"/>
      <c r="D971" s="80"/>
      <c r="E971" s="80"/>
      <c r="F971" s="6"/>
      <c r="G971" s="54"/>
      <c r="H971" s="54"/>
      <c r="I971" s="7"/>
      <c r="J971" s="9"/>
      <c r="K971" s="21"/>
      <c r="L971" s="77"/>
      <c r="M971" s="77"/>
      <c r="N971" s="77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9"/>
      <c r="Z971" s="79"/>
      <c r="AA971" s="79"/>
    </row>
    <row r="972" spans="1:27" ht="99" customHeight="1" x14ac:dyDescent="0.25">
      <c r="A972" s="79"/>
      <c r="B972" s="79"/>
      <c r="C972" s="80"/>
      <c r="D972" s="80"/>
      <c r="E972" s="80"/>
      <c r="F972" s="6"/>
      <c r="G972" s="54"/>
      <c r="H972" s="54"/>
      <c r="I972" s="7"/>
      <c r="J972" s="9"/>
      <c r="K972" s="21"/>
      <c r="L972" s="77"/>
      <c r="M972" s="77"/>
      <c r="N972" s="77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9"/>
      <c r="Z972" s="79"/>
      <c r="AA972" s="79"/>
    </row>
    <row r="973" spans="1:27" ht="99" customHeight="1" x14ac:dyDescent="0.25">
      <c r="A973" s="79"/>
      <c r="B973" s="79"/>
      <c r="C973" s="80"/>
      <c r="D973" s="80"/>
      <c r="E973" s="80"/>
      <c r="F973" s="6"/>
      <c r="G973" s="54"/>
      <c r="H973" s="54"/>
      <c r="I973" s="7"/>
      <c r="J973" s="9"/>
      <c r="K973" s="21"/>
      <c r="L973" s="77"/>
      <c r="M973" s="77"/>
      <c r="N973" s="77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9"/>
      <c r="Z973" s="79"/>
      <c r="AA973" s="79"/>
    </row>
    <row r="974" spans="1:27" ht="99" customHeight="1" x14ac:dyDescent="0.25">
      <c r="A974" s="79"/>
      <c r="B974" s="79"/>
      <c r="C974" s="80"/>
      <c r="D974" s="80"/>
      <c r="E974" s="80"/>
      <c r="F974" s="6"/>
      <c r="G974" s="54"/>
      <c r="H974" s="54"/>
      <c r="I974" s="7"/>
      <c r="J974" s="9"/>
      <c r="K974" s="21"/>
      <c r="L974" s="77"/>
      <c r="M974" s="77"/>
      <c r="N974" s="77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9"/>
      <c r="Z974" s="79"/>
      <c r="AA974" s="79"/>
    </row>
    <row r="975" spans="1:27" ht="99" customHeight="1" x14ac:dyDescent="0.25">
      <c r="A975" s="79"/>
      <c r="B975" s="79"/>
      <c r="C975" s="80"/>
      <c r="D975" s="80"/>
      <c r="E975" s="80"/>
      <c r="F975" s="6"/>
      <c r="G975" s="54"/>
      <c r="H975" s="54"/>
      <c r="I975" s="7"/>
      <c r="J975" s="9"/>
      <c r="K975" s="21"/>
      <c r="L975" s="77"/>
      <c r="M975" s="77"/>
      <c r="N975" s="77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9"/>
      <c r="Z975" s="79"/>
      <c r="AA975" s="79"/>
    </row>
    <row r="976" spans="1:27" ht="99" customHeight="1" x14ac:dyDescent="0.25">
      <c r="A976" s="79"/>
      <c r="B976" s="79"/>
      <c r="C976" s="80"/>
      <c r="D976" s="80"/>
      <c r="E976" s="80"/>
      <c r="F976" s="6"/>
      <c r="G976" s="54"/>
      <c r="H976" s="54"/>
      <c r="I976" s="7"/>
      <c r="J976" s="9"/>
      <c r="K976" s="21"/>
      <c r="L976" s="77"/>
      <c r="M976" s="77"/>
      <c r="N976" s="77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9"/>
      <c r="Z976" s="79"/>
      <c r="AA976" s="79"/>
    </row>
    <row r="977" spans="1:27" ht="99" customHeight="1" x14ac:dyDescent="0.25">
      <c r="A977" s="79"/>
      <c r="B977" s="79"/>
      <c r="C977" s="80"/>
      <c r="D977" s="80"/>
      <c r="E977" s="80"/>
      <c r="F977" s="6"/>
      <c r="G977" s="54"/>
      <c r="H977" s="54"/>
      <c r="I977" s="7"/>
      <c r="J977" s="9"/>
      <c r="K977" s="21"/>
      <c r="L977" s="77"/>
      <c r="M977" s="77"/>
      <c r="N977" s="77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9"/>
      <c r="Z977" s="79"/>
      <c r="AA977" s="79"/>
    </row>
    <row r="978" spans="1:27" ht="99" customHeight="1" x14ac:dyDescent="0.25">
      <c r="A978" s="79"/>
      <c r="B978" s="79"/>
      <c r="C978" s="80"/>
      <c r="D978" s="80"/>
      <c r="E978" s="80"/>
      <c r="F978" s="6"/>
      <c r="G978" s="54"/>
      <c r="H978" s="54"/>
      <c r="I978" s="7"/>
      <c r="J978" s="9"/>
      <c r="K978" s="21"/>
      <c r="L978" s="77"/>
      <c r="M978" s="77"/>
      <c r="N978" s="77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9"/>
      <c r="Z978" s="79"/>
      <c r="AA978" s="79"/>
    </row>
    <row r="979" spans="1:27" ht="99" customHeight="1" x14ac:dyDescent="0.25">
      <c r="A979" s="79"/>
      <c r="B979" s="79"/>
      <c r="C979" s="80"/>
      <c r="D979" s="80"/>
      <c r="E979" s="80"/>
      <c r="F979" s="6"/>
      <c r="G979" s="54"/>
      <c r="H979" s="54"/>
      <c r="I979" s="7"/>
      <c r="J979" s="9"/>
      <c r="K979" s="21"/>
      <c r="L979" s="77"/>
      <c r="M979" s="77"/>
      <c r="N979" s="77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9"/>
      <c r="Z979" s="79"/>
      <c r="AA979" s="79"/>
    </row>
    <row r="980" spans="1:27" ht="99" customHeight="1" x14ac:dyDescent="0.25">
      <c r="A980" s="79"/>
      <c r="B980" s="79"/>
      <c r="C980" s="80"/>
      <c r="D980" s="80"/>
      <c r="E980" s="80"/>
      <c r="F980" s="6"/>
      <c r="G980" s="54"/>
      <c r="H980" s="54"/>
      <c r="I980" s="7"/>
      <c r="J980" s="9"/>
      <c r="K980" s="21"/>
      <c r="L980" s="77"/>
      <c r="M980" s="77"/>
      <c r="N980" s="77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9"/>
      <c r="Z980" s="79"/>
      <c r="AA980" s="79"/>
    </row>
    <row r="981" spans="1:27" ht="99" customHeight="1" x14ac:dyDescent="0.25">
      <c r="A981" s="79"/>
      <c r="B981" s="79"/>
      <c r="C981" s="80"/>
      <c r="D981" s="80"/>
      <c r="E981" s="80"/>
      <c r="F981" s="6"/>
      <c r="G981" s="54"/>
      <c r="H981" s="54"/>
      <c r="I981" s="7"/>
      <c r="J981" s="9"/>
      <c r="K981" s="21"/>
      <c r="L981" s="77"/>
      <c r="M981" s="77"/>
      <c r="N981" s="77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9"/>
      <c r="Z981" s="79"/>
      <c r="AA981" s="79"/>
    </row>
    <row r="982" spans="1:27" ht="99" customHeight="1" x14ac:dyDescent="0.25">
      <c r="A982" s="79"/>
      <c r="B982" s="79"/>
      <c r="C982" s="80"/>
      <c r="D982" s="80"/>
      <c r="E982" s="80"/>
      <c r="F982" s="6"/>
      <c r="G982" s="54"/>
      <c r="H982" s="54"/>
      <c r="I982" s="7"/>
      <c r="J982" s="9"/>
      <c r="K982" s="21"/>
      <c r="L982" s="77"/>
      <c r="M982" s="77"/>
      <c r="N982" s="77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9"/>
      <c r="Z982" s="79"/>
      <c r="AA982" s="79"/>
    </row>
    <row r="983" spans="1:27" ht="99" customHeight="1" x14ac:dyDescent="0.25">
      <c r="A983" s="79"/>
      <c r="B983" s="79"/>
      <c r="C983" s="80"/>
      <c r="D983" s="80"/>
      <c r="E983" s="80"/>
      <c r="F983" s="6"/>
      <c r="G983" s="54"/>
      <c r="H983" s="54"/>
      <c r="I983" s="7"/>
      <c r="J983" s="9"/>
      <c r="K983" s="21"/>
      <c r="L983" s="77"/>
      <c r="M983" s="77"/>
      <c r="N983" s="77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9"/>
      <c r="Z983" s="79"/>
      <c r="AA983" s="79"/>
    </row>
    <row r="984" spans="1:27" ht="99" customHeight="1" x14ac:dyDescent="0.25">
      <c r="A984" s="79"/>
      <c r="B984" s="79"/>
      <c r="C984" s="80"/>
      <c r="D984" s="80"/>
      <c r="E984" s="80"/>
      <c r="F984" s="6"/>
      <c r="G984" s="54"/>
      <c r="H984" s="54"/>
      <c r="I984" s="7"/>
      <c r="J984" s="9"/>
      <c r="K984" s="21"/>
      <c r="L984" s="77"/>
      <c r="M984" s="77"/>
      <c r="N984" s="77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9"/>
      <c r="Z984" s="79"/>
      <c r="AA984" s="79"/>
    </row>
    <row r="985" spans="1:27" ht="99" customHeight="1" x14ac:dyDescent="0.25">
      <c r="A985" s="79"/>
      <c r="B985" s="79"/>
      <c r="C985" s="80"/>
      <c r="D985" s="80"/>
      <c r="E985" s="80"/>
      <c r="F985" s="6"/>
      <c r="G985" s="54"/>
      <c r="H985" s="54"/>
      <c r="I985" s="7"/>
      <c r="J985" s="9"/>
      <c r="K985" s="21"/>
      <c r="L985" s="77"/>
      <c r="M985" s="77"/>
      <c r="N985" s="77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9"/>
      <c r="Z985" s="79"/>
      <c r="AA985" s="79"/>
    </row>
    <row r="986" spans="1:27" ht="99" customHeight="1" x14ac:dyDescent="0.25">
      <c r="A986" s="79"/>
      <c r="B986" s="79"/>
      <c r="C986" s="80"/>
      <c r="D986" s="80"/>
      <c r="E986" s="80"/>
      <c r="F986" s="6"/>
      <c r="G986" s="54"/>
      <c r="H986" s="54"/>
      <c r="I986" s="7"/>
      <c r="J986" s="9"/>
      <c r="K986" s="21"/>
      <c r="L986" s="77"/>
      <c r="M986" s="77"/>
      <c r="N986" s="77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9"/>
      <c r="Z986" s="79"/>
      <c r="AA986" s="79"/>
    </row>
    <row r="987" spans="1:27" ht="99" customHeight="1" x14ac:dyDescent="0.25">
      <c r="A987" s="79"/>
      <c r="B987" s="79"/>
      <c r="C987" s="80"/>
      <c r="D987" s="80"/>
      <c r="E987" s="80"/>
      <c r="F987" s="6"/>
      <c r="G987" s="54"/>
      <c r="H987" s="54"/>
      <c r="I987" s="7"/>
      <c r="J987" s="9"/>
      <c r="K987" s="21"/>
      <c r="L987" s="77"/>
      <c r="M987" s="77"/>
      <c r="N987" s="77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9"/>
      <c r="Z987" s="79"/>
      <c r="AA987" s="79"/>
    </row>
    <row r="988" spans="1:27" ht="99" customHeight="1" x14ac:dyDescent="0.25">
      <c r="A988" s="79"/>
      <c r="B988" s="79"/>
      <c r="C988" s="80"/>
      <c r="D988" s="80"/>
      <c r="E988" s="80"/>
      <c r="F988" s="6"/>
      <c r="G988" s="54"/>
      <c r="H988" s="54"/>
      <c r="I988" s="7"/>
      <c r="J988" s="9"/>
      <c r="K988" s="21"/>
      <c r="L988" s="77"/>
      <c r="M988" s="77"/>
      <c r="N988" s="77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9"/>
      <c r="Z988" s="79"/>
      <c r="AA988" s="79"/>
    </row>
    <row r="989" spans="1:27" ht="99" customHeight="1" x14ac:dyDescent="0.25">
      <c r="A989" s="79"/>
      <c r="B989" s="79"/>
      <c r="C989" s="80"/>
      <c r="D989" s="80"/>
      <c r="E989" s="80"/>
      <c r="F989" s="6"/>
      <c r="G989" s="54"/>
      <c r="H989" s="54"/>
      <c r="I989" s="7"/>
      <c r="J989" s="9"/>
      <c r="K989" s="21"/>
      <c r="L989" s="77"/>
      <c r="M989" s="77"/>
      <c r="N989" s="77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9"/>
      <c r="Z989" s="79"/>
      <c r="AA989" s="79"/>
    </row>
    <row r="990" spans="1:27" ht="99" customHeight="1" x14ac:dyDescent="0.25">
      <c r="A990" s="79"/>
      <c r="B990" s="79"/>
      <c r="C990" s="80"/>
      <c r="D990" s="80"/>
      <c r="E990" s="80"/>
      <c r="F990" s="6"/>
      <c r="G990" s="54"/>
      <c r="H990" s="54"/>
      <c r="I990" s="7"/>
      <c r="J990" s="9"/>
      <c r="K990" s="21"/>
      <c r="L990" s="77"/>
      <c r="M990" s="77"/>
      <c r="N990" s="77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9"/>
      <c r="Z990" s="79"/>
      <c r="AA990" s="79"/>
    </row>
    <row r="991" spans="1:27" ht="99" customHeight="1" x14ac:dyDescent="0.25">
      <c r="A991" s="79"/>
      <c r="B991" s="79"/>
      <c r="C991" s="80"/>
      <c r="D991" s="80"/>
      <c r="E991" s="80"/>
      <c r="F991" s="6"/>
      <c r="G991" s="54"/>
      <c r="H991" s="54"/>
      <c r="I991" s="7"/>
      <c r="J991" s="9"/>
      <c r="K991" s="21"/>
      <c r="L991" s="77"/>
      <c r="M991" s="77"/>
      <c r="N991" s="77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9"/>
      <c r="Z991" s="79"/>
      <c r="AA991" s="79"/>
    </row>
    <row r="992" spans="1:27" ht="99" customHeight="1" x14ac:dyDescent="0.25">
      <c r="A992" s="79"/>
      <c r="B992" s="79"/>
      <c r="C992" s="80"/>
      <c r="D992" s="80"/>
      <c r="E992" s="80"/>
      <c r="F992" s="6"/>
      <c r="G992" s="54"/>
      <c r="H992" s="54"/>
      <c r="I992" s="7"/>
      <c r="J992" s="9"/>
      <c r="K992" s="21"/>
      <c r="L992" s="77"/>
      <c r="M992" s="77"/>
      <c r="N992" s="77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9"/>
      <c r="Z992" s="79"/>
      <c r="AA992" s="79"/>
    </row>
    <row r="993" spans="1:27" ht="99" customHeight="1" x14ac:dyDescent="0.25">
      <c r="A993" s="79"/>
      <c r="B993" s="79"/>
      <c r="C993" s="80"/>
      <c r="D993" s="80"/>
      <c r="E993" s="80"/>
      <c r="F993" s="6"/>
      <c r="G993" s="54"/>
      <c r="H993" s="54"/>
      <c r="I993" s="7"/>
      <c r="J993" s="9"/>
      <c r="K993" s="21"/>
      <c r="L993" s="77"/>
      <c r="M993" s="77"/>
      <c r="N993" s="77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9"/>
      <c r="Z993" s="79"/>
      <c r="AA993" s="79"/>
    </row>
    <row r="994" spans="1:27" ht="99" customHeight="1" x14ac:dyDescent="0.25">
      <c r="A994" s="79"/>
      <c r="B994" s="79"/>
      <c r="C994" s="80"/>
      <c r="D994" s="80"/>
      <c r="E994" s="80"/>
      <c r="F994" s="6"/>
      <c r="G994" s="54"/>
      <c r="H994" s="54"/>
      <c r="I994" s="7"/>
      <c r="J994" s="9"/>
      <c r="K994" s="21"/>
      <c r="L994" s="77"/>
      <c r="M994" s="77"/>
      <c r="N994" s="77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9"/>
      <c r="Z994" s="79"/>
      <c r="AA994" s="79"/>
    </row>
    <row r="995" spans="1:27" ht="99" customHeight="1" x14ac:dyDescent="0.25">
      <c r="A995" s="79"/>
      <c r="B995" s="79"/>
      <c r="C995" s="80"/>
      <c r="D995" s="80"/>
      <c r="E995" s="80"/>
      <c r="F995" s="6"/>
      <c r="G995" s="54"/>
      <c r="H995" s="54"/>
      <c r="I995" s="7"/>
      <c r="J995" s="9"/>
      <c r="K995" s="21"/>
      <c r="L995" s="77"/>
      <c r="M995" s="77"/>
      <c r="N995" s="77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9"/>
      <c r="Z995" s="79"/>
      <c r="AA995" s="79"/>
    </row>
    <row r="996" spans="1:27" ht="99" customHeight="1" x14ac:dyDescent="0.25">
      <c r="A996" s="79"/>
      <c r="B996" s="79"/>
      <c r="C996" s="80"/>
      <c r="D996" s="80"/>
      <c r="E996" s="80"/>
      <c r="F996" s="6"/>
      <c r="G996" s="54"/>
      <c r="H996" s="54"/>
      <c r="I996" s="7"/>
      <c r="J996" s="9"/>
      <c r="K996" s="21"/>
      <c r="L996" s="77"/>
      <c r="M996" s="77"/>
      <c r="N996" s="77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9"/>
      <c r="Z996" s="79"/>
      <c r="AA996" s="79"/>
    </row>
    <row r="997" spans="1:27" ht="99" customHeight="1" x14ac:dyDescent="0.25">
      <c r="A997" s="79"/>
      <c r="B997" s="79"/>
      <c r="C997" s="80"/>
      <c r="D997" s="80"/>
      <c r="E997" s="80"/>
      <c r="F997" s="6"/>
      <c r="G997" s="54"/>
      <c r="H997" s="54"/>
      <c r="I997" s="7"/>
      <c r="J997" s="9"/>
      <c r="K997" s="21"/>
      <c r="L997" s="77"/>
      <c r="M997" s="77"/>
      <c r="N997" s="77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9"/>
      <c r="Z997" s="79"/>
      <c r="AA997" s="79"/>
    </row>
    <row r="998" spans="1:27" ht="99" customHeight="1" x14ac:dyDescent="0.25">
      <c r="A998" s="79"/>
      <c r="B998" s="79"/>
      <c r="C998" s="80"/>
      <c r="D998" s="80"/>
      <c r="E998" s="80"/>
      <c r="F998" s="6"/>
      <c r="G998" s="54"/>
      <c r="H998" s="54"/>
      <c r="I998" s="7"/>
      <c r="J998" s="9"/>
      <c r="K998" s="21"/>
      <c r="L998" s="77"/>
      <c r="M998" s="77"/>
      <c r="N998" s="77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9"/>
      <c r="Z998" s="79"/>
      <c r="AA998" s="79"/>
    </row>
    <row r="999" spans="1:27" ht="99" customHeight="1" x14ac:dyDescent="0.25">
      <c r="A999" s="79"/>
      <c r="B999" s="79"/>
      <c r="C999" s="80"/>
      <c r="D999" s="80"/>
      <c r="E999" s="80"/>
      <c r="F999" s="66"/>
      <c r="G999" s="21"/>
      <c r="H999" s="21"/>
      <c r="I999" s="20"/>
      <c r="J999" s="20"/>
      <c r="K999" s="20"/>
      <c r="L999" s="77"/>
      <c r="M999" s="77"/>
      <c r="N999" s="77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9"/>
      <c r="Z999" s="79"/>
      <c r="AA999" s="79"/>
    </row>
  </sheetData>
  <conditionalFormatting sqref="J1:J2 I5:I46 J5:J47 I50:J58 I60:J71 J74:J88 I75:I79 J90:J91 J93:J106 J109:J110 J112:J114 J117:J131 J133:J134 J137:J138">
    <cfRule type="cellIs" dxfId="13" priority="1" operator="equal">
      <formula>0</formula>
    </cfRule>
  </conditionalFormatting>
  <conditionalFormatting sqref="J5:K47 J50:K58 J60:K71 J74:K88 J90:K91 J93:K106 J109:K110 J112:K114 J117:K131 J133:K134 J137:K138 K1:K2">
    <cfRule type="cellIs" dxfId="12" priority="2" operator="equal">
      <formula>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" customHeight="1" x14ac:dyDescent="0.25"/>
  <cols>
    <col min="1" max="1" width="5.6640625" customWidth="1"/>
    <col min="2" max="2" width="40.33203125" customWidth="1"/>
    <col min="3" max="3" width="9.21875" customWidth="1"/>
    <col min="4" max="4" width="9.44140625" customWidth="1"/>
    <col min="5" max="5" width="9.88671875" customWidth="1"/>
    <col min="6" max="6" width="11" customWidth="1"/>
    <col min="7" max="7" width="11.44140625" customWidth="1"/>
    <col min="8" max="8" width="18.88671875" customWidth="1"/>
    <col min="9" max="9" width="11.44140625" customWidth="1"/>
    <col min="10" max="10" width="14.88671875" customWidth="1"/>
    <col min="11" max="11" width="11.44140625" customWidth="1"/>
    <col min="12" max="14" width="11.109375" customWidth="1"/>
    <col min="15" max="27" width="10" customWidth="1"/>
  </cols>
  <sheetData>
    <row r="1" spans="1:27" ht="12.75" customHeight="1" x14ac:dyDescent="0.25">
      <c r="A1" s="46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6" t="s">
        <v>18</v>
      </c>
      <c r="G1" s="7" t="s">
        <v>19</v>
      </c>
      <c r="H1" s="7" t="s">
        <v>20</v>
      </c>
      <c r="I1" s="7" t="s">
        <v>21</v>
      </c>
      <c r="J1" s="8" t="s">
        <v>22</v>
      </c>
      <c r="K1" s="9" t="s">
        <v>23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2.75" customHeight="1" x14ac:dyDescent="0.25">
      <c r="A2" s="46"/>
      <c r="B2" s="9"/>
      <c r="C2" s="9"/>
      <c r="D2" s="9"/>
      <c r="E2" s="9"/>
      <c r="F2" s="11"/>
      <c r="G2" s="12"/>
      <c r="H2" s="12"/>
      <c r="I2" s="12"/>
      <c r="J2" s="13"/>
      <c r="K2" s="47">
        <f>SUM(K3:K103)</f>
        <v>1022.06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2.75" customHeight="1" x14ac:dyDescent="0.25">
      <c r="A3" s="51"/>
      <c r="B3" s="14" t="s">
        <v>611</v>
      </c>
      <c r="C3" s="14"/>
      <c r="D3" s="14"/>
      <c r="E3" s="14"/>
      <c r="F3" s="49"/>
      <c r="G3" s="50"/>
      <c r="H3" s="50"/>
      <c r="I3" s="7"/>
      <c r="J3" s="9"/>
      <c r="K3" s="9"/>
      <c r="L3" s="9"/>
      <c r="M3" s="9"/>
      <c r="N3" s="9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2.75" customHeight="1" x14ac:dyDescent="0.25">
      <c r="A4" s="51"/>
      <c r="B4" s="14"/>
      <c r="C4" s="14"/>
      <c r="D4" s="14"/>
      <c r="E4" s="14"/>
      <c r="F4" s="63"/>
      <c r="G4" s="64"/>
      <c r="H4" s="64"/>
      <c r="I4" s="64"/>
      <c r="J4" s="2"/>
      <c r="K4" s="2"/>
      <c r="L4" s="9"/>
      <c r="M4" s="9"/>
      <c r="N4" s="9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 customHeight="1" x14ac:dyDescent="0.25">
      <c r="A5" s="46"/>
      <c r="B5" s="10"/>
      <c r="C5" s="9"/>
      <c r="D5" s="9"/>
      <c r="E5" s="9"/>
      <c r="F5" s="6"/>
      <c r="G5" s="7"/>
      <c r="H5" s="7"/>
      <c r="I5" s="7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2.75" customHeight="1" x14ac:dyDescent="0.25">
      <c r="A6" s="69">
        <v>500</v>
      </c>
      <c r="B6" s="69" t="s">
        <v>612</v>
      </c>
      <c r="C6" s="17">
        <v>1.65</v>
      </c>
      <c r="D6" s="17">
        <v>1.9500000000000002</v>
      </c>
      <c r="E6" s="17">
        <v>2.25</v>
      </c>
      <c r="F6" s="6" t="s">
        <v>27</v>
      </c>
      <c r="G6" s="7"/>
      <c r="H6" s="7"/>
      <c r="I6" s="7"/>
      <c r="J6" s="8">
        <f t="shared" ref="J6:J15" si="0">SUM(G6:I6)</f>
        <v>0</v>
      </c>
      <c r="K6" s="9">
        <f t="shared" ref="K6:K15" si="1">SUM(C6*J6)</f>
        <v>0</v>
      </c>
      <c r="L6" s="9"/>
      <c r="M6" s="9"/>
      <c r="N6" s="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</row>
    <row r="7" spans="1:27" ht="12.75" customHeight="1" x14ac:dyDescent="0.25">
      <c r="A7" s="69">
        <v>500</v>
      </c>
      <c r="B7" s="69" t="s">
        <v>613</v>
      </c>
      <c r="C7" s="17">
        <v>39.56</v>
      </c>
      <c r="D7" s="17">
        <v>44.5</v>
      </c>
      <c r="E7" s="17">
        <v>46</v>
      </c>
      <c r="F7" s="6" t="s">
        <v>27</v>
      </c>
      <c r="G7" s="7"/>
      <c r="H7" s="7"/>
      <c r="I7" s="7"/>
      <c r="J7" s="8">
        <f t="shared" si="0"/>
        <v>0</v>
      </c>
      <c r="K7" s="9">
        <f t="shared" si="1"/>
        <v>0</v>
      </c>
      <c r="L7" s="9"/>
      <c r="M7" s="9"/>
      <c r="N7" s="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 spans="1:27" ht="12.75" customHeight="1" x14ac:dyDescent="0.25">
      <c r="A8" s="69">
        <v>500</v>
      </c>
      <c r="B8" s="69" t="s">
        <v>614</v>
      </c>
      <c r="C8" s="17">
        <v>1.65</v>
      </c>
      <c r="D8" s="17">
        <v>1.9500000000000002</v>
      </c>
      <c r="E8" s="17">
        <v>2.25</v>
      </c>
      <c r="F8" s="6" t="s">
        <v>27</v>
      </c>
      <c r="G8" s="7"/>
      <c r="H8" s="7"/>
      <c r="I8" s="7"/>
      <c r="J8" s="8">
        <f t="shared" si="0"/>
        <v>0</v>
      </c>
      <c r="K8" s="9">
        <f t="shared" si="1"/>
        <v>0</v>
      </c>
      <c r="L8" s="9"/>
      <c r="M8" s="9"/>
      <c r="N8" s="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</row>
    <row r="9" spans="1:27" ht="12.75" customHeight="1" x14ac:dyDescent="0.25">
      <c r="A9" s="69">
        <v>500</v>
      </c>
      <c r="B9" s="69" t="s">
        <v>615</v>
      </c>
      <c r="C9" s="17">
        <v>39.56</v>
      </c>
      <c r="D9" s="17">
        <v>44.5</v>
      </c>
      <c r="E9" s="17">
        <v>46</v>
      </c>
      <c r="F9" s="6" t="s">
        <v>27</v>
      </c>
      <c r="G9" s="7"/>
      <c r="H9" s="7"/>
      <c r="I9" s="7">
        <v>7</v>
      </c>
      <c r="J9" s="8">
        <f t="shared" si="0"/>
        <v>7</v>
      </c>
      <c r="K9" s="9">
        <f t="shared" si="1"/>
        <v>276.92</v>
      </c>
      <c r="L9" s="9"/>
      <c r="M9" s="9"/>
      <c r="N9" s="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</row>
    <row r="10" spans="1:27" ht="12.75" customHeight="1" x14ac:dyDescent="0.25">
      <c r="A10" s="69">
        <v>500</v>
      </c>
      <c r="B10" s="69" t="s">
        <v>616</v>
      </c>
      <c r="C10" s="17">
        <v>1.65</v>
      </c>
      <c r="D10" s="17">
        <v>1.9500000000000002</v>
      </c>
      <c r="E10" s="17">
        <v>2.25</v>
      </c>
      <c r="F10" s="6" t="s">
        <v>27</v>
      </c>
      <c r="G10" s="7"/>
      <c r="H10" s="7"/>
      <c r="I10" s="7"/>
      <c r="J10" s="8">
        <f t="shared" si="0"/>
        <v>0</v>
      </c>
      <c r="K10" s="9">
        <f t="shared" si="1"/>
        <v>0</v>
      </c>
      <c r="L10" s="9"/>
      <c r="M10" s="9"/>
      <c r="N10" s="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 spans="1:27" ht="12.75" customHeight="1" x14ac:dyDescent="0.25">
      <c r="A11" s="69">
        <v>500</v>
      </c>
      <c r="B11" s="69" t="s">
        <v>616</v>
      </c>
      <c r="C11" s="17">
        <v>39.56</v>
      </c>
      <c r="D11" s="17">
        <v>44.5</v>
      </c>
      <c r="E11" s="17">
        <v>46</v>
      </c>
      <c r="F11" s="6" t="s">
        <v>27</v>
      </c>
      <c r="G11" s="7"/>
      <c r="H11" s="7"/>
      <c r="I11" s="7"/>
      <c r="J11" s="8">
        <f t="shared" si="0"/>
        <v>0</v>
      </c>
      <c r="K11" s="9">
        <f t="shared" si="1"/>
        <v>0</v>
      </c>
      <c r="L11" s="9"/>
      <c r="M11" s="9"/>
      <c r="N11" s="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</row>
    <row r="12" spans="1:27" ht="12.75" customHeight="1" x14ac:dyDescent="0.25">
      <c r="A12" s="69">
        <v>500</v>
      </c>
      <c r="B12" s="69" t="s">
        <v>617</v>
      </c>
      <c r="C12" s="17">
        <v>1.65</v>
      </c>
      <c r="D12" s="17">
        <v>1.9500000000000002</v>
      </c>
      <c r="E12" s="17">
        <v>2.25</v>
      </c>
      <c r="F12" s="6" t="s">
        <v>27</v>
      </c>
      <c r="G12" s="7"/>
      <c r="H12" s="7"/>
      <c r="I12" s="7"/>
      <c r="J12" s="8">
        <f t="shared" si="0"/>
        <v>0</v>
      </c>
      <c r="K12" s="9">
        <f t="shared" si="1"/>
        <v>0</v>
      </c>
      <c r="L12" s="9"/>
      <c r="M12" s="9"/>
      <c r="N12" s="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</row>
    <row r="13" spans="1:27" ht="12.75" customHeight="1" x14ac:dyDescent="0.25">
      <c r="A13" s="69">
        <v>500</v>
      </c>
      <c r="B13" s="69" t="s">
        <v>618</v>
      </c>
      <c r="C13" s="17">
        <v>39.56</v>
      </c>
      <c r="D13" s="17">
        <v>44.5</v>
      </c>
      <c r="E13" s="17">
        <v>46</v>
      </c>
      <c r="F13" s="6" t="s">
        <v>27</v>
      </c>
      <c r="G13" s="7"/>
      <c r="H13" s="7"/>
      <c r="I13" s="7">
        <v>6</v>
      </c>
      <c r="J13" s="8">
        <f t="shared" si="0"/>
        <v>6</v>
      </c>
      <c r="K13" s="9">
        <f t="shared" si="1"/>
        <v>237.36</v>
      </c>
      <c r="L13" s="9"/>
      <c r="M13" s="9"/>
      <c r="N13" s="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</row>
    <row r="14" spans="1:27" ht="12.75" customHeight="1" x14ac:dyDescent="0.25">
      <c r="A14" s="69">
        <v>330</v>
      </c>
      <c r="B14" s="69" t="s">
        <v>619</v>
      </c>
      <c r="C14" s="17">
        <v>1.38</v>
      </c>
      <c r="D14" s="17">
        <v>1.7000000000000002</v>
      </c>
      <c r="E14" s="17">
        <v>1.85</v>
      </c>
      <c r="F14" s="6" t="s">
        <v>27</v>
      </c>
      <c r="G14" s="7"/>
      <c r="H14" s="7"/>
      <c r="I14" s="7"/>
      <c r="J14" s="8">
        <f t="shared" si="0"/>
        <v>0</v>
      </c>
      <c r="K14" s="9">
        <f t="shared" si="1"/>
        <v>0</v>
      </c>
      <c r="L14" s="9"/>
      <c r="M14" s="9"/>
      <c r="N14" s="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 spans="1:27" ht="12.75" customHeight="1" x14ac:dyDescent="0.25">
      <c r="A15" s="69">
        <v>330</v>
      </c>
      <c r="B15" s="69" t="s">
        <v>620</v>
      </c>
      <c r="C15" s="17">
        <v>16.559999999999999</v>
      </c>
      <c r="D15" s="17">
        <v>18.75</v>
      </c>
      <c r="E15" s="17">
        <v>20</v>
      </c>
      <c r="F15" s="6" t="s">
        <v>27</v>
      </c>
      <c r="G15" s="7"/>
      <c r="H15" s="7"/>
      <c r="I15" s="7"/>
      <c r="J15" s="8">
        <f t="shared" si="0"/>
        <v>0</v>
      </c>
      <c r="K15" s="9">
        <f t="shared" si="1"/>
        <v>0</v>
      </c>
      <c r="L15" s="9"/>
      <c r="M15" s="9"/>
      <c r="N15" s="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</row>
    <row r="16" spans="1:27" ht="12.75" customHeight="1" x14ac:dyDescent="0.25">
      <c r="A16" s="69"/>
      <c r="B16" s="69"/>
      <c r="C16" s="17"/>
      <c r="D16" s="17"/>
      <c r="E16" s="17"/>
      <c r="F16" s="6"/>
      <c r="G16" s="7"/>
      <c r="H16" s="7"/>
      <c r="I16" s="7"/>
      <c r="J16" s="8"/>
      <c r="K16" s="9"/>
      <c r="L16" s="9"/>
      <c r="M16" s="9"/>
      <c r="N16" s="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</row>
    <row r="17" spans="1:27" ht="12.75" customHeight="1" x14ac:dyDescent="0.25">
      <c r="A17" s="20"/>
      <c r="B17" s="20"/>
      <c r="C17" s="5"/>
      <c r="D17" s="5"/>
      <c r="E17" s="5"/>
      <c r="F17" s="6"/>
      <c r="G17" s="7"/>
      <c r="H17" s="7"/>
      <c r="I17" s="7"/>
      <c r="J17" s="8"/>
      <c r="K17" s="9"/>
      <c r="L17" s="9"/>
      <c r="M17" s="9"/>
      <c r="N17" s="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</row>
    <row r="18" spans="1:27" ht="12.75" customHeight="1" x14ac:dyDescent="0.25">
      <c r="A18" s="20">
        <v>330</v>
      </c>
      <c r="B18" s="20" t="s">
        <v>621</v>
      </c>
      <c r="C18" s="5">
        <v>1.41</v>
      </c>
      <c r="D18" s="5">
        <v>1.75</v>
      </c>
      <c r="E18" s="5">
        <v>1.75</v>
      </c>
      <c r="F18" s="6" t="s">
        <v>514</v>
      </c>
      <c r="G18" s="7"/>
      <c r="H18" s="7"/>
      <c r="I18" s="7"/>
      <c r="J18" s="8">
        <f t="shared" ref="J18:J36" si="2">SUM(G18:I18)</f>
        <v>0</v>
      </c>
      <c r="K18" s="9">
        <f t="shared" ref="K18:K36" si="3">SUM(C18*J18)</f>
        <v>0</v>
      </c>
      <c r="L18" s="9"/>
      <c r="M18" s="9"/>
      <c r="N18" s="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 spans="1:27" ht="12.75" customHeight="1" x14ac:dyDescent="0.25">
      <c r="A19" s="20">
        <v>330</v>
      </c>
      <c r="B19" s="20" t="s">
        <v>622</v>
      </c>
      <c r="C19" s="5">
        <v>33.799999999999997</v>
      </c>
      <c r="D19" s="5">
        <v>37.5</v>
      </c>
      <c r="E19" s="5">
        <v>39</v>
      </c>
      <c r="F19" s="6" t="s">
        <v>514</v>
      </c>
      <c r="G19" s="7"/>
      <c r="H19" s="7"/>
      <c r="I19" s="7">
        <v>5</v>
      </c>
      <c r="J19" s="8">
        <f t="shared" si="2"/>
        <v>5</v>
      </c>
      <c r="K19" s="9">
        <f t="shared" si="3"/>
        <v>169</v>
      </c>
      <c r="L19" s="9"/>
      <c r="M19" s="9"/>
      <c r="N19" s="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</row>
    <row r="20" spans="1:27" ht="12.75" customHeight="1" x14ac:dyDescent="0.25">
      <c r="A20" s="20">
        <v>568</v>
      </c>
      <c r="B20" s="20" t="s">
        <v>623</v>
      </c>
      <c r="C20" s="17">
        <v>1.96</v>
      </c>
      <c r="D20" s="17">
        <v>2.5</v>
      </c>
      <c r="E20" s="17">
        <v>2.5</v>
      </c>
      <c r="F20" s="6" t="s">
        <v>514</v>
      </c>
      <c r="G20" s="7"/>
      <c r="H20" s="7"/>
      <c r="I20" s="7"/>
      <c r="J20" s="8">
        <f t="shared" si="2"/>
        <v>0</v>
      </c>
      <c r="K20" s="9">
        <f t="shared" si="3"/>
        <v>0</v>
      </c>
      <c r="L20" s="9"/>
      <c r="M20" s="9"/>
      <c r="N20" s="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</row>
    <row r="21" spans="1:27" ht="12.75" customHeight="1" x14ac:dyDescent="0.25">
      <c r="A21" s="20">
        <v>568</v>
      </c>
      <c r="B21" s="20" t="s">
        <v>624</v>
      </c>
      <c r="C21" s="17">
        <v>23.52</v>
      </c>
      <c r="D21" s="17">
        <v>27</v>
      </c>
      <c r="E21" s="17">
        <v>30</v>
      </c>
      <c r="F21" s="6" t="s">
        <v>514</v>
      </c>
      <c r="G21" s="7"/>
      <c r="H21" s="7"/>
      <c r="I21" s="7">
        <v>6</v>
      </c>
      <c r="J21" s="8">
        <f t="shared" si="2"/>
        <v>6</v>
      </c>
      <c r="K21" s="9">
        <f t="shared" si="3"/>
        <v>141.12</v>
      </c>
      <c r="L21" s="9"/>
      <c r="M21" s="9"/>
      <c r="N21" s="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</row>
    <row r="22" spans="1:27" ht="12.75" customHeight="1" x14ac:dyDescent="0.25">
      <c r="A22" s="20">
        <v>500</v>
      </c>
      <c r="B22" s="20" t="s">
        <v>625</v>
      </c>
      <c r="C22" s="5">
        <v>1.401</v>
      </c>
      <c r="D22" s="5">
        <v>1.9</v>
      </c>
      <c r="E22" s="5">
        <v>1.9500000000000002</v>
      </c>
      <c r="F22" s="6" t="s">
        <v>514</v>
      </c>
      <c r="G22" s="7"/>
      <c r="H22" s="7"/>
      <c r="I22" s="7"/>
      <c r="J22" s="8">
        <f t="shared" si="2"/>
        <v>0</v>
      </c>
      <c r="K22" s="9">
        <f t="shared" si="3"/>
        <v>0</v>
      </c>
      <c r="L22" s="9"/>
      <c r="M22" s="9"/>
      <c r="N22" s="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</row>
    <row r="23" spans="1:27" ht="12.75" customHeight="1" x14ac:dyDescent="0.25">
      <c r="A23" s="20">
        <v>500</v>
      </c>
      <c r="B23" s="20" t="s">
        <v>626</v>
      </c>
      <c r="C23" s="5">
        <v>33.630000000000003</v>
      </c>
      <c r="D23" s="5">
        <v>38</v>
      </c>
      <c r="E23" s="5">
        <v>42</v>
      </c>
      <c r="F23" s="6" t="s">
        <v>514</v>
      </c>
      <c r="G23" s="7"/>
      <c r="H23" s="7"/>
      <c r="I23" s="7">
        <v>1</v>
      </c>
      <c r="J23" s="8">
        <f t="shared" si="2"/>
        <v>1</v>
      </c>
      <c r="K23" s="9">
        <f t="shared" si="3"/>
        <v>33.630000000000003</v>
      </c>
      <c r="L23" s="9"/>
      <c r="M23" s="9"/>
      <c r="N23" s="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</row>
    <row r="24" spans="1:27" ht="12.75" customHeight="1" x14ac:dyDescent="0.25">
      <c r="A24" s="20"/>
      <c r="B24" s="20"/>
      <c r="C24" s="5"/>
      <c r="D24" s="5"/>
      <c r="E24" s="5"/>
      <c r="F24" s="6"/>
      <c r="G24" s="7"/>
      <c r="H24" s="7"/>
      <c r="I24" s="7"/>
      <c r="J24" s="8">
        <f t="shared" si="2"/>
        <v>0</v>
      </c>
      <c r="K24" s="9">
        <f t="shared" si="3"/>
        <v>0</v>
      </c>
      <c r="L24" s="9"/>
      <c r="M24" s="9"/>
      <c r="N24" s="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</row>
    <row r="25" spans="1:27" ht="12.75" customHeight="1" x14ac:dyDescent="0.25">
      <c r="A25" s="81">
        <v>330</v>
      </c>
      <c r="B25" s="20" t="s">
        <v>627</v>
      </c>
      <c r="C25" s="28">
        <v>1.1299999999999999</v>
      </c>
      <c r="D25" s="28">
        <v>1.4</v>
      </c>
      <c r="E25" s="28">
        <v>1.6</v>
      </c>
      <c r="F25" s="6" t="s">
        <v>365</v>
      </c>
      <c r="G25" s="7"/>
      <c r="H25" s="7"/>
      <c r="I25" s="7"/>
      <c r="J25" s="8">
        <f t="shared" si="2"/>
        <v>0</v>
      </c>
      <c r="K25" s="9">
        <f t="shared" si="3"/>
        <v>0</v>
      </c>
      <c r="L25" s="9"/>
      <c r="M25" s="9"/>
      <c r="N25" s="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</row>
    <row r="26" spans="1:27" ht="12.75" customHeight="1" x14ac:dyDescent="0.25">
      <c r="A26" s="81">
        <v>330</v>
      </c>
      <c r="B26" s="20" t="s">
        <v>628</v>
      </c>
      <c r="C26" s="28">
        <v>27.12</v>
      </c>
      <c r="D26" s="28">
        <v>30</v>
      </c>
      <c r="E26" s="28">
        <v>33</v>
      </c>
      <c r="F26" s="6" t="s">
        <v>365</v>
      </c>
      <c r="G26" s="7"/>
      <c r="H26" s="7"/>
      <c r="I26" s="7"/>
      <c r="J26" s="8">
        <f t="shared" si="2"/>
        <v>0</v>
      </c>
      <c r="K26" s="9">
        <f t="shared" si="3"/>
        <v>0</v>
      </c>
      <c r="L26" s="9"/>
      <c r="M26" s="9"/>
      <c r="N26" s="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</row>
    <row r="27" spans="1:27" ht="12.75" customHeight="1" x14ac:dyDescent="0.25">
      <c r="A27" s="20"/>
      <c r="B27" s="20"/>
      <c r="C27" s="5"/>
      <c r="D27" s="5"/>
      <c r="E27" s="5"/>
      <c r="F27" s="6"/>
      <c r="G27" s="7"/>
      <c r="H27" s="7"/>
      <c r="I27" s="7"/>
      <c r="J27" s="8">
        <f t="shared" si="2"/>
        <v>0</v>
      </c>
      <c r="K27" s="9">
        <f t="shared" si="3"/>
        <v>0</v>
      </c>
      <c r="L27" s="9"/>
      <c r="M27" s="9"/>
      <c r="N27" s="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</row>
    <row r="28" spans="1:27" ht="12.75" customHeight="1" x14ac:dyDescent="0.25">
      <c r="A28" s="20" t="s">
        <v>63</v>
      </c>
      <c r="B28" s="20" t="s">
        <v>629</v>
      </c>
      <c r="C28" s="5"/>
      <c r="D28" s="5"/>
      <c r="E28" s="5"/>
      <c r="F28" s="6"/>
      <c r="G28" s="7"/>
      <c r="H28" s="7"/>
      <c r="I28" s="7"/>
      <c r="J28" s="8">
        <f t="shared" si="2"/>
        <v>0</v>
      </c>
      <c r="K28" s="9">
        <f t="shared" si="3"/>
        <v>0</v>
      </c>
      <c r="L28" s="9"/>
      <c r="M28" s="9"/>
      <c r="N28" s="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</row>
    <row r="29" spans="1:27" ht="12.75" customHeight="1" x14ac:dyDescent="0.25">
      <c r="A29" s="81">
        <v>500</v>
      </c>
      <c r="B29" s="20" t="s">
        <v>630</v>
      </c>
      <c r="C29" s="28">
        <v>1.4</v>
      </c>
      <c r="D29" s="28">
        <v>1.7000000000000002</v>
      </c>
      <c r="E29" s="28">
        <v>1.9</v>
      </c>
      <c r="F29" s="6" t="s">
        <v>631</v>
      </c>
      <c r="G29" s="7"/>
      <c r="H29" s="7"/>
      <c r="I29" s="7"/>
      <c r="J29" s="8">
        <f t="shared" si="2"/>
        <v>0</v>
      </c>
      <c r="K29" s="9">
        <f t="shared" si="3"/>
        <v>0</v>
      </c>
      <c r="L29" s="9"/>
      <c r="M29" s="9"/>
      <c r="N29" s="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</row>
    <row r="30" spans="1:27" ht="12.75" customHeight="1" x14ac:dyDescent="0.25">
      <c r="A30" s="81">
        <v>500</v>
      </c>
      <c r="B30" s="20" t="s">
        <v>632</v>
      </c>
      <c r="C30" s="28">
        <v>33.51</v>
      </c>
      <c r="D30" s="28">
        <v>38</v>
      </c>
      <c r="E30" s="28">
        <v>40</v>
      </c>
      <c r="F30" s="6" t="s">
        <v>631</v>
      </c>
      <c r="G30" s="7" t="s">
        <v>63</v>
      </c>
      <c r="H30" s="7"/>
      <c r="I30" s="7"/>
      <c r="J30" s="8">
        <f t="shared" si="2"/>
        <v>0</v>
      </c>
      <c r="K30" s="9">
        <f t="shared" si="3"/>
        <v>0</v>
      </c>
      <c r="L30" s="9"/>
      <c r="M30" s="9"/>
      <c r="N30" s="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</row>
    <row r="31" spans="1:27" ht="12.75" customHeight="1" x14ac:dyDescent="0.25">
      <c r="A31" s="81">
        <v>500</v>
      </c>
      <c r="B31" s="20" t="s">
        <v>633</v>
      </c>
      <c r="C31" s="28">
        <v>1.4</v>
      </c>
      <c r="D31" s="28">
        <v>1.7000000000000002</v>
      </c>
      <c r="E31" s="28">
        <v>1.9</v>
      </c>
      <c r="F31" s="6" t="s">
        <v>631</v>
      </c>
      <c r="G31" s="7"/>
      <c r="H31" s="7"/>
      <c r="I31" s="7"/>
      <c r="J31" s="8">
        <f t="shared" si="2"/>
        <v>0</v>
      </c>
      <c r="K31" s="9">
        <f t="shared" si="3"/>
        <v>0</v>
      </c>
      <c r="L31" s="9"/>
      <c r="M31" s="9"/>
      <c r="N31" s="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</row>
    <row r="32" spans="1:27" ht="12.75" customHeight="1" x14ac:dyDescent="0.25">
      <c r="A32" s="81">
        <v>500</v>
      </c>
      <c r="B32" s="20" t="s">
        <v>634</v>
      </c>
      <c r="C32" s="28">
        <v>33.51</v>
      </c>
      <c r="D32" s="28">
        <v>38</v>
      </c>
      <c r="E32" s="28">
        <v>40</v>
      </c>
      <c r="F32" s="6" t="s">
        <v>631</v>
      </c>
      <c r="G32" s="7">
        <v>2</v>
      </c>
      <c r="H32" s="7"/>
      <c r="I32" s="7"/>
      <c r="J32" s="8">
        <f t="shared" si="2"/>
        <v>2</v>
      </c>
      <c r="K32" s="9">
        <f t="shared" si="3"/>
        <v>67.02</v>
      </c>
      <c r="L32" s="9"/>
      <c r="M32" s="9"/>
      <c r="N32" s="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</row>
    <row r="33" spans="1:27" ht="12.75" customHeight="1" x14ac:dyDescent="0.25">
      <c r="A33" s="81">
        <v>500</v>
      </c>
      <c r="B33" s="20" t="s">
        <v>635</v>
      </c>
      <c r="C33" s="28">
        <v>1.4</v>
      </c>
      <c r="D33" s="28">
        <v>1.7000000000000002</v>
      </c>
      <c r="E33" s="28">
        <v>1.9</v>
      </c>
      <c r="F33" s="6" t="s">
        <v>631</v>
      </c>
      <c r="G33" s="7"/>
      <c r="H33" s="7"/>
      <c r="I33" s="7"/>
      <c r="J33" s="8">
        <f t="shared" si="2"/>
        <v>0</v>
      </c>
      <c r="K33" s="9">
        <f t="shared" si="3"/>
        <v>0</v>
      </c>
      <c r="L33" s="9"/>
      <c r="M33" s="9"/>
      <c r="N33" s="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</row>
    <row r="34" spans="1:27" ht="12.75" customHeight="1" x14ac:dyDescent="0.25">
      <c r="A34" s="81">
        <v>500</v>
      </c>
      <c r="B34" s="20" t="s">
        <v>636</v>
      </c>
      <c r="C34" s="28">
        <v>33.51</v>
      </c>
      <c r="D34" s="28">
        <v>38</v>
      </c>
      <c r="E34" s="28">
        <v>40</v>
      </c>
      <c r="F34" s="6" t="s">
        <v>631</v>
      </c>
      <c r="G34" s="7"/>
      <c r="H34" s="7"/>
      <c r="I34" s="7"/>
      <c r="J34" s="8">
        <f t="shared" si="2"/>
        <v>0</v>
      </c>
      <c r="K34" s="9">
        <f t="shared" si="3"/>
        <v>0</v>
      </c>
      <c r="L34" s="9"/>
      <c r="M34" s="9"/>
      <c r="N34" s="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 spans="1:27" ht="12.75" customHeight="1" x14ac:dyDescent="0.25">
      <c r="A35" s="81">
        <v>500</v>
      </c>
      <c r="B35" s="20" t="s">
        <v>637</v>
      </c>
      <c r="C35" s="28">
        <v>1.4</v>
      </c>
      <c r="D35" s="28">
        <v>1.7000000000000002</v>
      </c>
      <c r="E35" s="28">
        <v>1.9</v>
      </c>
      <c r="F35" s="6" t="s">
        <v>631</v>
      </c>
      <c r="G35" s="7"/>
      <c r="H35" s="7"/>
      <c r="I35" s="7"/>
      <c r="J35" s="8">
        <f t="shared" si="2"/>
        <v>0</v>
      </c>
      <c r="K35" s="9">
        <f t="shared" si="3"/>
        <v>0</v>
      </c>
      <c r="L35" s="9"/>
      <c r="M35" s="9"/>
      <c r="N35" s="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</row>
    <row r="36" spans="1:27" ht="12.75" customHeight="1" x14ac:dyDescent="0.25">
      <c r="A36" s="81">
        <v>500</v>
      </c>
      <c r="B36" s="20" t="s">
        <v>638</v>
      </c>
      <c r="C36" s="28">
        <v>33.51</v>
      </c>
      <c r="D36" s="28">
        <v>38</v>
      </c>
      <c r="E36" s="28">
        <v>40</v>
      </c>
      <c r="F36" s="6" t="s">
        <v>631</v>
      </c>
      <c r="G36" s="7"/>
      <c r="H36" s="7"/>
      <c r="I36" s="7"/>
      <c r="J36" s="8">
        <f t="shared" si="2"/>
        <v>0</v>
      </c>
      <c r="K36" s="9">
        <f t="shared" si="3"/>
        <v>0</v>
      </c>
      <c r="L36" s="9"/>
      <c r="M36" s="9"/>
      <c r="N36" s="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</row>
    <row r="37" spans="1:27" ht="12.75" customHeight="1" x14ac:dyDescent="0.25">
      <c r="A37" s="20"/>
      <c r="B37" s="20"/>
      <c r="C37" s="5"/>
      <c r="D37" s="5"/>
      <c r="E37" s="5"/>
      <c r="F37" s="6"/>
      <c r="G37" s="7"/>
      <c r="H37" s="7"/>
      <c r="I37" s="7"/>
      <c r="J37" s="8"/>
      <c r="K37" s="9"/>
      <c r="L37" s="9"/>
      <c r="M37" s="9"/>
      <c r="N37" s="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</row>
    <row r="38" spans="1:27" ht="12.75" customHeight="1" x14ac:dyDescent="0.25">
      <c r="A38" s="69">
        <v>500</v>
      </c>
      <c r="B38" s="20" t="s">
        <v>639</v>
      </c>
      <c r="C38" s="17">
        <v>1.17</v>
      </c>
      <c r="D38" s="17">
        <v>1.5</v>
      </c>
      <c r="E38" s="17">
        <v>1.6</v>
      </c>
      <c r="F38" s="6" t="s">
        <v>640</v>
      </c>
      <c r="G38" s="7"/>
      <c r="H38" s="7"/>
      <c r="I38" s="7"/>
      <c r="J38" s="8">
        <f t="shared" ref="J38:J39" si="4">SUM(G38:I38)</f>
        <v>0</v>
      </c>
      <c r="K38" s="9">
        <f t="shared" ref="K38:K39" si="5">SUM(C38*J38)</f>
        <v>0</v>
      </c>
      <c r="L38" s="9"/>
      <c r="M38" s="9"/>
      <c r="N38" s="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 spans="1:27" ht="12.75" customHeight="1" x14ac:dyDescent="0.25">
      <c r="A39" s="69">
        <v>500</v>
      </c>
      <c r="B39" s="20" t="s">
        <v>641</v>
      </c>
      <c r="C39" s="17">
        <v>28.08</v>
      </c>
      <c r="D39" s="17">
        <v>32</v>
      </c>
      <c r="E39" s="17">
        <v>34</v>
      </c>
      <c r="F39" s="6" t="s">
        <v>640</v>
      </c>
      <c r="G39" s="7"/>
      <c r="H39" s="7"/>
      <c r="I39" s="7">
        <v>2</v>
      </c>
      <c r="J39" s="8">
        <f t="shared" si="4"/>
        <v>2</v>
      </c>
      <c r="K39" s="9">
        <f t="shared" si="5"/>
        <v>56.16</v>
      </c>
      <c r="L39" s="9"/>
      <c r="M39" s="9"/>
      <c r="N39" s="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</row>
    <row r="40" spans="1:27" ht="12.75" customHeight="1" x14ac:dyDescent="0.25">
      <c r="A40" s="20"/>
      <c r="B40" s="20"/>
      <c r="C40" s="5"/>
      <c r="D40" s="24"/>
      <c r="E40" s="10"/>
      <c r="F40" s="6"/>
      <c r="G40" s="7"/>
      <c r="H40" s="7"/>
      <c r="I40" s="7"/>
      <c r="J40" s="8"/>
      <c r="K40" s="9"/>
      <c r="L40" s="9"/>
      <c r="M40" s="9"/>
      <c r="N40" s="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 spans="1:27" ht="12.75" customHeight="1" x14ac:dyDescent="0.25">
      <c r="A41" s="20">
        <v>500</v>
      </c>
      <c r="B41" s="20" t="s">
        <v>642</v>
      </c>
      <c r="C41" s="5">
        <v>1.7000000000000002</v>
      </c>
      <c r="D41" s="24">
        <v>1.9500000000000002</v>
      </c>
      <c r="E41" s="10">
        <v>2.25</v>
      </c>
      <c r="F41" s="6" t="s">
        <v>27</v>
      </c>
      <c r="G41" s="7"/>
      <c r="H41" s="7"/>
      <c r="I41" s="7"/>
      <c r="J41" s="8">
        <f t="shared" ref="J41:J42" si="6">SUM(G41:I41)</f>
        <v>0</v>
      </c>
      <c r="K41" s="9">
        <f t="shared" ref="K41:K42" si="7">SUM(C41*J41)</f>
        <v>0</v>
      </c>
      <c r="L41" s="9"/>
      <c r="M41" s="9"/>
      <c r="N41" s="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</row>
    <row r="42" spans="1:27" ht="12.75" customHeight="1" x14ac:dyDescent="0.25">
      <c r="A42" s="20">
        <v>500</v>
      </c>
      <c r="B42" s="20" t="s">
        <v>643</v>
      </c>
      <c r="C42" s="5">
        <v>40.85</v>
      </c>
      <c r="D42" s="5">
        <v>45</v>
      </c>
      <c r="E42" s="5">
        <v>48</v>
      </c>
      <c r="F42" s="6" t="s">
        <v>27</v>
      </c>
      <c r="G42" s="7"/>
      <c r="H42" s="7"/>
      <c r="I42" s="7">
        <v>1</v>
      </c>
      <c r="J42" s="8">
        <f t="shared" si="6"/>
        <v>1</v>
      </c>
      <c r="K42" s="9">
        <f t="shared" si="7"/>
        <v>40.85</v>
      </c>
      <c r="L42" s="9"/>
      <c r="M42" s="9"/>
      <c r="N42" s="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</row>
    <row r="43" spans="1:27" ht="12.75" customHeight="1" x14ac:dyDescent="0.25">
      <c r="A43" s="51"/>
      <c r="B43" s="14" t="s">
        <v>629</v>
      </c>
      <c r="C43" s="14"/>
      <c r="D43" s="14"/>
      <c r="E43" s="14"/>
      <c r="F43" s="6"/>
      <c r="G43" s="7"/>
      <c r="H43" s="7"/>
      <c r="I43" s="7"/>
      <c r="J43" s="8"/>
      <c r="K43" s="9"/>
      <c r="L43" s="9"/>
      <c r="M43" s="9"/>
      <c r="N43" s="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20"/>
      <c r="B44" s="20"/>
      <c r="C44" s="5"/>
      <c r="D44" s="5"/>
      <c r="E44" s="5"/>
      <c r="F44" s="6"/>
      <c r="G44" s="7"/>
      <c r="H44" s="7"/>
      <c r="I44" s="7"/>
      <c r="J44" s="8"/>
      <c r="K44" s="9"/>
      <c r="L44" s="9"/>
      <c r="M44" s="9"/>
      <c r="N44" s="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</row>
    <row r="45" spans="1:27" ht="12.75" customHeight="1" x14ac:dyDescent="0.25">
      <c r="A45" s="20"/>
      <c r="B45" s="20"/>
      <c r="C45" s="5"/>
      <c r="D45" s="5"/>
      <c r="E45" s="5"/>
      <c r="F45" s="6"/>
      <c r="G45" s="7"/>
      <c r="H45" s="7"/>
      <c r="I45" s="7"/>
      <c r="J45" s="8"/>
      <c r="K45" s="9"/>
      <c r="L45" s="9"/>
      <c r="M45" s="9"/>
      <c r="N45" s="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ht="12.75" customHeight="1" x14ac:dyDescent="0.25">
      <c r="A46" s="20"/>
      <c r="B46" s="20"/>
      <c r="C46" s="5"/>
      <c r="D46" s="5"/>
      <c r="E46" s="5"/>
      <c r="F46" s="6"/>
      <c r="G46" s="7"/>
      <c r="H46" s="7"/>
      <c r="I46" s="7"/>
      <c r="J46" s="8"/>
      <c r="K46" s="9"/>
      <c r="L46" s="9"/>
      <c r="M46" s="9"/>
      <c r="N46" s="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</row>
    <row r="47" spans="1:27" ht="12.75" customHeight="1" x14ac:dyDescent="0.25">
      <c r="A47" s="20"/>
      <c r="B47" s="20"/>
      <c r="C47" s="5"/>
      <c r="D47" s="5"/>
      <c r="E47" s="5"/>
      <c r="F47" s="53"/>
      <c r="G47" s="54"/>
      <c r="H47" s="54"/>
      <c r="I47" s="7"/>
      <c r="J47" s="8"/>
      <c r="K47" s="9"/>
      <c r="L47" s="9"/>
      <c r="M47" s="9"/>
      <c r="N47" s="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</row>
    <row r="48" spans="1:27" ht="12.75" customHeight="1" x14ac:dyDescent="0.25">
      <c r="A48" s="20"/>
      <c r="B48" s="20"/>
      <c r="C48" s="5"/>
      <c r="D48" s="5"/>
      <c r="E48" s="5"/>
      <c r="F48" s="53"/>
      <c r="G48" s="54"/>
      <c r="H48" s="54"/>
      <c r="I48" s="7"/>
      <c r="J48" s="9"/>
      <c r="K48" s="21"/>
      <c r="L48" s="9"/>
      <c r="M48" s="9"/>
      <c r="N48" s="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</row>
    <row r="49" spans="1:27" ht="12.75" customHeight="1" x14ac:dyDescent="0.25">
      <c r="A49" s="20"/>
      <c r="B49" s="20"/>
      <c r="C49" s="5"/>
      <c r="D49" s="5"/>
      <c r="E49" s="5"/>
      <c r="F49" s="53"/>
      <c r="G49" s="54"/>
      <c r="H49" s="54"/>
      <c r="I49" s="7"/>
      <c r="J49" s="9"/>
      <c r="K49" s="21"/>
      <c r="L49" s="9"/>
      <c r="M49" s="9"/>
      <c r="N49" s="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</row>
    <row r="50" spans="1:27" ht="12.75" customHeight="1" x14ac:dyDescent="0.25">
      <c r="A50" s="20"/>
      <c r="B50" s="20"/>
      <c r="C50" s="5"/>
      <c r="D50" s="5"/>
      <c r="E50" s="5"/>
      <c r="F50" s="6"/>
      <c r="G50" s="7"/>
      <c r="H50" s="7"/>
      <c r="I50" s="7"/>
      <c r="J50" s="8"/>
      <c r="K50" s="9"/>
      <c r="L50" s="9"/>
      <c r="M50" s="9"/>
      <c r="N50" s="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</row>
    <row r="51" spans="1:27" ht="12.75" customHeight="1" x14ac:dyDescent="0.25">
      <c r="A51" s="79"/>
      <c r="B51" s="20"/>
      <c r="C51" s="82"/>
      <c r="D51" s="83"/>
      <c r="E51" s="79"/>
      <c r="F51" s="6"/>
      <c r="G51" s="7"/>
      <c r="H51" s="7"/>
      <c r="I51" s="7"/>
      <c r="J51" s="8"/>
      <c r="K51" s="9"/>
      <c r="L51" s="9"/>
      <c r="M51" s="9"/>
      <c r="N51" s="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 spans="1:27" ht="12.75" customHeight="1" x14ac:dyDescent="0.25">
      <c r="A52" s="79"/>
      <c r="B52" s="20"/>
      <c r="C52" s="82"/>
      <c r="D52" s="83"/>
      <c r="E52" s="79"/>
      <c r="F52" s="6"/>
      <c r="G52" s="7"/>
      <c r="H52" s="7"/>
      <c r="I52" s="7"/>
      <c r="J52" s="8"/>
      <c r="K52" s="9"/>
      <c r="L52" s="9"/>
      <c r="M52" s="9"/>
      <c r="N52" s="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 spans="1:27" ht="12.75" customHeight="1" x14ac:dyDescent="0.25">
      <c r="A53" s="79"/>
      <c r="B53" s="20"/>
      <c r="C53" s="82"/>
      <c r="D53" s="83"/>
      <c r="E53" s="79"/>
      <c r="F53" s="6"/>
      <c r="G53" s="7"/>
      <c r="H53" s="7"/>
      <c r="I53" s="7"/>
      <c r="J53" s="8"/>
      <c r="K53" s="9"/>
      <c r="L53" s="9"/>
      <c r="M53" s="9"/>
      <c r="N53" s="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ht="12.75" customHeight="1" x14ac:dyDescent="0.25">
      <c r="A54" s="79"/>
      <c r="B54" s="20"/>
      <c r="C54" s="82"/>
      <c r="D54" s="83"/>
      <c r="E54" s="79"/>
      <c r="F54" s="6"/>
      <c r="G54" s="7"/>
      <c r="H54" s="7"/>
      <c r="I54" s="7"/>
      <c r="J54" s="8"/>
      <c r="K54" s="9"/>
      <c r="L54" s="9"/>
      <c r="M54" s="9"/>
      <c r="N54" s="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</row>
    <row r="55" spans="1:27" ht="12.75" customHeight="1" x14ac:dyDescent="0.25">
      <c r="A55" s="79"/>
      <c r="B55" s="20"/>
      <c r="C55" s="82"/>
      <c r="D55" s="83"/>
      <c r="E55" s="79"/>
      <c r="F55" s="6"/>
      <c r="G55" s="7"/>
      <c r="H55" s="7"/>
      <c r="I55" s="7"/>
      <c r="J55" s="8"/>
      <c r="K55" s="9"/>
      <c r="L55" s="9"/>
      <c r="M55" s="9"/>
      <c r="N55" s="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</row>
    <row r="56" spans="1:27" ht="12.75" customHeight="1" x14ac:dyDescent="0.25">
      <c r="A56" s="79"/>
      <c r="B56" s="20"/>
      <c r="C56" s="82"/>
      <c r="D56" s="83"/>
      <c r="E56" s="79"/>
      <c r="F56" s="6"/>
      <c r="G56" s="7"/>
      <c r="H56" s="7"/>
      <c r="I56" s="7"/>
      <c r="J56" s="8"/>
      <c r="K56" s="9"/>
      <c r="L56" s="9"/>
      <c r="M56" s="9"/>
      <c r="N56" s="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</row>
    <row r="57" spans="1:27" ht="12.75" customHeight="1" x14ac:dyDescent="0.25">
      <c r="A57" s="79"/>
      <c r="B57" s="20"/>
      <c r="C57" s="82"/>
      <c r="D57" s="83"/>
      <c r="E57" s="79"/>
      <c r="F57" s="6"/>
      <c r="G57" s="7"/>
      <c r="H57" s="7"/>
      <c r="I57" s="7"/>
      <c r="J57" s="8"/>
      <c r="K57" s="9"/>
      <c r="L57" s="9"/>
      <c r="M57" s="9"/>
      <c r="N57" s="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</row>
    <row r="58" spans="1:27" ht="12.75" customHeight="1" x14ac:dyDescent="0.25">
      <c r="A58" s="79"/>
      <c r="B58" s="20"/>
      <c r="C58" s="82"/>
      <c r="D58" s="83"/>
      <c r="E58" s="79"/>
      <c r="F58" s="6"/>
      <c r="G58" s="7"/>
      <c r="H58" s="7"/>
      <c r="I58" s="7"/>
      <c r="J58" s="8"/>
      <c r="K58" s="9"/>
      <c r="L58" s="9"/>
      <c r="M58" s="9"/>
      <c r="N58" s="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</row>
    <row r="59" spans="1:27" ht="12.75" customHeight="1" x14ac:dyDescent="0.25">
      <c r="A59" s="79"/>
      <c r="B59" s="20"/>
      <c r="C59" s="82"/>
      <c r="D59" s="83"/>
      <c r="E59" s="79"/>
      <c r="F59" s="53"/>
      <c r="G59" s="54"/>
      <c r="H59" s="54"/>
      <c r="I59" s="7"/>
      <c r="J59" s="9"/>
      <c r="K59" s="21"/>
      <c r="L59" s="9"/>
      <c r="M59" s="9"/>
      <c r="N59" s="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</row>
    <row r="60" spans="1:27" ht="12.75" customHeight="1" x14ac:dyDescent="0.25">
      <c r="A60" s="79"/>
      <c r="B60" s="20"/>
      <c r="C60" s="82"/>
      <c r="D60" s="83"/>
      <c r="E60" s="79"/>
      <c r="F60" s="6"/>
      <c r="G60" s="7"/>
      <c r="H60" s="7"/>
      <c r="I60" s="7"/>
      <c r="J60" s="8"/>
      <c r="K60" s="9"/>
      <c r="L60" s="9"/>
      <c r="M60" s="9"/>
      <c r="N60" s="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</row>
    <row r="61" spans="1:27" ht="12.75" customHeight="1" x14ac:dyDescent="0.25">
      <c r="A61" s="79"/>
      <c r="B61" s="20"/>
      <c r="C61" s="82"/>
      <c r="D61" s="83"/>
      <c r="E61" s="79"/>
      <c r="F61" s="6"/>
      <c r="G61" s="7"/>
      <c r="H61" s="7"/>
      <c r="I61" s="7"/>
      <c r="J61" s="8"/>
      <c r="K61" s="9"/>
      <c r="L61" s="9"/>
      <c r="M61" s="9"/>
      <c r="N61" s="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</row>
    <row r="62" spans="1:27" ht="12.75" customHeight="1" x14ac:dyDescent="0.25">
      <c r="A62" s="79"/>
      <c r="B62" s="20"/>
      <c r="C62" s="82"/>
      <c r="D62" s="83"/>
      <c r="E62" s="79"/>
      <c r="F62" s="6"/>
      <c r="G62" s="7"/>
      <c r="H62" s="7"/>
      <c r="I62" s="7"/>
      <c r="J62" s="8"/>
      <c r="K62" s="9"/>
      <c r="L62" s="9"/>
      <c r="M62" s="9"/>
      <c r="N62" s="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</row>
    <row r="63" spans="1:27" ht="12.75" customHeight="1" x14ac:dyDescent="0.25">
      <c r="A63" s="79"/>
      <c r="B63" s="20"/>
      <c r="C63" s="82"/>
      <c r="D63" s="83"/>
      <c r="E63" s="79"/>
      <c r="F63" s="6"/>
      <c r="G63" s="7"/>
      <c r="H63" s="7"/>
      <c r="I63" s="7"/>
      <c r="J63" s="8"/>
      <c r="K63" s="9"/>
      <c r="L63" s="9"/>
      <c r="M63" s="9"/>
      <c r="N63" s="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</row>
    <row r="64" spans="1:27" ht="12.75" customHeight="1" x14ac:dyDescent="0.25">
      <c r="A64" s="79"/>
      <c r="B64" s="20"/>
      <c r="C64" s="82"/>
      <c r="D64" s="83"/>
      <c r="E64" s="79"/>
      <c r="F64" s="6"/>
      <c r="G64" s="7"/>
      <c r="H64" s="7"/>
      <c r="I64" s="7"/>
      <c r="J64" s="8"/>
      <c r="K64" s="9"/>
      <c r="L64" s="9"/>
      <c r="M64" s="9"/>
      <c r="N64" s="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</row>
    <row r="65" spans="1:27" ht="12.75" customHeight="1" x14ac:dyDescent="0.25">
      <c r="A65" s="79"/>
      <c r="B65" s="20"/>
      <c r="C65" s="82"/>
      <c r="D65" s="83"/>
      <c r="E65" s="79"/>
      <c r="F65" s="6"/>
      <c r="G65" s="7"/>
      <c r="H65" s="7"/>
      <c r="I65" s="7"/>
      <c r="J65" s="8"/>
      <c r="K65" s="9"/>
      <c r="L65" s="9"/>
      <c r="M65" s="9"/>
      <c r="N65" s="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</row>
    <row r="66" spans="1:27" ht="12.75" customHeight="1" x14ac:dyDescent="0.25">
      <c r="A66" s="79"/>
      <c r="B66" s="20"/>
      <c r="C66" s="82"/>
      <c r="D66" s="83"/>
      <c r="E66" s="79"/>
      <c r="F66" s="6"/>
      <c r="G66" s="7"/>
      <c r="H66" s="7"/>
      <c r="I66" s="7"/>
      <c r="J66" s="8"/>
      <c r="K66" s="9"/>
      <c r="L66" s="9"/>
      <c r="M66" s="9"/>
      <c r="N66" s="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</row>
    <row r="67" spans="1:27" ht="12.75" customHeight="1" x14ac:dyDescent="0.25">
      <c r="A67" s="79"/>
      <c r="B67" s="20"/>
      <c r="C67" s="82"/>
      <c r="D67" s="83"/>
      <c r="E67" s="79"/>
      <c r="F67" s="6"/>
      <c r="G67" s="7"/>
      <c r="H67" s="7"/>
      <c r="I67" s="7"/>
      <c r="J67" s="8"/>
      <c r="K67" s="9"/>
      <c r="L67" s="9"/>
      <c r="M67" s="9"/>
      <c r="N67" s="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</row>
    <row r="68" spans="1:27" ht="12.75" customHeight="1" x14ac:dyDescent="0.25">
      <c r="A68" s="79"/>
      <c r="B68" s="20"/>
      <c r="C68" s="82"/>
      <c r="D68" s="83"/>
      <c r="E68" s="79"/>
      <c r="F68" s="6"/>
      <c r="G68" s="7"/>
      <c r="H68" s="7"/>
      <c r="I68" s="7"/>
      <c r="J68" s="8"/>
      <c r="K68" s="9"/>
      <c r="L68" s="9"/>
      <c r="M68" s="9"/>
      <c r="N68" s="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</row>
    <row r="69" spans="1:27" ht="12.75" customHeight="1" x14ac:dyDescent="0.25">
      <c r="A69" s="79"/>
      <c r="B69" s="20"/>
      <c r="C69" s="82"/>
      <c r="D69" s="83"/>
      <c r="E69" s="79"/>
      <c r="F69" s="6"/>
      <c r="G69" s="7"/>
      <c r="H69" s="7"/>
      <c r="I69" s="7"/>
      <c r="J69" s="8"/>
      <c r="K69" s="9"/>
      <c r="L69" s="9"/>
      <c r="M69" s="9"/>
      <c r="N69" s="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</row>
    <row r="70" spans="1:27" ht="12.75" customHeight="1" x14ac:dyDescent="0.25">
      <c r="A70" s="79"/>
      <c r="B70" s="20"/>
      <c r="C70" s="82"/>
      <c r="D70" s="83"/>
      <c r="E70" s="79"/>
      <c r="F70" s="6"/>
      <c r="G70" s="7"/>
      <c r="H70" s="7"/>
      <c r="I70" s="7"/>
      <c r="J70" s="8"/>
      <c r="K70" s="9"/>
      <c r="L70" s="9"/>
      <c r="M70" s="9"/>
      <c r="N70" s="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</row>
    <row r="71" spans="1:27" ht="12.75" customHeight="1" x14ac:dyDescent="0.25">
      <c r="A71" s="79"/>
      <c r="B71" s="20"/>
      <c r="C71" s="82"/>
      <c r="D71" s="83"/>
      <c r="E71" s="79"/>
      <c r="F71" s="6"/>
      <c r="G71" s="7"/>
      <c r="H71" s="7"/>
      <c r="I71" s="7"/>
      <c r="J71" s="8"/>
      <c r="K71" s="9"/>
      <c r="L71" s="9"/>
      <c r="M71" s="9"/>
      <c r="N71" s="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</row>
    <row r="72" spans="1:27" ht="12.75" customHeight="1" x14ac:dyDescent="0.25">
      <c r="A72" s="79"/>
      <c r="B72" s="20"/>
      <c r="C72" s="82"/>
      <c r="D72" s="83"/>
      <c r="E72" s="79"/>
      <c r="F72" s="6"/>
      <c r="G72" s="7"/>
      <c r="H72" s="7"/>
      <c r="I72" s="7"/>
      <c r="J72" s="8"/>
      <c r="K72" s="9"/>
      <c r="L72" s="9"/>
      <c r="M72" s="9"/>
      <c r="N72" s="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</row>
    <row r="73" spans="1:27" ht="12.75" customHeight="1" x14ac:dyDescent="0.25">
      <c r="A73" s="79"/>
      <c r="B73" s="20"/>
      <c r="C73" s="82"/>
      <c r="D73" s="83"/>
      <c r="E73" s="79"/>
      <c r="F73" s="58"/>
      <c r="G73" s="59"/>
      <c r="H73" s="59"/>
      <c r="I73" s="60"/>
      <c r="J73" s="57"/>
      <c r="K73" s="57"/>
      <c r="L73" s="9"/>
      <c r="M73" s="9"/>
      <c r="N73" s="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</row>
    <row r="74" spans="1:27" ht="12.75" customHeight="1" x14ac:dyDescent="0.25">
      <c r="A74" s="79"/>
      <c r="B74" s="20"/>
      <c r="C74" s="82"/>
      <c r="D74" s="83"/>
      <c r="E74" s="79"/>
      <c r="F74" s="53"/>
      <c r="G74" s="54"/>
      <c r="H74" s="54"/>
      <c r="I74" s="7"/>
      <c r="J74" s="9"/>
      <c r="K74" s="21"/>
      <c r="L74" s="9"/>
      <c r="M74" s="9"/>
      <c r="N74" s="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</row>
    <row r="75" spans="1:27" ht="12.75" customHeight="1" x14ac:dyDescent="0.25">
      <c r="A75" s="79"/>
      <c r="B75" s="20"/>
      <c r="C75" s="82"/>
      <c r="D75" s="83"/>
      <c r="E75" s="79"/>
      <c r="F75" s="53"/>
      <c r="G75" s="54"/>
      <c r="H75" s="54"/>
      <c r="I75" s="7"/>
      <c r="J75" s="9"/>
      <c r="K75" s="21"/>
      <c r="L75" s="9"/>
      <c r="M75" s="9"/>
      <c r="N75" s="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</row>
    <row r="76" spans="1:27" ht="12.75" customHeight="1" x14ac:dyDescent="0.25">
      <c r="A76" s="79"/>
      <c r="B76" s="20"/>
      <c r="C76" s="82"/>
      <c r="D76" s="83"/>
      <c r="E76" s="79"/>
      <c r="F76" s="53"/>
      <c r="G76" s="54"/>
      <c r="H76" s="54"/>
      <c r="I76" s="7"/>
      <c r="J76" s="9"/>
      <c r="K76" s="21"/>
      <c r="L76" s="9"/>
      <c r="M76" s="9"/>
      <c r="N76" s="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</row>
    <row r="77" spans="1:27" ht="12.75" customHeight="1" x14ac:dyDescent="0.25">
      <c r="A77" s="79"/>
      <c r="B77" s="20"/>
      <c r="C77" s="82"/>
      <c r="D77" s="83"/>
      <c r="E77" s="79"/>
      <c r="F77" s="6"/>
      <c r="G77" s="7"/>
      <c r="H77" s="7"/>
      <c r="I77" s="7"/>
      <c r="J77" s="8"/>
      <c r="K77" s="9"/>
      <c r="L77" s="9"/>
      <c r="M77" s="9"/>
      <c r="N77" s="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</row>
    <row r="78" spans="1:27" ht="12.75" customHeight="1" x14ac:dyDescent="0.25">
      <c r="A78" s="79"/>
      <c r="B78" s="20"/>
      <c r="C78" s="82"/>
      <c r="D78" s="83"/>
      <c r="E78" s="79"/>
      <c r="F78" s="6"/>
      <c r="G78" s="7"/>
      <c r="H78" s="7"/>
      <c r="I78" s="7"/>
      <c r="J78" s="8"/>
      <c r="K78" s="9"/>
      <c r="L78" s="9"/>
      <c r="M78" s="9"/>
      <c r="N78" s="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</row>
    <row r="79" spans="1:27" ht="12.75" customHeight="1" x14ac:dyDescent="0.25">
      <c r="A79" s="79"/>
      <c r="B79" s="20"/>
      <c r="C79" s="82"/>
      <c r="D79" s="83"/>
      <c r="E79" s="79"/>
      <c r="F79" s="6"/>
      <c r="G79" s="7"/>
      <c r="H79" s="7"/>
      <c r="I79" s="7"/>
      <c r="J79" s="8"/>
      <c r="K79" s="9"/>
      <c r="L79" s="9"/>
      <c r="M79" s="9"/>
      <c r="N79" s="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</row>
    <row r="80" spans="1:27" ht="12.75" customHeight="1" x14ac:dyDescent="0.25">
      <c r="A80" s="79"/>
      <c r="B80" s="20"/>
      <c r="C80" s="82"/>
      <c r="D80" s="83"/>
      <c r="E80" s="79"/>
      <c r="F80" s="6"/>
      <c r="G80" s="7"/>
      <c r="H80" s="7"/>
      <c r="I80" s="7"/>
      <c r="J80" s="8"/>
      <c r="K80" s="9"/>
      <c r="L80" s="9"/>
      <c r="M80" s="9"/>
      <c r="N80" s="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</row>
    <row r="81" spans="1:27" ht="12.75" customHeight="1" x14ac:dyDescent="0.25">
      <c r="A81" s="79"/>
      <c r="B81" s="20"/>
      <c r="C81" s="82"/>
      <c r="D81" s="83"/>
      <c r="E81" s="79"/>
      <c r="F81" s="6"/>
      <c r="G81" s="7"/>
      <c r="H81" s="7"/>
      <c r="I81" s="7"/>
      <c r="J81" s="8"/>
      <c r="K81" s="9"/>
      <c r="L81" s="9"/>
      <c r="M81" s="9"/>
      <c r="N81" s="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</row>
    <row r="82" spans="1:27" ht="12.75" customHeight="1" x14ac:dyDescent="0.25">
      <c r="A82" s="79"/>
      <c r="B82" s="20"/>
      <c r="C82" s="82"/>
      <c r="D82" s="83"/>
      <c r="E82" s="79"/>
      <c r="F82" s="53"/>
      <c r="G82" s="54"/>
      <c r="H82" s="54"/>
      <c r="I82" s="7"/>
      <c r="J82" s="9"/>
      <c r="K82" s="21"/>
      <c r="L82" s="77"/>
      <c r="M82" s="77"/>
      <c r="N82" s="77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</row>
    <row r="83" spans="1:27" ht="12.75" customHeight="1" x14ac:dyDescent="0.25">
      <c r="A83" s="79"/>
      <c r="B83" s="20"/>
      <c r="C83" s="82"/>
      <c r="D83" s="83"/>
      <c r="E83" s="79"/>
      <c r="F83" s="53"/>
      <c r="G83" s="54"/>
      <c r="H83" s="54"/>
      <c r="I83" s="7"/>
      <c r="J83" s="9"/>
      <c r="K83" s="21"/>
      <c r="L83" s="77"/>
      <c r="M83" s="77"/>
      <c r="N83" s="77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</row>
    <row r="84" spans="1:27" ht="12.75" customHeight="1" x14ac:dyDescent="0.25">
      <c r="A84" s="79"/>
      <c r="B84" s="20"/>
      <c r="C84" s="82"/>
      <c r="D84" s="83"/>
      <c r="E84" s="79"/>
      <c r="F84" s="53"/>
      <c r="G84" s="54"/>
      <c r="H84" s="54"/>
      <c r="I84" s="7"/>
      <c r="J84" s="9"/>
      <c r="K84" s="21"/>
      <c r="L84" s="77"/>
      <c r="M84" s="77"/>
      <c r="N84" s="77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</row>
    <row r="85" spans="1:27" ht="12.75" customHeight="1" x14ac:dyDescent="0.25">
      <c r="A85" s="79"/>
      <c r="B85" s="20"/>
      <c r="C85" s="82"/>
      <c r="D85" s="83"/>
      <c r="E85" s="79"/>
      <c r="F85" s="53"/>
      <c r="G85" s="54"/>
      <c r="H85" s="54"/>
      <c r="I85" s="7"/>
      <c r="J85" s="9"/>
      <c r="K85" s="21"/>
      <c r="L85" s="77"/>
      <c r="M85" s="77"/>
      <c r="N85" s="77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</row>
    <row r="86" spans="1:27" ht="12.75" customHeight="1" x14ac:dyDescent="0.25">
      <c r="A86" s="79"/>
      <c r="B86" s="20"/>
      <c r="C86" s="82"/>
      <c r="D86" s="83"/>
      <c r="E86" s="79"/>
      <c r="F86" s="53"/>
      <c r="G86" s="54"/>
      <c r="H86" s="54"/>
      <c r="I86" s="7"/>
      <c r="J86" s="9"/>
      <c r="K86" s="21"/>
      <c r="L86" s="77"/>
      <c r="M86" s="77"/>
      <c r="N86" s="77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</row>
    <row r="87" spans="1:27" ht="12.75" customHeight="1" x14ac:dyDescent="0.25">
      <c r="A87" s="79"/>
      <c r="B87" s="20"/>
      <c r="C87" s="82"/>
      <c r="D87" s="83"/>
      <c r="E87" s="79"/>
      <c r="F87" s="53"/>
      <c r="G87" s="54"/>
      <c r="H87" s="54"/>
      <c r="I87" s="7"/>
      <c r="J87" s="9"/>
      <c r="K87" s="21"/>
      <c r="L87" s="77"/>
      <c r="M87" s="77"/>
      <c r="N87" s="77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</row>
    <row r="88" spans="1:27" ht="12.75" customHeight="1" x14ac:dyDescent="0.25">
      <c r="A88" s="79"/>
      <c r="B88" s="20"/>
      <c r="C88" s="82"/>
      <c r="D88" s="83"/>
      <c r="E88" s="79"/>
      <c r="F88" s="53"/>
      <c r="G88" s="54"/>
      <c r="H88" s="54"/>
      <c r="I88" s="7"/>
      <c r="J88" s="9"/>
      <c r="K88" s="21"/>
      <c r="L88" s="77"/>
      <c r="M88" s="77"/>
      <c r="N88" s="77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</row>
    <row r="89" spans="1:27" ht="12.75" customHeight="1" x14ac:dyDescent="0.25">
      <c r="A89" s="79"/>
      <c r="B89" s="20"/>
      <c r="C89" s="82"/>
      <c r="D89" s="83"/>
      <c r="E89" s="79"/>
      <c r="F89" s="53"/>
      <c r="G89" s="54"/>
      <c r="H89" s="54"/>
      <c r="I89" s="7"/>
      <c r="J89" s="9"/>
      <c r="K89" s="9"/>
      <c r="L89" s="77"/>
      <c r="M89" s="77"/>
      <c r="N89" s="77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</row>
    <row r="90" spans="1:27" ht="12.75" customHeight="1" x14ac:dyDescent="0.25">
      <c r="A90" s="79"/>
      <c r="B90" s="20"/>
      <c r="C90" s="82"/>
      <c r="D90" s="83"/>
      <c r="E90" s="79"/>
      <c r="F90" s="53"/>
      <c r="G90" s="54"/>
      <c r="H90" s="54"/>
      <c r="I90" s="7"/>
      <c r="J90" s="9"/>
      <c r="K90" s="9"/>
      <c r="L90" s="77"/>
      <c r="M90" s="77"/>
      <c r="N90" s="77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</row>
    <row r="91" spans="1:27" ht="12.75" customHeight="1" x14ac:dyDescent="0.25">
      <c r="A91" s="79"/>
      <c r="B91" s="20"/>
      <c r="C91" s="82"/>
      <c r="D91" s="83"/>
      <c r="E91" s="79"/>
      <c r="F91" s="53"/>
      <c r="G91" s="54"/>
      <c r="H91" s="54"/>
      <c r="I91" s="7"/>
      <c r="J91" s="9"/>
      <c r="K91" s="9"/>
      <c r="L91" s="77"/>
      <c r="M91" s="77"/>
      <c r="N91" s="77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</row>
    <row r="92" spans="1:27" ht="12.75" customHeight="1" x14ac:dyDescent="0.25">
      <c r="A92" s="79"/>
      <c r="B92" s="20"/>
      <c r="C92" s="82"/>
      <c r="D92" s="83"/>
      <c r="E92" s="79"/>
      <c r="F92" s="53"/>
      <c r="G92" s="54"/>
      <c r="H92" s="54"/>
      <c r="I92" s="7"/>
      <c r="J92" s="9"/>
      <c r="K92" s="9"/>
      <c r="L92" s="77"/>
      <c r="M92" s="77"/>
      <c r="N92" s="77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</row>
    <row r="93" spans="1:27" ht="12.75" customHeight="1" x14ac:dyDescent="0.25">
      <c r="A93" s="79"/>
      <c r="B93" s="20"/>
      <c r="C93" s="82"/>
      <c r="D93" s="83"/>
      <c r="E93" s="79"/>
      <c r="F93" s="53"/>
      <c r="G93" s="54"/>
      <c r="H93" s="54"/>
      <c r="I93" s="7"/>
      <c r="J93" s="9"/>
      <c r="K93" s="9"/>
      <c r="L93" s="77"/>
      <c r="M93" s="77"/>
      <c r="N93" s="77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</row>
    <row r="94" spans="1:27" ht="12.75" customHeight="1" x14ac:dyDescent="0.25">
      <c r="A94" s="79"/>
      <c r="B94" s="20"/>
      <c r="C94" s="82"/>
      <c r="D94" s="83"/>
      <c r="E94" s="79"/>
      <c r="F94" s="53"/>
      <c r="G94" s="54"/>
      <c r="H94" s="54"/>
      <c r="I94" s="7"/>
      <c r="J94" s="9"/>
      <c r="K94" s="9"/>
      <c r="L94" s="77"/>
      <c r="M94" s="77"/>
      <c r="N94" s="77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</row>
    <row r="95" spans="1:27" ht="12.75" customHeight="1" x14ac:dyDescent="0.25">
      <c r="A95" s="79"/>
      <c r="B95" s="20"/>
      <c r="C95" s="82"/>
      <c r="D95" s="83"/>
      <c r="E95" s="79"/>
      <c r="F95" s="53"/>
      <c r="G95" s="54"/>
      <c r="H95" s="54"/>
      <c r="I95" s="7"/>
      <c r="J95" s="9"/>
      <c r="K95" s="9"/>
      <c r="L95" s="77"/>
      <c r="M95" s="77"/>
      <c r="N95" s="77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</row>
    <row r="96" spans="1:27" ht="12.75" customHeight="1" x14ac:dyDescent="0.25">
      <c r="A96" s="79"/>
      <c r="B96" s="20"/>
      <c r="C96" s="82"/>
      <c r="D96" s="83"/>
      <c r="E96" s="79"/>
      <c r="F96" s="53"/>
      <c r="G96" s="54"/>
      <c r="H96" s="54"/>
      <c r="I96" s="7"/>
      <c r="J96" s="9"/>
      <c r="K96" s="9"/>
      <c r="L96" s="77"/>
      <c r="M96" s="77"/>
      <c r="N96" s="77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</row>
    <row r="97" spans="1:27" ht="12.75" customHeight="1" x14ac:dyDescent="0.25">
      <c r="A97" s="79"/>
      <c r="B97" s="20"/>
      <c r="C97" s="82"/>
      <c r="D97" s="83"/>
      <c r="E97" s="79"/>
      <c r="F97" s="53"/>
      <c r="G97" s="54"/>
      <c r="H97" s="54"/>
      <c r="I97" s="7"/>
      <c r="J97" s="9"/>
      <c r="K97" s="21"/>
      <c r="L97" s="77"/>
      <c r="M97" s="77"/>
      <c r="N97" s="77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</row>
    <row r="98" spans="1:27" ht="12.75" customHeight="1" x14ac:dyDescent="0.25">
      <c r="A98" s="79"/>
      <c r="B98" s="20"/>
      <c r="C98" s="82"/>
      <c r="D98" s="83"/>
      <c r="E98" s="79"/>
      <c r="F98" s="53"/>
      <c r="G98" s="54"/>
      <c r="H98" s="54"/>
      <c r="I98" s="7"/>
      <c r="J98" s="9"/>
      <c r="K98" s="21"/>
      <c r="L98" s="77"/>
      <c r="M98" s="77"/>
      <c r="N98" s="77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</row>
    <row r="99" spans="1:27" ht="12.75" customHeight="1" x14ac:dyDescent="0.25">
      <c r="A99" s="79"/>
      <c r="B99" s="20"/>
      <c r="C99" s="82"/>
      <c r="D99" s="83"/>
      <c r="E99" s="79"/>
      <c r="F99" s="53"/>
      <c r="G99" s="54"/>
      <c r="H99" s="54"/>
      <c r="I99" s="7"/>
      <c r="J99" s="9"/>
      <c r="K99" s="21"/>
      <c r="L99" s="77"/>
      <c r="M99" s="77"/>
      <c r="N99" s="77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</row>
    <row r="100" spans="1:27" ht="12.75" customHeight="1" x14ac:dyDescent="0.25">
      <c r="A100" s="79"/>
      <c r="B100" s="20"/>
      <c r="C100" s="82"/>
      <c r="D100" s="83"/>
      <c r="E100" s="79"/>
      <c r="F100" s="53"/>
      <c r="G100" s="54"/>
      <c r="H100" s="54"/>
      <c r="I100" s="7"/>
      <c r="J100" s="9"/>
      <c r="K100" s="9"/>
      <c r="L100" s="77"/>
      <c r="M100" s="77"/>
      <c r="N100" s="77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</row>
    <row r="101" spans="1:27" ht="12.75" customHeight="1" x14ac:dyDescent="0.25">
      <c r="A101" s="79"/>
      <c r="B101" s="20"/>
      <c r="C101" s="82"/>
      <c r="D101" s="83"/>
      <c r="E101" s="79"/>
      <c r="F101" s="53"/>
      <c r="G101" s="54"/>
      <c r="H101" s="54"/>
      <c r="I101" s="7"/>
      <c r="J101" s="9"/>
      <c r="K101" s="9"/>
      <c r="L101" s="77"/>
      <c r="M101" s="77"/>
      <c r="N101" s="77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</row>
    <row r="102" spans="1:27" ht="12.75" customHeight="1" x14ac:dyDescent="0.25">
      <c r="A102" s="79"/>
      <c r="B102" s="20"/>
      <c r="C102" s="82"/>
      <c r="D102" s="83"/>
      <c r="E102" s="79"/>
      <c r="F102" s="53"/>
      <c r="G102" s="54"/>
      <c r="H102" s="54"/>
      <c r="I102" s="7"/>
      <c r="J102" s="9"/>
      <c r="K102" s="9"/>
      <c r="L102" s="77"/>
      <c r="M102" s="77"/>
      <c r="N102" s="77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</row>
    <row r="103" spans="1:27" ht="12.75" customHeight="1" x14ac:dyDescent="0.25">
      <c r="A103" s="79"/>
      <c r="B103" s="20"/>
      <c r="C103" s="82"/>
      <c r="D103" s="83"/>
      <c r="E103" s="79"/>
      <c r="F103" s="53"/>
      <c r="G103" s="54"/>
      <c r="H103" s="54"/>
      <c r="I103" s="7"/>
      <c r="J103" s="9"/>
      <c r="K103" s="21"/>
      <c r="L103" s="77"/>
      <c r="M103" s="77"/>
      <c r="N103" s="77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</row>
    <row r="104" spans="1:27" ht="12.75" customHeight="1" x14ac:dyDescent="0.25">
      <c r="A104" s="79"/>
      <c r="B104" s="20"/>
      <c r="C104" s="82"/>
      <c r="D104" s="83"/>
      <c r="E104" s="79"/>
      <c r="F104" s="53"/>
      <c r="G104" s="54"/>
      <c r="H104" s="54"/>
      <c r="I104" s="7"/>
      <c r="J104" s="9"/>
      <c r="K104" s="21"/>
      <c r="L104" s="77"/>
      <c r="M104" s="77"/>
      <c r="N104" s="77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spans="1:27" ht="12.75" customHeight="1" x14ac:dyDescent="0.25">
      <c r="A105" s="79"/>
      <c r="B105" s="20"/>
      <c r="C105" s="82"/>
      <c r="D105" s="83"/>
      <c r="E105" s="79"/>
      <c r="F105" s="53"/>
      <c r="G105" s="54"/>
      <c r="H105" s="54"/>
      <c r="I105" s="7"/>
      <c r="J105" s="9"/>
      <c r="K105" s="21"/>
      <c r="L105" s="77"/>
      <c r="M105" s="77"/>
      <c r="N105" s="77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</row>
    <row r="106" spans="1:27" ht="12.75" customHeight="1" x14ac:dyDescent="0.25">
      <c r="A106" s="79"/>
      <c r="B106" s="20"/>
      <c r="C106" s="82"/>
      <c r="D106" s="83"/>
      <c r="E106" s="79"/>
      <c r="F106" s="53"/>
      <c r="G106" s="54"/>
      <c r="H106" s="54"/>
      <c r="I106" s="7"/>
      <c r="J106" s="9"/>
      <c r="K106" s="21"/>
      <c r="L106" s="77"/>
      <c r="M106" s="77"/>
      <c r="N106" s="77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</row>
    <row r="107" spans="1:27" ht="12.75" customHeight="1" x14ac:dyDescent="0.25">
      <c r="A107" s="79"/>
      <c r="B107" s="20"/>
      <c r="C107" s="82"/>
      <c r="D107" s="83"/>
      <c r="E107" s="79"/>
      <c r="F107" s="53"/>
      <c r="G107" s="54"/>
      <c r="H107" s="54"/>
      <c r="I107" s="7"/>
      <c r="J107" s="9"/>
      <c r="K107" s="21"/>
      <c r="L107" s="77"/>
      <c r="M107" s="77"/>
      <c r="N107" s="77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</row>
    <row r="108" spans="1:27" ht="12.75" customHeight="1" x14ac:dyDescent="0.25">
      <c r="A108" s="79"/>
      <c r="B108" s="20"/>
      <c r="C108" s="82"/>
      <c r="D108" s="83"/>
      <c r="E108" s="79"/>
      <c r="F108" s="53"/>
      <c r="G108" s="54"/>
      <c r="H108" s="54"/>
      <c r="I108" s="7"/>
      <c r="J108" s="9"/>
      <c r="K108" s="21"/>
      <c r="L108" s="77"/>
      <c r="M108" s="77"/>
      <c r="N108" s="77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</row>
    <row r="109" spans="1:27" ht="12.75" customHeight="1" x14ac:dyDescent="0.25">
      <c r="A109" s="79"/>
      <c r="B109" s="20"/>
      <c r="C109" s="82"/>
      <c r="D109" s="83"/>
      <c r="E109" s="79"/>
      <c r="F109" s="53"/>
      <c r="G109" s="54"/>
      <c r="H109" s="54"/>
      <c r="I109" s="7"/>
      <c r="J109" s="9"/>
      <c r="K109" s="21"/>
      <c r="L109" s="77"/>
      <c r="M109" s="77"/>
      <c r="N109" s="77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</row>
    <row r="110" spans="1:27" ht="12.75" customHeight="1" x14ac:dyDescent="0.25">
      <c r="A110" s="79"/>
      <c r="B110" s="20"/>
      <c r="C110" s="82"/>
      <c r="D110" s="83"/>
      <c r="E110" s="79"/>
      <c r="F110" s="53"/>
      <c r="G110" s="54"/>
      <c r="H110" s="54"/>
      <c r="I110" s="7"/>
      <c r="J110" s="9"/>
      <c r="K110" s="21"/>
      <c r="L110" s="77"/>
      <c r="M110" s="77"/>
      <c r="N110" s="77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</row>
    <row r="111" spans="1:27" ht="12.75" customHeight="1" x14ac:dyDescent="0.25">
      <c r="A111" s="79"/>
      <c r="B111" s="20"/>
      <c r="C111" s="82"/>
      <c r="D111" s="83"/>
      <c r="E111" s="79"/>
      <c r="F111" s="53"/>
      <c r="G111" s="54"/>
      <c r="H111" s="54"/>
      <c r="I111" s="7"/>
      <c r="J111" s="9"/>
      <c r="K111" s="21"/>
      <c r="L111" s="77"/>
      <c r="M111" s="77"/>
      <c r="N111" s="77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</row>
    <row r="112" spans="1:27" ht="12.75" customHeight="1" x14ac:dyDescent="0.25">
      <c r="A112" s="79"/>
      <c r="B112" s="20"/>
      <c r="C112" s="82"/>
      <c r="D112" s="83"/>
      <c r="E112" s="79"/>
      <c r="F112" s="53"/>
      <c r="G112" s="54"/>
      <c r="H112" s="54"/>
      <c r="I112" s="7"/>
      <c r="J112" s="9"/>
      <c r="K112" s="21"/>
      <c r="L112" s="77"/>
      <c r="M112" s="77"/>
      <c r="N112" s="77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</row>
    <row r="113" spans="1:27" ht="12.75" customHeight="1" x14ac:dyDescent="0.25">
      <c r="A113" s="79"/>
      <c r="B113" s="20"/>
      <c r="C113" s="82"/>
      <c r="D113" s="83"/>
      <c r="E113" s="79"/>
      <c r="F113" s="53"/>
      <c r="G113" s="54"/>
      <c r="H113" s="54"/>
      <c r="I113" s="7"/>
      <c r="J113" s="9"/>
      <c r="K113" s="21"/>
      <c r="L113" s="77"/>
      <c r="M113" s="77"/>
      <c r="N113" s="77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</row>
    <row r="114" spans="1:27" ht="12.75" customHeight="1" x14ac:dyDescent="0.25">
      <c r="A114" s="79"/>
      <c r="B114" s="20"/>
      <c r="C114" s="82"/>
      <c r="D114" s="83"/>
      <c r="E114" s="79"/>
      <c r="F114" s="53"/>
      <c r="G114" s="54"/>
      <c r="H114" s="54"/>
      <c r="I114" s="7"/>
      <c r="J114" s="9"/>
      <c r="K114" s="21"/>
      <c r="L114" s="77"/>
      <c r="M114" s="77"/>
      <c r="N114" s="77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</row>
    <row r="115" spans="1:27" ht="12.75" customHeight="1" x14ac:dyDescent="0.25">
      <c r="A115" s="79"/>
      <c r="B115" s="20"/>
      <c r="C115" s="82"/>
      <c r="D115" s="83"/>
      <c r="E115" s="79"/>
      <c r="F115" s="53"/>
      <c r="G115" s="54"/>
      <c r="H115" s="54"/>
      <c r="I115" s="7"/>
      <c r="J115" s="9"/>
      <c r="K115" s="21"/>
      <c r="L115" s="77"/>
      <c r="M115" s="77"/>
      <c r="N115" s="77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</row>
    <row r="116" spans="1:27" ht="12.75" customHeight="1" x14ac:dyDescent="0.25">
      <c r="A116" s="79"/>
      <c r="B116" s="20"/>
      <c r="C116" s="82"/>
      <c r="D116" s="83"/>
      <c r="E116" s="79"/>
      <c r="F116" s="53"/>
      <c r="G116" s="54"/>
      <c r="H116" s="54"/>
      <c r="I116" s="7"/>
      <c r="J116" s="9"/>
      <c r="K116" s="21"/>
      <c r="L116" s="77"/>
      <c r="M116" s="77"/>
      <c r="N116" s="77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</row>
    <row r="117" spans="1:27" ht="12.75" customHeight="1" x14ac:dyDescent="0.25">
      <c r="A117" s="79"/>
      <c r="B117" s="20"/>
      <c r="C117" s="82"/>
      <c r="D117" s="83"/>
      <c r="E117" s="79"/>
      <c r="F117" s="53"/>
      <c r="G117" s="54"/>
      <c r="H117" s="54"/>
      <c r="I117" s="7"/>
      <c r="J117" s="9"/>
      <c r="K117" s="21"/>
      <c r="L117" s="77"/>
      <c r="M117" s="77"/>
      <c r="N117" s="77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</row>
    <row r="118" spans="1:27" ht="12.75" customHeight="1" x14ac:dyDescent="0.25">
      <c r="A118" s="79"/>
      <c r="B118" s="20"/>
      <c r="C118" s="82"/>
      <c r="D118" s="83"/>
      <c r="E118" s="79"/>
      <c r="F118" s="53"/>
      <c r="G118" s="54"/>
      <c r="H118" s="54"/>
      <c r="I118" s="7"/>
      <c r="J118" s="9"/>
      <c r="K118" s="21"/>
      <c r="L118" s="77"/>
      <c r="M118" s="77"/>
      <c r="N118" s="77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</row>
    <row r="119" spans="1:27" ht="12.75" customHeight="1" x14ac:dyDescent="0.25">
      <c r="A119" s="79"/>
      <c r="B119" s="20"/>
      <c r="C119" s="82"/>
      <c r="D119" s="83"/>
      <c r="E119" s="79"/>
      <c r="F119" s="53"/>
      <c r="G119" s="54"/>
      <c r="H119" s="54"/>
      <c r="I119" s="7"/>
      <c r="J119" s="9"/>
      <c r="K119" s="21"/>
      <c r="L119" s="77"/>
      <c r="M119" s="77"/>
      <c r="N119" s="77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</row>
    <row r="120" spans="1:27" ht="12.75" customHeight="1" x14ac:dyDescent="0.25">
      <c r="A120" s="79"/>
      <c r="B120" s="20"/>
      <c r="C120" s="82"/>
      <c r="D120" s="83"/>
      <c r="E120" s="79"/>
      <c r="F120" s="53"/>
      <c r="G120" s="54"/>
      <c r="H120" s="54"/>
      <c r="I120" s="7"/>
      <c r="J120" s="9"/>
      <c r="K120" s="21"/>
      <c r="L120" s="77"/>
      <c r="M120" s="77"/>
      <c r="N120" s="77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</row>
    <row r="121" spans="1:27" ht="12.75" customHeight="1" x14ac:dyDescent="0.25">
      <c r="A121" s="79"/>
      <c r="B121" s="20"/>
      <c r="C121" s="82"/>
      <c r="D121" s="83"/>
      <c r="E121" s="79"/>
      <c r="F121" s="53"/>
      <c r="G121" s="54"/>
      <c r="H121" s="54"/>
      <c r="I121" s="7"/>
      <c r="J121" s="9"/>
      <c r="K121" s="21"/>
      <c r="L121" s="77"/>
      <c r="M121" s="77"/>
      <c r="N121" s="77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</row>
    <row r="122" spans="1:27" ht="12.75" customHeight="1" x14ac:dyDescent="0.25">
      <c r="A122" s="79"/>
      <c r="B122" s="20"/>
      <c r="C122" s="82"/>
      <c r="D122" s="83"/>
      <c r="E122" s="79"/>
      <c r="F122" s="53"/>
      <c r="G122" s="54"/>
      <c r="H122" s="54"/>
      <c r="I122" s="7"/>
      <c r="J122" s="9"/>
      <c r="K122" s="9"/>
      <c r="L122" s="77"/>
      <c r="M122" s="77"/>
      <c r="N122" s="77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</row>
    <row r="123" spans="1:27" ht="12.75" customHeight="1" x14ac:dyDescent="0.25">
      <c r="A123" s="79"/>
      <c r="B123" s="20"/>
      <c r="C123" s="82"/>
      <c r="D123" s="83"/>
      <c r="E123" s="79"/>
      <c r="F123" s="53"/>
      <c r="G123" s="54"/>
      <c r="H123" s="54"/>
      <c r="I123" s="7"/>
      <c r="J123" s="9"/>
      <c r="K123" s="21"/>
      <c r="L123" s="77"/>
      <c r="M123" s="77"/>
      <c r="N123" s="77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</row>
    <row r="124" spans="1:27" ht="12.75" customHeight="1" x14ac:dyDescent="0.25">
      <c r="A124" s="79"/>
      <c r="B124" s="20"/>
      <c r="C124" s="82"/>
      <c r="D124" s="83"/>
      <c r="E124" s="79"/>
      <c r="F124" s="53"/>
      <c r="G124" s="54"/>
      <c r="H124" s="54"/>
      <c r="I124" s="7"/>
      <c r="J124" s="9"/>
      <c r="K124" s="21"/>
      <c r="L124" s="77"/>
      <c r="M124" s="77"/>
      <c r="N124" s="77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</row>
    <row r="125" spans="1:27" ht="12.75" customHeight="1" x14ac:dyDescent="0.25">
      <c r="A125" s="79"/>
      <c r="B125" s="20"/>
      <c r="C125" s="82"/>
      <c r="D125" s="83"/>
      <c r="E125" s="79"/>
      <c r="F125" s="53"/>
      <c r="G125" s="54"/>
      <c r="H125" s="54"/>
      <c r="I125" s="7"/>
      <c r="J125" s="9"/>
      <c r="K125" s="21"/>
      <c r="L125" s="77"/>
      <c r="M125" s="77"/>
      <c r="N125" s="77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</row>
    <row r="126" spans="1:27" ht="12.75" customHeight="1" x14ac:dyDescent="0.25">
      <c r="A126" s="79"/>
      <c r="B126" s="20"/>
      <c r="C126" s="82"/>
      <c r="D126" s="83"/>
      <c r="E126" s="79"/>
      <c r="F126" s="53"/>
      <c r="G126" s="54"/>
      <c r="H126" s="54"/>
      <c r="I126" s="7"/>
      <c r="J126" s="9"/>
      <c r="K126" s="21"/>
      <c r="L126" s="77"/>
      <c r="M126" s="77"/>
      <c r="N126" s="77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</row>
    <row r="127" spans="1:27" ht="12.75" customHeight="1" x14ac:dyDescent="0.25">
      <c r="A127" s="79"/>
      <c r="B127" s="20"/>
      <c r="C127" s="82"/>
      <c r="D127" s="83"/>
      <c r="E127" s="79"/>
      <c r="F127" s="53"/>
      <c r="G127" s="54"/>
      <c r="H127" s="54"/>
      <c r="I127" s="7"/>
      <c r="J127" s="9"/>
      <c r="K127" s="21"/>
      <c r="L127" s="77"/>
      <c r="M127" s="77"/>
      <c r="N127" s="77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</row>
    <row r="128" spans="1:27" ht="12.75" customHeight="1" x14ac:dyDescent="0.25">
      <c r="A128" s="79"/>
      <c r="B128" s="20"/>
      <c r="C128" s="82"/>
      <c r="D128" s="83"/>
      <c r="E128" s="79"/>
      <c r="F128" s="53"/>
      <c r="G128" s="54"/>
      <c r="H128" s="54"/>
      <c r="I128" s="7"/>
      <c r="J128" s="9"/>
      <c r="K128" s="21"/>
      <c r="L128" s="77"/>
      <c r="M128" s="77"/>
      <c r="N128" s="77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 spans="1:27" ht="12.75" customHeight="1" x14ac:dyDescent="0.25">
      <c r="A129" s="79"/>
      <c r="B129" s="20"/>
      <c r="C129" s="82"/>
      <c r="D129" s="83"/>
      <c r="E129" s="79"/>
      <c r="F129" s="53"/>
      <c r="G129" s="54"/>
      <c r="H129" s="54"/>
      <c r="I129" s="7"/>
      <c r="J129" s="9"/>
      <c r="K129" s="21"/>
      <c r="L129" s="77"/>
      <c r="M129" s="77"/>
      <c r="N129" s="77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</row>
    <row r="130" spans="1:27" ht="12.75" customHeight="1" x14ac:dyDescent="0.25">
      <c r="A130" s="79"/>
      <c r="B130" s="20"/>
      <c r="C130" s="82"/>
      <c r="D130" s="83"/>
      <c r="E130" s="79"/>
      <c r="F130" s="53"/>
      <c r="G130" s="54"/>
      <c r="H130" s="54"/>
      <c r="I130" s="7"/>
      <c r="J130" s="9"/>
      <c r="K130" s="21"/>
      <c r="L130" s="77"/>
      <c r="M130" s="77"/>
      <c r="N130" s="77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</row>
    <row r="131" spans="1:27" ht="12.75" customHeight="1" x14ac:dyDescent="0.25">
      <c r="A131" s="79"/>
      <c r="B131" s="20"/>
      <c r="C131" s="82"/>
      <c r="D131" s="83"/>
      <c r="E131" s="79"/>
      <c r="F131" s="53"/>
      <c r="G131" s="54"/>
      <c r="H131" s="54"/>
      <c r="I131" s="7"/>
      <c r="J131" s="9"/>
      <c r="K131" s="21"/>
      <c r="L131" s="77"/>
      <c r="M131" s="77"/>
      <c r="N131" s="77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</row>
    <row r="132" spans="1:27" ht="12.75" customHeight="1" x14ac:dyDescent="0.25">
      <c r="A132" s="79"/>
      <c r="B132" s="20"/>
      <c r="C132" s="82"/>
      <c r="D132" s="83"/>
      <c r="E132" s="79"/>
      <c r="F132" s="53"/>
      <c r="G132" s="54"/>
      <c r="H132" s="54"/>
      <c r="I132" s="7"/>
      <c r="J132" s="9"/>
      <c r="K132" s="21"/>
      <c r="L132" s="77"/>
      <c r="M132" s="77"/>
      <c r="N132" s="77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</row>
    <row r="133" spans="1:27" ht="12.75" customHeight="1" x14ac:dyDescent="0.25">
      <c r="A133" s="79"/>
      <c r="B133" s="20"/>
      <c r="C133" s="82"/>
      <c r="D133" s="83"/>
      <c r="E133" s="79"/>
      <c r="F133" s="53"/>
      <c r="G133" s="54"/>
      <c r="H133" s="54"/>
      <c r="I133" s="7"/>
      <c r="J133" s="9"/>
      <c r="K133" s="21"/>
      <c r="L133" s="77"/>
      <c r="M133" s="77"/>
      <c r="N133" s="77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</row>
    <row r="134" spans="1:27" ht="12.75" customHeight="1" x14ac:dyDescent="0.25">
      <c r="A134" s="79"/>
      <c r="B134" s="20"/>
      <c r="C134" s="82"/>
      <c r="D134" s="83"/>
      <c r="E134" s="79"/>
      <c r="F134" s="53"/>
      <c r="G134" s="54"/>
      <c r="H134" s="54"/>
      <c r="I134" s="7"/>
      <c r="J134" s="9"/>
      <c r="K134" s="21"/>
      <c r="L134" s="77"/>
      <c r="M134" s="77"/>
      <c r="N134" s="77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</row>
    <row r="135" spans="1:27" ht="12.75" customHeight="1" x14ac:dyDescent="0.25">
      <c r="A135" s="79"/>
      <c r="B135" s="20"/>
      <c r="C135" s="82"/>
      <c r="D135" s="83"/>
      <c r="E135" s="79"/>
      <c r="F135" s="53"/>
      <c r="G135" s="54"/>
      <c r="H135" s="54"/>
      <c r="I135" s="7"/>
      <c r="J135" s="9"/>
      <c r="K135" s="21"/>
      <c r="L135" s="77"/>
      <c r="M135" s="77"/>
      <c r="N135" s="77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</row>
    <row r="136" spans="1:27" ht="12.75" customHeight="1" x14ac:dyDescent="0.25">
      <c r="A136" s="79"/>
      <c r="B136" s="20"/>
      <c r="C136" s="82"/>
      <c r="D136" s="83"/>
      <c r="E136" s="79"/>
      <c r="F136" s="53"/>
      <c r="G136" s="54"/>
      <c r="H136" s="54"/>
      <c r="I136" s="7"/>
      <c r="J136" s="9"/>
      <c r="K136" s="21"/>
      <c r="L136" s="77"/>
      <c r="M136" s="77"/>
      <c r="N136" s="77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</row>
    <row r="137" spans="1:27" ht="12.75" customHeight="1" x14ac:dyDescent="0.25">
      <c r="A137" s="79"/>
      <c r="B137" s="20"/>
      <c r="C137" s="82"/>
      <c r="D137" s="83"/>
      <c r="E137" s="79"/>
      <c r="F137" s="53"/>
      <c r="G137" s="54"/>
      <c r="H137" s="54"/>
      <c r="I137" s="7"/>
      <c r="J137" s="9"/>
      <c r="K137" s="21"/>
      <c r="L137" s="77"/>
      <c r="M137" s="77"/>
      <c r="N137" s="77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</row>
    <row r="138" spans="1:27" ht="12.75" customHeight="1" x14ac:dyDescent="0.25">
      <c r="A138" s="79"/>
      <c r="B138" s="20"/>
      <c r="C138" s="82"/>
      <c r="D138" s="83"/>
      <c r="E138" s="79"/>
      <c r="F138" s="53"/>
      <c r="G138" s="54"/>
      <c r="H138" s="54"/>
      <c r="I138" s="7"/>
      <c r="J138" s="9"/>
      <c r="K138" s="21"/>
      <c r="L138" s="77"/>
      <c r="M138" s="77"/>
      <c r="N138" s="77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</row>
    <row r="139" spans="1:27" ht="12.75" customHeight="1" x14ac:dyDescent="0.25">
      <c r="A139" s="79"/>
      <c r="B139" s="20"/>
      <c r="C139" s="82"/>
      <c r="D139" s="83"/>
      <c r="E139" s="79"/>
      <c r="F139" s="53"/>
      <c r="G139" s="54"/>
      <c r="H139" s="54"/>
      <c r="I139" s="7"/>
      <c r="J139" s="9"/>
      <c r="K139" s="21"/>
      <c r="L139" s="77"/>
      <c r="M139" s="77"/>
      <c r="N139" s="77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</row>
    <row r="140" spans="1:27" ht="12.75" customHeight="1" x14ac:dyDescent="0.25">
      <c r="A140" s="79"/>
      <c r="B140" s="20"/>
      <c r="C140" s="82"/>
      <c r="D140" s="83"/>
      <c r="E140" s="79"/>
      <c r="F140" s="53"/>
      <c r="G140" s="54"/>
      <c r="H140" s="54"/>
      <c r="I140" s="7"/>
      <c r="J140" s="9"/>
      <c r="K140" s="21"/>
      <c r="L140" s="77"/>
      <c r="M140" s="77"/>
      <c r="N140" s="77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</row>
    <row r="141" spans="1:27" ht="12.75" customHeight="1" x14ac:dyDescent="0.25">
      <c r="A141" s="79"/>
      <c r="B141" s="20"/>
      <c r="C141" s="82"/>
      <c r="D141" s="83"/>
      <c r="E141" s="79"/>
      <c r="F141" s="53"/>
      <c r="G141" s="54"/>
      <c r="H141" s="54"/>
      <c r="I141" s="7"/>
      <c r="J141" s="9"/>
      <c r="K141" s="9"/>
      <c r="L141" s="77"/>
      <c r="M141" s="77"/>
      <c r="N141" s="77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</row>
    <row r="142" spans="1:27" ht="12.75" customHeight="1" x14ac:dyDescent="0.25">
      <c r="A142" s="79"/>
      <c r="B142" s="20"/>
      <c r="C142" s="82"/>
      <c r="D142" s="83"/>
      <c r="E142" s="79"/>
      <c r="F142" s="53"/>
      <c r="G142" s="54"/>
      <c r="H142" s="54"/>
      <c r="I142" s="7"/>
      <c r="J142" s="9"/>
      <c r="K142" s="9"/>
      <c r="L142" s="77"/>
      <c r="M142" s="77"/>
      <c r="N142" s="77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</row>
    <row r="143" spans="1:27" ht="12.75" customHeight="1" x14ac:dyDescent="0.25">
      <c r="A143" s="79"/>
      <c r="B143" s="20"/>
      <c r="C143" s="82"/>
      <c r="D143" s="83"/>
      <c r="E143" s="79"/>
      <c r="F143" s="53"/>
      <c r="G143" s="54"/>
      <c r="H143" s="54"/>
      <c r="I143" s="7"/>
      <c r="J143" s="9"/>
      <c r="K143" s="9"/>
      <c r="L143" s="77"/>
      <c r="M143" s="77"/>
      <c r="N143" s="77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</row>
    <row r="144" spans="1:27" ht="12.75" customHeight="1" x14ac:dyDescent="0.25">
      <c r="A144" s="79"/>
      <c r="B144" s="20"/>
      <c r="C144" s="82"/>
      <c r="D144" s="83"/>
      <c r="E144" s="79"/>
      <c r="F144" s="53"/>
      <c r="G144" s="54"/>
      <c r="H144" s="54"/>
      <c r="I144" s="7"/>
      <c r="J144" s="9"/>
      <c r="K144" s="9"/>
      <c r="L144" s="77"/>
      <c r="M144" s="77"/>
      <c r="N144" s="77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</row>
    <row r="145" spans="1:27" ht="12.75" customHeight="1" x14ac:dyDescent="0.25">
      <c r="A145" s="79"/>
      <c r="B145" s="20"/>
      <c r="C145" s="82"/>
      <c r="D145" s="83"/>
      <c r="E145" s="79"/>
      <c r="F145" s="53"/>
      <c r="G145" s="54"/>
      <c r="H145" s="54"/>
      <c r="I145" s="7"/>
      <c r="J145" s="9"/>
      <c r="K145" s="9"/>
      <c r="L145" s="77"/>
      <c r="M145" s="77"/>
      <c r="N145" s="77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</row>
    <row r="146" spans="1:27" ht="12.75" customHeight="1" x14ac:dyDescent="0.25">
      <c r="A146" s="79"/>
      <c r="B146" s="20"/>
      <c r="C146" s="82"/>
      <c r="D146" s="83"/>
      <c r="E146" s="79"/>
      <c r="F146" s="53"/>
      <c r="G146" s="54"/>
      <c r="H146" s="54"/>
      <c r="I146" s="7"/>
      <c r="J146" s="9"/>
      <c r="K146" s="9"/>
      <c r="L146" s="77"/>
      <c r="M146" s="77"/>
      <c r="N146" s="77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</row>
    <row r="147" spans="1:27" ht="12.75" customHeight="1" x14ac:dyDescent="0.25">
      <c r="A147" s="79"/>
      <c r="B147" s="20"/>
      <c r="C147" s="82"/>
      <c r="D147" s="83"/>
      <c r="E147" s="79"/>
      <c r="F147" s="53"/>
      <c r="G147" s="54"/>
      <c r="H147" s="54"/>
      <c r="I147" s="7"/>
      <c r="J147" s="9"/>
      <c r="K147" s="9"/>
      <c r="L147" s="77"/>
      <c r="M147" s="77"/>
      <c r="N147" s="77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</row>
    <row r="148" spans="1:27" ht="12.75" customHeight="1" x14ac:dyDescent="0.25">
      <c r="A148" s="79"/>
      <c r="B148" s="20"/>
      <c r="C148" s="82"/>
      <c r="D148" s="83"/>
      <c r="E148" s="79"/>
      <c r="F148" s="53"/>
      <c r="G148" s="54"/>
      <c r="H148" s="54"/>
      <c r="I148" s="7"/>
      <c r="J148" s="9"/>
      <c r="K148" s="9"/>
      <c r="L148" s="77"/>
      <c r="M148" s="77"/>
      <c r="N148" s="77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</row>
    <row r="149" spans="1:27" ht="12.75" customHeight="1" x14ac:dyDescent="0.25">
      <c r="A149" s="79"/>
      <c r="B149" s="20"/>
      <c r="C149" s="82"/>
      <c r="D149" s="83"/>
      <c r="E149" s="79"/>
      <c r="F149" s="53"/>
      <c r="G149" s="54"/>
      <c r="H149" s="54"/>
      <c r="I149" s="7"/>
      <c r="J149" s="9"/>
      <c r="K149" s="9"/>
      <c r="L149" s="77"/>
      <c r="M149" s="77"/>
      <c r="N149" s="77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</row>
    <row r="150" spans="1:27" ht="12.75" customHeight="1" x14ac:dyDescent="0.25">
      <c r="A150" s="79"/>
      <c r="B150" s="20"/>
      <c r="C150" s="82"/>
      <c r="D150" s="83"/>
      <c r="E150" s="79"/>
      <c r="F150" s="53"/>
      <c r="G150" s="54"/>
      <c r="H150" s="54"/>
      <c r="I150" s="7"/>
      <c r="J150" s="9"/>
      <c r="K150" s="9"/>
      <c r="L150" s="77"/>
      <c r="M150" s="77"/>
      <c r="N150" s="77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</row>
    <row r="151" spans="1:27" ht="12.75" customHeight="1" x14ac:dyDescent="0.25">
      <c r="A151" s="79"/>
      <c r="B151" s="20"/>
      <c r="C151" s="82"/>
      <c r="D151" s="83"/>
      <c r="E151" s="79"/>
      <c r="F151" s="53"/>
      <c r="G151" s="54"/>
      <c r="H151" s="54"/>
      <c r="I151" s="7"/>
      <c r="J151" s="9"/>
      <c r="K151" s="9"/>
      <c r="L151" s="77"/>
      <c r="M151" s="77"/>
      <c r="N151" s="77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</row>
    <row r="152" spans="1:27" ht="12.75" customHeight="1" x14ac:dyDescent="0.25">
      <c r="A152" s="79"/>
      <c r="B152" s="20"/>
      <c r="C152" s="82"/>
      <c r="D152" s="83"/>
      <c r="E152" s="79"/>
      <c r="F152" s="53"/>
      <c r="G152" s="54"/>
      <c r="H152" s="54"/>
      <c r="I152" s="7"/>
      <c r="J152" s="9"/>
      <c r="K152" s="9"/>
      <c r="L152" s="77"/>
      <c r="M152" s="77"/>
      <c r="N152" s="77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</row>
    <row r="153" spans="1:27" ht="12.75" customHeight="1" x14ac:dyDescent="0.25">
      <c r="A153" s="79"/>
      <c r="B153" s="20"/>
      <c r="C153" s="82"/>
      <c r="D153" s="83"/>
      <c r="E153" s="79"/>
      <c r="F153" s="53"/>
      <c r="G153" s="54"/>
      <c r="H153" s="54"/>
      <c r="I153" s="7"/>
      <c r="J153" s="9"/>
      <c r="K153" s="9"/>
      <c r="L153" s="77"/>
      <c r="M153" s="77"/>
      <c r="N153" s="77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</row>
    <row r="154" spans="1:27" ht="12.75" customHeight="1" x14ac:dyDescent="0.25">
      <c r="A154" s="79"/>
      <c r="B154" s="20"/>
      <c r="C154" s="82"/>
      <c r="D154" s="83"/>
      <c r="E154" s="79"/>
      <c r="F154" s="53"/>
      <c r="G154" s="54"/>
      <c r="H154" s="54"/>
      <c r="I154" s="7"/>
      <c r="J154" s="9"/>
      <c r="K154" s="9"/>
      <c r="L154" s="77"/>
      <c r="M154" s="77"/>
      <c r="N154" s="77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</row>
    <row r="155" spans="1:27" ht="12.75" customHeight="1" x14ac:dyDescent="0.25">
      <c r="A155" s="79"/>
      <c r="B155" s="20"/>
      <c r="C155" s="82"/>
      <c r="D155" s="83"/>
      <c r="E155" s="79"/>
      <c r="F155" s="53"/>
      <c r="G155" s="54"/>
      <c r="H155" s="54"/>
      <c r="I155" s="7"/>
      <c r="J155" s="9"/>
      <c r="K155" s="9"/>
      <c r="L155" s="77"/>
      <c r="M155" s="77"/>
      <c r="N155" s="77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</row>
    <row r="156" spans="1:27" ht="12.75" customHeight="1" x14ac:dyDescent="0.25">
      <c r="A156" s="79"/>
      <c r="B156" s="20"/>
      <c r="C156" s="82"/>
      <c r="D156" s="83"/>
      <c r="E156" s="79"/>
      <c r="F156" s="53"/>
      <c r="G156" s="54"/>
      <c r="H156" s="54"/>
      <c r="I156" s="7"/>
      <c r="J156" s="9"/>
      <c r="K156" s="9"/>
      <c r="L156" s="77"/>
      <c r="M156" s="77"/>
      <c r="N156" s="77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</row>
    <row r="157" spans="1:27" ht="12.75" customHeight="1" x14ac:dyDescent="0.25">
      <c r="A157" s="79"/>
      <c r="B157" s="20"/>
      <c r="C157" s="82"/>
      <c r="D157" s="83"/>
      <c r="E157" s="79"/>
      <c r="F157" s="53"/>
      <c r="G157" s="54"/>
      <c r="H157" s="54"/>
      <c r="I157" s="7"/>
      <c r="J157" s="9"/>
      <c r="K157" s="9"/>
      <c r="L157" s="77"/>
      <c r="M157" s="77"/>
      <c r="N157" s="77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</row>
    <row r="158" spans="1:27" ht="12.75" customHeight="1" x14ac:dyDescent="0.25">
      <c r="A158" s="79"/>
      <c r="B158" s="20"/>
      <c r="C158" s="82"/>
      <c r="D158" s="83"/>
      <c r="E158" s="79"/>
      <c r="F158" s="53"/>
      <c r="G158" s="54"/>
      <c r="H158" s="54"/>
      <c r="I158" s="7"/>
      <c r="J158" s="9"/>
      <c r="K158" s="9"/>
      <c r="L158" s="77"/>
      <c r="M158" s="77"/>
      <c r="N158" s="77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</row>
    <row r="159" spans="1:27" ht="12.75" customHeight="1" x14ac:dyDescent="0.25">
      <c r="A159" s="79"/>
      <c r="B159" s="20"/>
      <c r="C159" s="82"/>
      <c r="D159" s="83"/>
      <c r="E159" s="79"/>
      <c r="F159" s="53"/>
      <c r="G159" s="54"/>
      <c r="H159" s="54"/>
      <c r="I159" s="7"/>
      <c r="J159" s="9"/>
      <c r="K159" s="9"/>
      <c r="L159" s="77"/>
      <c r="M159" s="77"/>
      <c r="N159" s="77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</row>
    <row r="160" spans="1:27" ht="12.75" customHeight="1" x14ac:dyDescent="0.25">
      <c r="A160" s="79"/>
      <c r="B160" s="20"/>
      <c r="C160" s="82"/>
      <c r="D160" s="83"/>
      <c r="E160" s="79"/>
      <c r="F160" s="53"/>
      <c r="G160" s="54"/>
      <c r="H160" s="54"/>
      <c r="I160" s="7"/>
      <c r="J160" s="9"/>
      <c r="K160" s="9"/>
      <c r="L160" s="77"/>
      <c r="M160" s="77"/>
      <c r="N160" s="77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</row>
    <row r="161" spans="1:27" ht="12.75" customHeight="1" x14ac:dyDescent="0.25">
      <c r="A161" s="79"/>
      <c r="B161" s="20"/>
      <c r="C161" s="82"/>
      <c r="D161" s="83"/>
      <c r="E161" s="79"/>
      <c r="F161" s="53"/>
      <c r="G161" s="54"/>
      <c r="H161" s="54"/>
      <c r="I161" s="7"/>
      <c r="J161" s="9"/>
      <c r="K161" s="9"/>
      <c r="L161" s="77"/>
      <c r="M161" s="77"/>
      <c r="N161" s="77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</row>
    <row r="162" spans="1:27" ht="12.75" customHeight="1" x14ac:dyDescent="0.25">
      <c r="A162" s="79"/>
      <c r="B162" s="20"/>
      <c r="C162" s="82"/>
      <c r="D162" s="83"/>
      <c r="E162" s="79"/>
      <c r="F162" s="53"/>
      <c r="G162" s="54"/>
      <c r="H162" s="54"/>
      <c r="I162" s="7"/>
      <c r="J162" s="9"/>
      <c r="K162" s="9"/>
      <c r="L162" s="77"/>
      <c r="M162" s="77"/>
      <c r="N162" s="77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</row>
    <row r="163" spans="1:27" ht="12.75" customHeight="1" x14ac:dyDescent="0.25">
      <c r="A163" s="79"/>
      <c r="B163" s="20"/>
      <c r="C163" s="82"/>
      <c r="D163" s="83"/>
      <c r="E163" s="79"/>
      <c r="F163" s="53"/>
      <c r="G163" s="54"/>
      <c r="H163" s="54"/>
      <c r="I163" s="7"/>
      <c r="J163" s="9"/>
      <c r="K163" s="9"/>
      <c r="L163" s="77"/>
      <c r="M163" s="77"/>
      <c r="N163" s="77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</row>
    <row r="164" spans="1:27" ht="12.75" customHeight="1" x14ac:dyDescent="0.25">
      <c r="A164" s="79"/>
      <c r="B164" s="20"/>
      <c r="C164" s="82"/>
      <c r="D164" s="83"/>
      <c r="E164" s="79"/>
      <c r="F164" s="53"/>
      <c r="G164" s="54"/>
      <c r="H164" s="54"/>
      <c r="I164" s="7"/>
      <c r="J164" s="9"/>
      <c r="K164" s="9"/>
      <c r="L164" s="77"/>
      <c r="M164" s="77"/>
      <c r="N164" s="77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 spans="1:27" ht="12.75" customHeight="1" x14ac:dyDescent="0.25">
      <c r="A165" s="79"/>
      <c r="B165" s="20"/>
      <c r="C165" s="82"/>
      <c r="D165" s="83"/>
      <c r="E165" s="79"/>
      <c r="F165" s="53"/>
      <c r="G165" s="54"/>
      <c r="H165" s="54"/>
      <c r="I165" s="7"/>
      <c r="J165" s="9"/>
      <c r="K165" s="9"/>
      <c r="L165" s="77"/>
      <c r="M165" s="77"/>
      <c r="N165" s="77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</row>
    <row r="166" spans="1:27" ht="12.75" customHeight="1" x14ac:dyDescent="0.25">
      <c r="A166" s="79"/>
      <c r="B166" s="20"/>
      <c r="C166" s="82"/>
      <c r="D166" s="83"/>
      <c r="E166" s="79"/>
      <c r="F166" s="53"/>
      <c r="G166" s="54"/>
      <c r="H166" s="54"/>
      <c r="I166" s="7"/>
      <c r="J166" s="9"/>
      <c r="K166" s="9"/>
      <c r="L166" s="77"/>
      <c r="M166" s="77"/>
      <c r="N166" s="77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</row>
    <row r="167" spans="1:27" ht="12.75" customHeight="1" x14ac:dyDescent="0.25">
      <c r="A167" s="79"/>
      <c r="B167" s="20"/>
      <c r="C167" s="82"/>
      <c r="D167" s="83"/>
      <c r="E167" s="79"/>
      <c r="F167" s="53"/>
      <c r="G167" s="54"/>
      <c r="H167" s="54"/>
      <c r="I167" s="7"/>
      <c r="J167" s="9"/>
      <c r="K167" s="9"/>
      <c r="L167" s="77"/>
      <c r="M167" s="77"/>
      <c r="N167" s="77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</row>
    <row r="168" spans="1:27" ht="12.75" customHeight="1" x14ac:dyDescent="0.25">
      <c r="A168" s="79"/>
      <c r="B168" s="20"/>
      <c r="C168" s="82"/>
      <c r="D168" s="83"/>
      <c r="E168" s="79"/>
      <c r="F168" s="53"/>
      <c r="G168" s="54"/>
      <c r="H168" s="54"/>
      <c r="I168" s="7"/>
      <c r="J168" s="9"/>
      <c r="K168" s="9"/>
      <c r="L168" s="77"/>
      <c r="M168" s="77"/>
      <c r="N168" s="77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</row>
    <row r="169" spans="1:27" ht="12.75" customHeight="1" x14ac:dyDescent="0.25">
      <c r="A169" s="79"/>
      <c r="B169" s="20"/>
      <c r="C169" s="82"/>
      <c r="D169" s="83"/>
      <c r="E169" s="79"/>
      <c r="F169" s="53"/>
      <c r="G169" s="54"/>
      <c r="H169" s="54"/>
      <c r="I169" s="7"/>
      <c r="J169" s="9"/>
      <c r="K169" s="9"/>
      <c r="L169" s="77"/>
      <c r="M169" s="77"/>
      <c r="N169" s="77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</row>
    <row r="170" spans="1:27" ht="12.75" customHeight="1" x14ac:dyDescent="0.25">
      <c r="A170" s="79"/>
      <c r="B170" s="20"/>
      <c r="C170" s="82"/>
      <c r="D170" s="83"/>
      <c r="E170" s="79"/>
      <c r="F170" s="53"/>
      <c r="G170" s="54"/>
      <c r="H170" s="54"/>
      <c r="I170" s="7"/>
      <c r="J170" s="9"/>
      <c r="K170" s="9"/>
      <c r="L170" s="77"/>
      <c r="M170" s="77"/>
      <c r="N170" s="77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</row>
    <row r="171" spans="1:27" ht="12.75" customHeight="1" x14ac:dyDescent="0.25">
      <c r="A171" s="79"/>
      <c r="B171" s="20"/>
      <c r="C171" s="82"/>
      <c r="D171" s="83"/>
      <c r="E171" s="79"/>
      <c r="F171" s="53"/>
      <c r="G171" s="54"/>
      <c r="H171" s="54"/>
      <c r="I171" s="7"/>
      <c r="J171" s="9"/>
      <c r="K171" s="9"/>
      <c r="L171" s="77"/>
      <c r="M171" s="77"/>
      <c r="N171" s="77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</row>
    <row r="172" spans="1:27" ht="12.75" customHeight="1" x14ac:dyDescent="0.25">
      <c r="A172" s="79"/>
      <c r="B172" s="20"/>
      <c r="C172" s="82"/>
      <c r="D172" s="83"/>
      <c r="E172" s="79"/>
      <c r="F172" s="53"/>
      <c r="G172" s="54"/>
      <c r="H172" s="54"/>
      <c r="I172" s="7"/>
      <c r="J172" s="9"/>
      <c r="K172" s="9"/>
      <c r="L172" s="77"/>
      <c r="M172" s="77"/>
      <c r="N172" s="77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</row>
    <row r="173" spans="1:27" ht="12.75" customHeight="1" x14ac:dyDescent="0.25">
      <c r="A173" s="79"/>
      <c r="B173" s="20"/>
      <c r="C173" s="82"/>
      <c r="D173" s="83"/>
      <c r="E173" s="79"/>
      <c r="F173" s="53"/>
      <c r="G173" s="54"/>
      <c r="H173" s="54"/>
      <c r="I173" s="7"/>
      <c r="J173" s="9"/>
      <c r="K173" s="9"/>
      <c r="L173" s="77"/>
      <c r="M173" s="77"/>
      <c r="N173" s="77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</row>
    <row r="174" spans="1:27" ht="12.75" customHeight="1" x14ac:dyDescent="0.25">
      <c r="A174" s="79"/>
      <c r="B174" s="20"/>
      <c r="C174" s="82"/>
      <c r="D174" s="83"/>
      <c r="E174" s="79"/>
      <c r="F174" s="53"/>
      <c r="G174" s="54"/>
      <c r="H174" s="54"/>
      <c r="I174" s="7"/>
      <c r="J174" s="9"/>
      <c r="K174" s="9"/>
      <c r="L174" s="77"/>
      <c r="M174" s="77"/>
      <c r="N174" s="77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</row>
    <row r="175" spans="1:27" ht="12.75" customHeight="1" x14ac:dyDescent="0.25">
      <c r="A175" s="79"/>
      <c r="B175" s="20"/>
      <c r="C175" s="82"/>
      <c r="D175" s="83"/>
      <c r="E175" s="79"/>
      <c r="F175" s="53"/>
      <c r="G175" s="54"/>
      <c r="H175" s="54"/>
      <c r="I175" s="7"/>
      <c r="J175" s="9"/>
      <c r="K175" s="9"/>
      <c r="L175" s="77"/>
      <c r="M175" s="77"/>
      <c r="N175" s="77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</row>
    <row r="176" spans="1:27" ht="12.75" customHeight="1" x14ac:dyDescent="0.25">
      <c r="A176" s="79"/>
      <c r="B176" s="20"/>
      <c r="C176" s="82"/>
      <c r="D176" s="83"/>
      <c r="E176" s="79"/>
      <c r="F176" s="53"/>
      <c r="G176" s="54"/>
      <c r="H176" s="54"/>
      <c r="I176" s="7"/>
      <c r="J176" s="9"/>
      <c r="K176" s="9"/>
      <c r="L176" s="77"/>
      <c r="M176" s="77"/>
      <c r="N176" s="77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 spans="1:27" ht="12.75" customHeight="1" x14ac:dyDescent="0.25">
      <c r="A177" s="79"/>
      <c r="B177" s="20"/>
      <c r="C177" s="82"/>
      <c r="D177" s="83"/>
      <c r="E177" s="79"/>
      <c r="F177" s="53"/>
      <c r="G177" s="54"/>
      <c r="H177" s="54"/>
      <c r="I177" s="7"/>
      <c r="J177" s="9"/>
      <c r="K177" s="9"/>
      <c r="L177" s="77"/>
      <c r="M177" s="77"/>
      <c r="N177" s="77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</row>
    <row r="178" spans="1:27" ht="12.75" customHeight="1" x14ac:dyDescent="0.25">
      <c r="A178" s="79"/>
      <c r="B178" s="20"/>
      <c r="C178" s="82"/>
      <c r="D178" s="83"/>
      <c r="E178" s="79"/>
      <c r="F178" s="53"/>
      <c r="G178" s="54"/>
      <c r="H178" s="54"/>
      <c r="I178" s="7"/>
      <c r="J178" s="9"/>
      <c r="K178" s="9"/>
      <c r="L178" s="77"/>
      <c r="M178" s="77"/>
      <c r="N178" s="77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</row>
    <row r="179" spans="1:27" ht="12.75" customHeight="1" x14ac:dyDescent="0.25">
      <c r="A179" s="79"/>
      <c r="B179" s="20"/>
      <c r="C179" s="82"/>
      <c r="D179" s="83"/>
      <c r="E179" s="79"/>
      <c r="F179" s="53"/>
      <c r="G179" s="54"/>
      <c r="H179" s="54"/>
      <c r="I179" s="7"/>
      <c r="J179" s="9"/>
      <c r="K179" s="9"/>
      <c r="L179" s="77"/>
      <c r="M179" s="77"/>
      <c r="N179" s="77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</row>
    <row r="180" spans="1:27" ht="12.75" customHeight="1" x14ac:dyDescent="0.25">
      <c r="A180" s="79"/>
      <c r="B180" s="20"/>
      <c r="C180" s="82"/>
      <c r="D180" s="83"/>
      <c r="E180" s="79"/>
      <c r="F180" s="53"/>
      <c r="G180" s="54"/>
      <c r="H180" s="54"/>
      <c r="I180" s="7"/>
      <c r="J180" s="9"/>
      <c r="K180" s="9"/>
      <c r="L180" s="77"/>
      <c r="M180" s="77"/>
      <c r="N180" s="77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</row>
    <row r="181" spans="1:27" ht="12.75" customHeight="1" x14ac:dyDescent="0.25">
      <c r="A181" s="79"/>
      <c r="B181" s="20"/>
      <c r="C181" s="82"/>
      <c r="D181" s="83"/>
      <c r="E181" s="79"/>
      <c r="F181" s="53"/>
      <c r="G181" s="54"/>
      <c r="H181" s="54"/>
      <c r="I181" s="7"/>
      <c r="J181" s="9"/>
      <c r="K181" s="9"/>
      <c r="L181" s="77"/>
      <c r="M181" s="77"/>
      <c r="N181" s="77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</row>
    <row r="182" spans="1:27" ht="12.75" customHeight="1" x14ac:dyDescent="0.25">
      <c r="A182" s="79"/>
      <c r="B182" s="20"/>
      <c r="C182" s="82"/>
      <c r="D182" s="83"/>
      <c r="E182" s="79"/>
      <c r="F182" s="53"/>
      <c r="G182" s="54"/>
      <c r="H182" s="54"/>
      <c r="I182" s="7"/>
      <c r="J182" s="9"/>
      <c r="K182" s="9"/>
      <c r="L182" s="77"/>
      <c r="M182" s="77"/>
      <c r="N182" s="77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</row>
    <row r="183" spans="1:27" ht="12.75" customHeight="1" x14ac:dyDescent="0.25">
      <c r="A183" s="79"/>
      <c r="B183" s="20"/>
      <c r="C183" s="82"/>
      <c r="D183" s="83"/>
      <c r="E183" s="79"/>
      <c r="F183" s="53"/>
      <c r="G183" s="54"/>
      <c r="H183" s="54"/>
      <c r="I183" s="7"/>
      <c r="J183" s="9"/>
      <c r="K183" s="9"/>
      <c r="L183" s="77"/>
      <c r="M183" s="77"/>
      <c r="N183" s="77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</row>
    <row r="184" spans="1:27" ht="12.75" customHeight="1" x14ac:dyDescent="0.25">
      <c r="A184" s="79"/>
      <c r="B184" s="20"/>
      <c r="C184" s="82"/>
      <c r="D184" s="83"/>
      <c r="E184" s="79"/>
      <c r="F184" s="53"/>
      <c r="G184" s="54"/>
      <c r="H184" s="54"/>
      <c r="I184" s="7"/>
      <c r="J184" s="9"/>
      <c r="K184" s="9"/>
      <c r="L184" s="77"/>
      <c r="M184" s="77"/>
      <c r="N184" s="77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</row>
    <row r="185" spans="1:27" ht="12.75" customHeight="1" x14ac:dyDescent="0.25">
      <c r="A185" s="79"/>
      <c r="B185" s="20"/>
      <c r="C185" s="82"/>
      <c r="D185" s="83"/>
      <c r="E185" s="79"/>
      <c r="F185" s="53"/>
      <c r="G185" s="54"/>
      <c r="H185" s="54"/>
      <c r="I185" s="7"/>
      <c r="J185" s="9"/>
      <c r="K185" s="9"/>
      <c r="L185" s="77"/>
      <c r="M185" s="77"/>
      <c r="N185" s="77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</row>
    <row r="186" spans="1:27" ht="12.75" customHeight="1" x14ac:dyDescent="0.25">
      <c r="A186" s="79"/>
      <c r="B186" s="20"/>
      <c r="C186" s="82"/>
      <c r="D186" s="83"/>
      <c r="E186" s="79"/>
      <c r="F186" s="53"/>
      <c r="G186" s="54"/>
      <c r="H186" s="54"/>
      <c r="I186" s="7"/>
      <c r="J186" s="9"/>
      <c r="K186" s="9"/>
      <c r="L186" s="77"/>
      <c r="M186" s="77"/>
      <c r="N186" s="77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</row>
    <row r="187" spans="1:27" ht="12.75" customHeight="1" x14ac:dyDescent="0.25">
      <c r="A187" s="79"/>
      <c r="B187" s="20"/>
      <c r="C187" s="82"/>
      <c r="D187" s="83"/>
      <c r="E187" s="79"/>
      <c r="F187" s="53"/>
      <c r="G187" s="54"/>
      <c r="H187" s="54"/>
      <c r="I187" s="7"/>
      <c r="J187" s="9"/>
      <c r="K187" s="9"/>
      <c r="L187" s="77"/>
      <c r="M187" s="77"/>
      <c r="N187" s="77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</row>
    <row r="188" spans="1:27" ht="12.75" customHeight="1" x14ac:dyDescent="0.25">
      <c r="A188" s="79"/>
      <c r="B188" s="20"/>
      <c r="C188" s="82"/>
      <c r="D188" s="83"/>
      <c r="E188" s="79"/>
      <c r="F188" s="53"/>
      <c r="G188" s="54"/>
      <c r="H188" s="54"/>
      <c r="I188" s="7"/>
      <c r="J188" s="9"/>
      <c r="K188" s="9"/>
      <c r="L188" s="77"/>
      <c r="M188" s="77"/>
      <c r="N188" s="77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</row>
    <row r="189" spans="1:27" ht="12.75" customHeight="1" x14ac:dyDescent="0.25">
      <c r="A189" s="79"/>
      <c r="B189" s="20"/>
      <c r="C189" s="82"/>
      <c r="D189" s="83"/>
      <c r="E189" s="79"/>
      <c r="F189" s="53"/>
      <c r="G189" s="54"/>
      <c r="H189" s="54"/>
      <c r="I189" s="7"/>
      <c r="J189" s="9"/>
      <c r="K189" s="9"/>
      <c r="L189" s="77"/>
      <c r="M189" s="77"/>
      <c r="N189" s="77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</row>
    <row r="190" spans="1:27" ht="12.75" customHeight="1" x14ac:dyDescent="0.25">
      <c r="A190" s="79"/>
      <c r="B190" s="20"/>
      <c r="C190" s="82"/>
      <c r="D190" s="83"/>
      <c r="E190" s="79"/>
      <c r="F190" s="53"/>
      <c r="G190" s="54"/>
      <c r="H190" s="54"/>
      <c r="I190" s="7"/>
      <c r="J190" s="9"/>
      <c r="K190" s="9"/>
      <c r="L190" s="77"/>
      <c r="M190" s="77"/>
      <c r="N190" s="77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</row>
    <row r="191" spans="1:27" ht="12.75" customHeight="1" x14ac:dyDescent="0.25">
      <c r="A191" s="79"/>
      <c r="B191" s="20"/>
      <c r="C191" s="82"/>
      <c r="D191" s="83"/>
      <c r="E191" s="79"/>
      <c r="F191" s="53"/>
      <c r="G191" s="54"/>
      <c r="H191" s="54"/>
      <c r="I191" s="7"/>
      <c r="J191" s="9"/>
      <c r="K191" s="9"/>
      <c r="L191" s="77"/>
      <c r="M191" s="77"/>
      <c r="N191" s="77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</row>
    <row r="192" spans="1:27" ht="12.75" customHeight="1" x14ac:dyDescent="0.25">
      <c r="A192" s="79"/>
      <c r="B192" s="20"/>
      <c r="C192" s="82"/>
      <c r="D192" s="83"/>
      <c r="E192" s="79"/>
      <c r="F192" s="53"/>
      <c r="G192" s="54"/>
      <c r="H192" s="54"/>
      <c r="I192" s="7"/>
      <c r="J192" s="9"/>
      <c r="K192" s="9"/>
      <c r="L192" s="77"/>
      <c r="M192" s="77"/>
      <c r="N192" s="77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</row>
    <row r="193" spans="1:27" ht="12.75" customHeight="1" x14ac:dyDescent="0.25">
      <c r="A193" s="79"/>
      <c r="B193" s="20"/>
      <c r="C193" s="82"/>
      <c r="D193" s="83"/>
      <c r="E193" s="79"/>
      <c r="F193" s="53"/>
      <c r="G193" s="54"/>
      <c r="H193" s="54"/>
      <c r="I193" s="7"/>
      <c r="J193" s="9"/>
      <c r="K193" s="9"/>
      <c r="L193" s="77"/>
      <c r="M193" s="77"/>
      <c r="N193" s="77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</row>
    <row r="194" spans="1:27" ht="12.75" customHeight="1" x14ac:dyDescent="0.25">
      <c r="A194" s="79"/>
      <c r="B194" s="20"/>
      <c r="C194" s="82"/>
      <c r="D194" s="83"/>
      <c r="E194" s="79"/>
      <c r="F194" s="53"/>
      <c r="G194" s="54"/>
      <c r="H194" s="54"/>
      <c r="I194" s="7"/>
      <c r="J194" s="9"/>
      <c r="K194" s="9"/>
      <c r="L194" s="77"/>
      <c r="M194" s="77"/>
      <c r="N194" s="77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</row>
    <row r="195" spans="1:27" ht="12.75" customHeight="1" x14ac:dyDescent="0.25">
      <c r="A195" s="79"/>
      <c r="B195" s="20"/>
      <c r="C195" s="82"/>
      <c r="D195" s="83"/>
      <c r="E195" s="79"/>
      <c r="F195" s="53"/>
      <c r="G195" s="54"/>
      <c r="H195" s="54"/>
      <c r="I195" s="7"/>
      <c r="J195" s="9"/>
      <c r="K195" s="9"/>
      <c r="L195" s="77"/>
      <c r="M195" s="77"/>
      <c r="N195" s="77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</row>
    <row r="196" spans="1:27" ht="12.75" customHeight="1" x14ac:dyDescent="0.25">
      <c r="A196" s="79"/>
      <c r="B196" s="20"/>
      <c r="C196" s="82"/>
      <c r="D196" s="83"/>
      <c r="E196" s="79"/>
      <c r="F196" s="53"/>
      <c r="G196" s="54"/>
      <c r="H196" s="54"/>
      <c r="I196" s="7"/>
      <c r="J196" s="9"/>
      <c r="K196" s="9"/>
      <c r="L196" s="77"/>
      <c r="M196" s="77"/>
      <c r="N196" s="77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</row>
    <row r="197" spans="1:27" ht="12.75" customHeight="1" x14ac:dyDescent="0.25">
      <c r="A197" s="79"/>
      <c r="B197" s="20"/>
      <c r="C197" s="82"/>
      <c r="D197" s="83"/>
      <c r="E197" s="79"/>
      <c r="F197" s="53"/>
      <c r="G197" s="54"/>
      <c r="H197" s="54"/>
      <c r="I197" s="7"/>
      <c r="J197" s="9"/>
      <c r="K197" s="9"/>
      <c r="L197" s="77"/>
      <c r="M197" s="77"/>
      <c r="N197" s="77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</row>
    <row r="198" spans="1:27" ht="12.75" customHeight="1" x14ac:dyDescent="0.25">
      <c r="A198" s="79"/>
      <c r="B198" s="20"/>
      <c r="C198" s="82"/>
      <c r="D198" s="83"/>
      <c r="E198" s="79"/>
      <c r="F198" s="53"/>
      <c r="G198" s="54"/>
      <c r="H198" s="54"/>
      <c r="I198" s="7"/>
      <c r="J198" s="9"/>
      <c r="K198" s="9"/>
      <c r="L198" s="77"/>
      <c r="M198" s="77"/>
      <c r="N198" s="77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</row>
    <row r="199" spans="1:27" ht="12.75" customHeight="1" x14ac:dyDescent="0.25">
      <c r="A199" s="79"/>
      <c r="B199" s="20"/>
      <c r="C199" s="82"/>
      <c r="D199" s="83"/>
      <c r="E199" s="79"/>
      <c r="F199" s="53"/>
      <c r="G199" s="54"/>
      <c r="H199" s="54"/>
      <c r="I199" s="7"/>
      <c r="J199" s="9"/>
      <c r="K199" s="9"/>
      <c r="L199" s="77"/>
      <c r="M199" s="77"/>
      <c r="N199" s="77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</row>
    <row r="200" spans="1:27" ht="12.75" customHeight="1" x14ac:dyDescent="0.25">
      <c r="A200" s="79"/>
      <c r="B200" s="20"/>
      <c r="C200" s="82"/>
      <c r="D200" s="83"/>
      <c r="E200" s="79"/>
      <c r="F200" s="53"/>
      <c r="G200" s="54"/>
      <c r="H200" s="54"/>
      <c r="I200" s="7"/>
      <c r="J200" s="9"/>
      <c r="K200" s="9"/>
      <c r="L200" s="77"/>
      <c r="M200" s="77"/>
      <c r="N200" s="77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 spans="1:27" ht="12.75" customHeight="1" x14ac:dyDescent="0.25">
      <c r="A201" s="79"/>
      <c r="B201" s="20"/>
      <c r="C201" s="82"/>
      <c r="D201" s="83"/>
      <c r="E201" s="79"/>
      <c r="F201" s="53"/>
      <c r="G201" s="54"/>
      <c r="H201" s="54"/>
      <c r="I201" s="7"/>
      <c r="J201" s="9"/>
      <c r="K201" s="9"/>
      <c r="L201" s="77"/>
      <c r="M201" s="77"/>
      <c r="N201" s="77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</row>
    <row r="202" spans="1:27" ht="12.75" customHeight="1" x14ac:dyDescent="0.25">
      <c r="A202" s="79"/>
      <c r="B202" s="20"/>
      <c r="C202" s="82"/>
      <c r="D202" s="83"/>
      <c r="E202" s="79"/>
      <c r="F202" s="53"/>
      <c r="G202" s="54"/>
      <c r="H202" s="54"/>
      <c r="I202" s="7"/>
      <c r="J202" s="9"/>
      <c r="K202" s="21"/>
      <c r="L202" s="77"/>
      <c r="M202" s="77"/>
      <c r="N202" s="77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</row>
    <row r="203" spans="1:27" ht="12.75" customHeight="1" x14ac:dyDescent="0.25">
      <c r="A203" s="79"/>
      <c r="B203" s="20"/>
      <c r="C203" s="82"/>
      <c r="D203" s="83"/>
      <c r="E203" s="79"/>
      <c r="F203" s="53"/>
      <c r="G203" s="54"/>
      <c r="H203" s="54"/>
      <c r="I203" s="7"/>
      <c r="J203" s="9"/>
      <c r="K203" s="9"/>
      <c r="L203" s="77"/>
      <c r="M203" s="77"/>
      <c r="N203" s="77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</row>
    <row r="204" spans="1:27" ht="12.75" customHeight="1" x14ac:dyDescent="0.25">
      <c r="A204" s="79"/>
      <c r="B204" s="20"/>
      <c r="C204" s="82"/>
      <c r="D204" s="83"/>
      <c r="E204" s="79"/>
      <c r="F204" s="53"/>
      <c r="G204" s="54"/>
      <c r="H204" s="54"/>
      <c r="I204" s="7"/>
      <c r="J204" s="9"/>
      <c r="K204" s="9"/>
      <c r="L204" s="77"/>
      <c r="M204" s="77"/>
      <c r="N204" s="77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</row>
    <row r="205" spans="1:27" ht="12.75" customHeight="1" x14ac:dyDescent="0.25">
      <c r="A205" s="79"/>
      <c r="B205" s="20"/>
      <c r="C205" s="82"/>
      <c r="D205" s="83"/>
      <c r="E205" s="79"/>
      <c r="F205" s="53"/>
      <c r="G205" s="54"/>
      <c r="H205" s="54"/>
      <c r="I205" s="7"/>
      <c r="J205" s="9"/>
      <c r="K205" s="9"/>
      <c r="L205" s="77"/>
      <c r="M205" s="77"/>
      <c r="N205" s="77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</row>
    <row r="206" spans="1:27" ht="12.75" customHeight="1" x14ac:dyDescent="0.25">
      <c r="A206" s="79"/>
      <c r="B206" s="20"/>
      <c r="C206" s="82"/>
      <c r="D206" s="83"/>
      <c r="E206" s="79"/>
      <c r="F206" s="53"/>
      <c r="G206" s="54"/>
      <c r="H206" s="54"/>
      <c r="I206" s="7"/>
      <c r="J206" s="9"/>
      <c r="K206" s="9"/>
      <c r="L206" s="77"/>
      <c r="M206" s="77"/>
      <c r="N206" s="77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</row>
    <row r="207" spans="1:27" ht="12.75" customHeight="1" x14ac:dyDescent="0.25">
      <c r="A207" s="79"/>
      <c r="B207" s="20"/>
      <c r="C207" s="82"/>
      <c r="D207" s="83"/>
      <c r="E207" s="79"/>
      <c r="F207" s="53"/>
      <c r="G207" s="54"/>
      <c r="H207" s="54"/>
      <c r="I207" s="7"/>
      <c r="J207" s="9"/>
      <c r="K207" s="9"/>
      <c r="L207" s="77"/>
      <c r="M207" s="77"/>
      <c r="N207" s="77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</row>
    <row r="208" spans="1:27" ht="12.75" customHeight="1" x14ac:dyDescent="0.25">
      <c r="A208" s="79"/>
      <c r="B208" s="20"/>
      <c r="C208" s="82"/>
      <c r="D208" s="83"/>
      <c r="E208" s="79"/>
      <c r="F208" s="53"/>
      <c r="G208" s="54"/>
      <c r="H208" s="54"/>
      <c r="I208" s="7"/>
      <c r="J208" s="9"/>
      <c r="K208" s="9"/>
      <c r="L208" s="77"/>
      <c r="M208" s="77"/>
      <c r="N208" s="77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</row>
    <row r="209" spans="1:27" ht="12.75" customHeight="1" x14ac:dyDescent="0.25">
      <c r="A209" s="79"/>
      <c r="B209" s="20"/>
      <c r="C209" s="82"/>
      <c r="D209" s="83"/>
      <c r="E209" s="79"/>
      <c r="F209" s="53"/>
      <c r="G209" s="54"/>
      <c r="H209" s="54"/>
      <c r="I209" s="7"/>
      <c r="J209" s="9"/>
      <c r="K209" s="9"/>
      <c r="L209" s="77"/>
      <c r="M209" s="77"/>
      <c r="N209" s="77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</row>
    <row r="210" spans="1:27" ht="12.75" customHeight="1" x14ac:dyDescent="0.25">
      <c r="A210" s="79"/>
      <c r="B210" s="20"/>
      <c r="C210" s="82"/>
      <c r="D210" s="83"/>
      <c r="E210" s="79"/>
      <c r="F210" s="53"/>
      <c r="G210" s="54"/>
      <c r="H210" s="54"/>
      <c r="I210" s="7"/>
      <c r="J210" s="9"/>
      <c r="K210" s="9"/>
      <c r="L210" s="77"/>
      <c r="M210" s="77"/>
      <c r="N210" s="77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</row>
    <row r="211" spans="1:27" ht="12.75" customHeight="1" x14ac:dyDescent="0.25">
      <c r="A211" s="79"/>
      <c r="B211" s="20"/>
      <c r="C211" s="82"/>
      <c r="D211" s="83"/>
      <c r="E211" s="79"/>
      <c r="F211" s="53"/>
      <c r="G211" s="54"/>
      <c r="H211" s="54"/>
      <c r="I211" s="7"/>
      <c r="J211" s="9"/>
      <c r="K211" s="9"/>
      <c r="L211" s="77"/>
      <c r="M211" s="77"/>
      <c r="N211" s="77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</row>
    <row r="212" spans="1:27" ht="12.75" customHeight="1" x14ac:dyDescent="0.25">
      <c r="A212" s="79"/>
      <c r="B212" s="20"/>
      <c r="C212" s="82"/>
      <c r="D212" s="83"/>
      <c r="E212" s="79"/>
      <c r="F212" s="53"/>
      <c r="G212" s="54"/>
      <c r="H212" s="54"/>
      <c r="I212" s="7"/>
      <c r="J212" s="9"/>
      <c r="K212" s="9"/>
      <c r="L212" s="77"/>
      <c r="M212" s="77"/>
      <c r="N212" s="77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 spans="1:27" ht="12.75" customHeight="1" x14ac:dyDescent="0.25">
      <c r="A213" s="79"/>
      <c r="B213" s="20"/>
      <c r="C213" s="82"/>
      <c r="D213" s="83"/>
      <c r="E213" s="79"/>
      <c r="F213" s="53"/>
      <c r="G213" s="54"/>
      <c r="H213" s="54"/>
      <c r="I213" s="7"/>
      <c r="J213" s="9"/>
      <c r="K213" s="9"/>
      <c r="L213" s="77"/>
      <c r="M213" s="77"/>
      <c r="N213" s="77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</row>
    <row r="214" spans="1:27" ht="12.75" customHeight="1" x14ac:dyDescent="0.25">
      <c r="A214" s="79"/>
      <c r="B214" s="20"/>
      <c r="C214" s="82"/>
      <c r="D214" s="83"/>
      <c r="E214" s="79"/>
      <c r="F214" s="53"/>
      <c r="G214" s="54"/>
      <c r="H214" s="54"/>
      <c r="I214" s="7"/>
      <c r="J214" s="9"/>
      <c r="K214" s="9"/>
      <c r="L214" s="77"/>
      <c r="M214" s="77"/>
      <c r="N214" s="77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</row>
    <row r="215" spans="1:27" ht="12.75" customHeight="1" x14ac:dyDescent="0.25">
      <c r="A215" s="79"/>
      <c r="B215" s="20"/>
      <c r="C215" s="82"/>
      <c r="D215" s="83"/>
      <c r="E215" s="79"/>
      <c r="F215" s="53"/>
      <c r="G215" s="54"/>
      <c r="H215" s="54"/>
      <c r="I215" s="7"/>
      <c r="J215" s="9"/>
      <c r="K215" s="9"/>
      <c r="L215" s="77"/>
      <c r="M215" s="77"/>
      <c r="N215" s="77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</row>
    <row r="216" spans="1:27" ht="12.75" customHeight="1" x14ac:dyDescent="0.25">
      <c r="A216" s="79"/>
      <c r="B216" s="20"/>
      <c r="C216" s="82"/>
      <c r="D216" s="83"/>
      <c r="E216" s="79"/>
      <c r="F216" s="53"/>
      <c r="G216" s="54"/>
      <c r="H216" s="54"/>
      <c r="I216" s="7"/>
      <c r="J216" s="9"/>
      <c r="K216" s="9"/>
      <c r="L216" s="77"/>
      <c r="M216" s="77"/>
      <c r="N216" s="77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</row>
    <row r="217" spans="1:27" ht="12.75" customHeight="1" x14ac:dyDescent="0.25">
      <c r="A217" s="79"/>
      <c r="B217" s="20"/>
      <c r="C217" s="82"/>
      <c r="D217" s="83"/>
      <c r="E217" s="79"/>
      <c r="F217" s="53"/>
      <c r="G217" s="54"/>
      <c r="H217" s="54"/>
      <c r="I217" s="7"/>
      <c r="J217" s="9"/>
      <c r="K217" s="9"/>
      <c r="L217" s="77"/>
      <c r="M217" s="77"/>
      <c r="N217" s="77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</row>
    <row r="218" spans="1:27" ht="12.75" customHeight="1" x14ac:dyDescent="0.25">
      <c r="A218" s="79"/>
      <c r="B218" s="20"/>
      <c r="C218" s="82"/>
      <c r="D218" s="83"/>
      <c r="E218" s="79"/>
      <c r="F218" s="53"/>
      <c r="G218" s="54"/>
      <c r="H218" s="54"/>
      <c r="I218" s="7"/>
      <c r="J218" s="9"/>
      <c r="K218" s="9"/>
      <c r="L218" s="77"/>
      <c r="M218" s="77"/>
      <c r="N218" s="77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</row>
    <row r="219" spans="1:27" ht="12.75" customHeight="1" x14ac:dyDescent="0.25">
      <c r="A219" s="79"/>
      <c r="B219" s="20"/>
      <c r="C219" s="82"/>
      <c r="D219" s="83"/>
      <c r="E219" s="79"/>
      <c r="F219" s="53"/>
      <c r="G219" s="54"/>
      <c r="H219" s="54"/>
      <c r="I219" s="7"/>
      <c r="J219" s="9"/>
      <c r="K219" s="9"/>
      <c r="L219" s="77"/>
      <c r="M219" s="77"/>
      <c r="N219" s="77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</row>
    <row r="220" spans="1:27" ht="12.75" customHeight="1" x14ac:dyDescent="0.25">
      <c r="A220" s="79"/>
      <c r="B220" s="20"/>
      <c r="C220" s="82"/>
      <c r="D220" s="83"/>
      <c r="E220" s="79"/>
      <c r="F220" s="53"/>
      <c r="G220" s="54"/>
      <c r="H220" s="54"/>
      <c r="I220" s="7"/>
      <c r="J220" s="9"/>
      <c r="K220" s="9"/>
      <c r="L220" s="77"/>
      <c r="M220" s="77"/>
      <c r="N220" s="77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</row>
    <row r="221" spans="1:27" ht="12.75" customHeight="1" x14ac:dyDescent="0.25">
      <c r="A221" s="79"/>
      <c r="B221" s="20"/>
      <c r="C221" s="82"/>
      <c r="D221" s="83"/>
      <c r="E221" s="79"/>
      <c r="F221" s="53"/>
      <c r="G221" s="54"/>
      <c r="H221" s="54"/>
      <c r="I221" s="7"/>
      <c r="J221" s="9"/>
      <c r="K221" s="9"/>
      <c r="L221" s="77"/>
      <c r="M221" s="77"/>
      <c r="N221" s="77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</row>
    <row r="222" spans="1:27" ht="12.75" customHeight="1" x14ac:dyDescent="0.25">
      <c r="A222" s="79"/>
      <c r="B222" s="20"/>
      <c r="C222" s="82"/>
      <c r="D222" s="83"/>
      <c r="E222" s="79"/>
      <c r="F222" s="53"/>
      <c r="G222" s="54"/>
      <c r="H222" s="54"/>
      <c r="I222" s="7"/>
      <c r="J222" s="9"/>
      <c r="K222" s="9"/>
      <c r="L222" s="77"/>
      <c r="M222" s="77"/>
      <c r="N222" s="77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</row>
    <row r="223" spans="1:27" ht="12.75" customHeight="1" x14ac:dyDescent="0.25">
      <c r="A223" s="79"/>
      <c r="B223" s="20"/>
      <c r="C223" s="82"/>
      <c r="D223" s="83"/>
      <c r="E223" s="79"/>
      <c r="F223" s="53"/>
      <c r="G223" s="54"/>
      <c r="H223" s="54"/>
      <c r="I223" s="7"/>
      <c r="J223" s="9"/>
      <c r="K223" s="9"/>
      <c r="L223" s="77"/>
      <c r="M223" s="77"/>
      <c r="N223" s="77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</row>
    <row r="224" spans="1:27" ht="12.75" customHeight="1" x14ac:dyDescent="0.25">
      <c r="A224" s="79"/>
      <c r="B224" s="20"/>
      <c r="C224" s="82"/>
      <c r="D224" s="83"/>
      <c r="E224" s="79"/>
      <c r="F224" s="53"/>
      <c r="G224" s="54"/>
      <c r="H224" s="54"/>
      <c r="I224" s="7"/>
      <c r="J224" s="9"/>
      <c r="K224" s="9"/>
      <c r="L224" s="77"/>
      <c r="M224" s="77"/>
      <c r="N224" s="77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 spans="1:27" ht="12.75" customHeight="1" x14ac:dyDescent="0.25">
      <c r="A225" s="79"/>
      <c r="B225" s="20"/>
      <c r="C225" s="82"/>
      <c r="D225" s="83"/>
      <c r="E225" s="79"/>
      <c r="F225" s="53"/>
      <c r="G225" s="54"/>
      <c r="H225" s="54"/>
      <c r="I225" s="7"/>
      <c r="J225" s="9"/>
      <c r="K225" s="9"/>
      <c r="L225" s="77"/>
      <c r="M225" s="77"/>
      <c r="N225" s="77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</row>
    <row r="226" spans="1:27" ht="12.75" customHeight="1" x14ac:dyDescent="0.25">
      <c r="A226" s="79"/>
      <c r="B226" s="20"/>
      <c r="C226" s="82"/>
      <c r="D226" s="83"/>
      <c r="E226" s="79"/>
      <c r="F226" s="53"/>
      <c r="G226" s="54"/>
      <c r="H226" s="54"/>
      <c r="I226" s="7"/>
      <c r="J226" s="9"/>
      <c r="K226" s="9"/>
      <c r="L226" s="77"/>
      <c r="M226" s="77"/>
      <c r="N226" s="77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</row>
    <row r="227" spans="1:27" ht="12.75" customHeight="1" x14ac:dyDescent="0.25">
      <c r="A227" s="79"/>
      <c r="B227" s="20"/>
      <c r="C227" s="82"/>
      <c r="D227" s="83"/>
      <c r="E227" s="79"/>
      <c r="F227" s="53"/>
      <c r="G227" s="54"/>
      <c r="H227" s="54"/>
      <c r="I227" s="7"/>
      <c r="J227" s="9"/>
      <c r="K227" s="9"/>
      <c r="L227" s="77"/>
      <c r="M227" s="77"/>
      <c r="N227" s="77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</row>
    <row r="228" spans="1:27" ht="12.75" customHeight="1" x14ac:dyDescent="0.25">
      <c r="A228" s="79"/>
      <c r="B228" s="20"/>
      <c r="C228" s="82"/>
      <c r="D228" s="83"/>
      <c r="E228" s="79"/>
      <c r="F228" s="53"/>
      <c r="G228" s="54"/>
      <c r="H228" s="54"/>
      <c r="I228" s="7"/>
      <c r="J228" s="9"/>
      <c r="K228" s="9"/>
      <c r="L228" s="77"/>
      <c r="M228" s="77"/>
      <c r="N228" s="77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</row>
    <row r="229" spans="1:27" ht="12.75" customHeight="1" x14ac:dyDescent="0.25">
      <c r="A229" s="79"/>
      <c r="B229" s="20"/>
      <c r="C229" s="82"/>
      <c r="D229" s="83"/>
      <c r="E229" s="79"/>
      <c r="F229" s="53"/>
      <c r="G229" s="54"/>
      <c r="H229" s="54"/>
      <c r="I229" s="7"/>
      <c r="J229" s="9"/>
      <c r="K229" s="9"/>
      <c r="L229" s="77"/>
      <c r="M229" s="77"/>
      <c r="N229" s="77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</row>
    <row r="230" spans="1:27" ht="12.75" customHeight="1" x14ac:dyDescent="0.25">
      <c r="A230" s="79"/>
      <c r="B230" s="20"/>
      <c r="C230" s="82"/>
      <c r="D230" s="83"/>
      <c r="E230" s="79"/>
      <c r="F230" s="53"/>
      <c r="G230" s="54"/>
      <c r="H230" s="54"/>
      <c r="I230" s="7"/>
      <c r="J230" s="9"/>
      <c r="K230" s="9"/>
      <c r="L230" s="77"/>
      <c r="M230" s="77"/>
      <c r="N230" s="77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</row>
    <row r="231" spans="1:27" ht="12.75" customHeight="1" x14ac:dyDescent="0.25">
      <c r="A231" s="79"/>
      <c r="B231" s="20"/>
      <c r="C231" s="82"/>
      <c r="D231" s="83"/>
      <c r="E231" s="79"/>
      <c r="F231" s="53"/>
      <c r="G231" s="54"/>
      <c r="H231" s="54"/>
      <c r="I231" s="7"/>
      <c r="J231" s="9"/>
      <c r="K231" s="9"/>
      <c r="L231" s="77"/>
      <c r="M231" s="77"/>
      <c r="N231" s="77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</row>
    <row r="232" spans="1:27" ht="12.75" customHeight="1" x14ac:dyDescent="0.25">
      <c r="A232" s="79"/>
      <c r="B232" s="20"/>
      <c r="C232" s="82"/>
      <c r="D232" s="83"/>
      <c r="E232" s="79"/>
      <c r="F232" s="53"/>
      <c r="G232" s="54"/>
      <c r="H232" s="54"/>
      <c r="I232" s="7"/>
      <c r="J232" s="9"/>
      <c r="K232" s="9"/>
      <c r="L232" s="77"/>
      <c r="M232" s="77"/>
      <c r="N232" s="77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</row>
    <row r="233" spans="1:27" ht="12.75" customHeight="1" x14ac:dyDescent="0.25">
      <c r="A233" s="79"/>
      <c r="B233" s="20"/>
      <c r="C233" s="82"/>
      <c r="D233" s="83"/>
      <c r="E233" s="79"/>
      <c r="F233" s="53"/>
      <c r="G233" s="54"/>
      <c r="H233" s="54"/>
      <c r="I233" s="7"/>
      <c r="J233" s="9"/>
      <c r="K233" s="9"/>
      <c r="L233" s="77"/>
      <c r="M233" s="77"/>
      <c r="N233" s="77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</row>
    <row r="234" spans="1:27" ht="12.75" customHeight="1" x14ac:dyDescent="0.25">
      <c r="A234" s="79"/>
      <c r="B234" s="20"/>
      <c r="C234" s="82"/>
      <c r="D234" s="83"/>
      <c r="E234" s="79"/>
      <c r="F234" s="53"/>
      <c r="G234" s="54"/>
      <c r="H234" s="54"/>
      <c r="I234" s="7"/>
      <c r="J234" s="9"/>
      <c r="K234" s="9"/>
      <c r="L234" s="77"/>
      <c r="M234" s="77"/>
      <c r="N234" s="77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</row>
    <row r="235" spans="1:27" ht="12.75" customHeight="1" x14ac:dyDescent="0.25">
      <c r="A235" s="79"/>
      <c r="B235" s="20"/>
      <c r="C235" s="82"/>
      <c r="D235" s="83"/>
      <c r="E235" s="79"/>
      <c r="F235" s="53"/>
      <c r="G235" s="54"/>
      <c r="H235" s="54"/>
      <c r="I235" s="7"/>
      <c r="J235" s="9"/>
      <c r="K235" s="9"/>
      <c r="L235" s="77"/>
      <c r="M235" s="77"/>
      <c r="N235" s="77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</row>
    <row r="236" spans="1:27" ht="12.75" customHeight="1" x14ac:dyDescent="0.25">
      <c r="A236" s="79"/>
      <c r="B236" s="20"/>
      <c r="C236" s="82"/>
      <c r="D236" s="83"/>
      <c r="E236" s="79"/>
      <c r="F236" s="53"/>
      <c r="G236" s="54"/>
      <c r="H236" s="54"/>
      <c r="I236" s="7"/>
      <c r="J236" s="9"/>
      <c r="K236" s="9"/>
      <c r="L236" s="77"/>
      <c r="M236" s="77"/>
      <c r="N236" s="77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 spans="1:27" ht="12.75" customHeight="1" x14ac:dyDescent="0.25">
      <c r="A237" s="79"/>
      <c r="B237" s="20"/>
      <c r="C237" s="82"/>
      <c r="D237" s="83"/>
      <c r="E237" s="79"/>
      <c r="F237" s="53"/>
      <c r="G237" s="54"/>
      <c r="H237" s="54"/>
      <c r="I237" s="7"/>
      <c r="J237" s="9"/>
      <c r="K237" s="9"/>
      <c r="L237" s="77"/>
      <c r="M237" s="77"/>
      <c r="N237" s="77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</row>
    <row r="238" spans="1:27" ht="12.75" customHeight="1" x14ac:dyDescent="0.25">
      <c r="A238" s="79"/>
      <c r="B238" s="20"/>
      <c r="C238" s="82"/>
      <c r="D238" s="83"/>
      <c r="E238" s="79"/>
      <c r="F238" s="53"/>
      <c r="G238" s="54"/>
      <c r="H238" s="54"/>
      <c r="I238" s="7"/>
      <c r="J238" s="9"/>
      <c r="K238" s="9"/>
      <c r="L238" s="77"/>
      <c r="M238" s="77"/>
      <c r="N238" s="77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</row>
    <row r="239" spans="1:27" ht="12.75" customHeight="1" x14ac:dyDescent="0.25">
      <c r="A239" s="79"/>
      <c r="B239" s="20"/>
      <c r="C239" s="82"/>
      <c r="D239" s="83"/>
      <c r="E239" s="79"/>
      <c r="F239" s="53"/>
      <c r="G239" s="54"/>
      <c r="H239" s="54"/>
      <c r="I239" s="7"/>
      <c r="J239" s="9"/>
      <c r="K239" s="9"/>
      <c r="L239" s="77"/>
      <c r="M239" s="77"/>
      <c r="N239" s="77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</row>
    <row r="240" spans="1:27" ht="12.75" customHeight="1" x14ac:dyDescent="0.25">
      <c r="A240" s="79"/>
      <c r="B240" s="20"/>
      <c r="C240" s="82"/>
      <c r="D240" s="83"/>
      <c r="E240" s="79"/>
      <c r="F240" s="53"/>
      <c r="G240" s="54"/>
      <c r="H240" s="54"/>
      <c r="I240" s="7"/>
      <c r="J240" s="9"/>
      <c r="K240" s="9"/>
      <c r="L240" s="77"/>
      <c r="M240" s="77"/>
      <c r="N240" s="77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</row>
    <row r="241" spans="1:27" ht="12.75" customHeight="1" x14ac:dyDescent="0.25">
      <c r="A241" s="79"/>
      <c r="B241" s="20"/>
      <c r="C241" s="82"/>
      <c r="D241" s="83"/>
      <c r="E241" s="79"/>
      <c r="F241" s="53"/>
      <c r="G241" s="54"/>
      <c r="H241" s="54"/>
      <c r="I241" s="7"/>
      <c r="J241" s="9"/>
      <c r="K241" s="9"/>
      <c r="L241" s="77"/>
      <c r="M241" s="77"/>
      <c r="N241" s="77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</row>
    <row r="242" spans="1:27" ht="12.75" customHeight="1" x14ac:dyDescent="0.25">
      <c r="A242" s="79"/>
      <c r="B242" s="20"/>
      <c r="C242" s="82"/>
      <c r="D242" s="83"/>
      <c r="E242" s="79"/>
      <c r="F242" s="53"/>
      <c r="G242" s="54"/>
      <c r="H242" s="54"/>
      <c r="I242" s="7"/>
      <c r="J242" s="9"/>
      <c r="K242" s="9"/>
      <c r="L242" s="77"/>
      <c r="M242" s="77"/>
      <c r="N242" s="77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</row>
    <row r="243" spans="1:27" ht="12.75" customHeight="1" x14ac:dyDescent="0.25">
      <c r="A243" s="79"/>
      <c r="B243" s="20"/>
      <c r="C243" s="82"/>
      <c r="D243" s="83"/>
      <c r="E243" s="79"/>
      <c r="F243" s="53"/>
      <c r="G243" s="54"/>
      <c r="H243" s="54"/>
      <c r="I243" s="7"/>
      <c r="J243" s="9"/>
      <c r="K243" s="9"/>
      <c r="L243" s="77"/>
      <c r="M243" s="77"/>
      <c r="N243" s="77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</row>
    <row r="244" spans="1:27" ht="12.75" customHeight="1" x14ac:dyDescent="0.25">
      <c r="A244" s="79"/>
      <c r="B244" s="20"/>
      <c r="C244" s="82"/>
      <c r="D244" s="83"/>
      <c r="E244" s="79"/>
      <c r="F244" s="53"/>
      <c r="G244" s="54"/>
      <c r="H244" s="54"/>
      <c r="I244" s="7"/>
      <c r="J244" s="9"/>
      <c r="K244" s="9"/>
      <c r="L244" s="77"/>
      <c r="M244" s="77"/>
      <c r="N244" s="77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</row>
    <row r="245" spans="1:27" ht="12.75" customHeight="1" x14ac:dyDescent="0.25">
      <c r="A245" s="79"/>
      <c r="B245" s="20"/>
      <c r="C245" s="82"/>
      <c r="D245" s="83"/>
      <c r="E245" s="79"/>
      <c r="F245" s="53"/>
      <c r="G245" s="54"/>
      <c r="H245" s="54"/>
      <c r="I245" s="7"/>
      <c r="J245" s="9"/>
      <c r="K245" s="9"/>
      <c r="L245" s="77"/>
      <c r="M245" s="77"/>
      <c r="N245" s="77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</row>
    <row r="246" spans="1:27" ht="12.75" customHeight="1" x14ac:dyDescent="0.25">
      <c r="A246" s="79"/>
      <c r="B246" s="20"/>
      <c r="C246" s="82"/>
      <c r="D246" s="83"/>
      <c r="E246" s="79"/>
      <c r="F246" s="53"/>
      <c r="G246" s="54"/>
      <c r="H246" s="54"/>
      <c r="I246" s="7"/>
      <c r="J246" s="9"/>
      <c r="K246" s="9"/>
      <c r="L246" s="77"/>
      <c r="M246" s="77"/>
      <c r="N246" s="77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</row>
    <row r="247" spans="1:27" ht="12.75" customHeight="1" x14ac:dyDescent="0.25">
      <c r="A247" s="79"/>
      <c r="B247" s="20"/>
      <c r="C247" s="82"/>
      <c r="D247" s="83"/>
      <c r="E247" s="79"/>
      <c r="F247" s="53"/>
      <c r="G247" s="54"/>
      <c r="H247" s="54"/>
      <c r="I247" s="7"/>
      <c r="J247" s="9"/>
      <c r="K247" s="9"/>
      <c r="L247" s="77"/>
      <c r="M247" s="77"/>
      <c r="N247" s="77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</row>
    <row r="248" spans="1:27" ht="12.75" customHeight="1" x14ac:dyDescent="0.25">
      <c r="A248" s="79"/>
      <c r="B248" s="20"/>
      <c r="C248" s="82"/>
      <c r="D248" s="83"/>
      <c r="E248" s="79"/>
      <c r="F248" s="53"/>
      <c r="G248" s="54"/>
      <c r="H248" s="54"/>
      <c r="I248" s="7"/>
      <c r="J248" s="9"/>
      <c r="K248" s="9"/>
      <c r="L248" s="77"/>
      <c r="M248" s="77"/>
      <c r="N248" s="77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</row>
    <row r="249" spans="1:27" ht="12.75" customHeight="1" x14ac:dyDescent="0.25">
      <c r="A249" s="79"/>
      <c r="B249" s="20"/>
      <c r="C249" s="82"/>
      <c r="D249" s="83"/>
      <c r="E249" s="79"/>
      <c r="F249" s="53"/>
      <c r="G249" s="54"/>
      <c r="H249" s="54"/>
      <c r="I249" s="7"/>
      <c r="J249" s="9"/>
      <c r="K249" s="9"/>
      <c r="L249" s="77"/>
      <c r="M249" s="77"/>
      <c r="N249" s="77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</row>
    <row r="250" spans="1:27" ht="12.75" customHeight="1" x14ac:dyDescent="0.25">
      <c r="A250" s="79"/>
      <c r="B250" s="20"/>
      <c r="C250" s="82"/>
      <c r="D250" s="83"/>
      <c r="E250" s="79"/>
      <c r="F250" s="53"/>
      <c r="G250" s="54"/>
      <c r="H250" s="54"/>
      <c r="I250" s="7"/>
      <c r="J250" s="9"/>
      <c r="K250" s="9"/>
      <c r="L250" s="77"/>
      <c r="M250" s="77"/>
      <c r="N250" s="77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</row>
    <row r="251" spans="1:27" ht="12.75" customHeight="1" x14ac:dyDescent="0.25">
      <c r="A251" s="79"/>
      <c r="B251" s="20"/>
      <c r="C251" s="82"/>
      <c r="D251" s="83"/>
      <c r="E251" s="79"/>
      <c r="F251" s="53"/>
      <c r="G251" s="54"/>
      <c r="H251" s="54"/>
      <c r="I251" s="7"/>
      <c r="J251" s="9"/>
      <c r="K251" s="9"/>
      <c r="L251" s="77"/>
      <c r="M251" s="77"/>
      <c r="N251" s="77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</row>
    <row r="252" spans="1:27" ht="12.75" customHeight="1" x14ac:dyDescent="0.25">
      <c r="A252" s="79"/>
      <c r="B252" s="20"/>
      <c r="C252" s="82"/>
      <c r="D252" s="83"/>
      <c r="E252" s="79"/>
      <c r="F252" s="53"/>
      <c r="G252" s="54"/>
      <c r="H252" s="54"/>
      <c r="I252" s="7"/>
      <c r="J252" s="9"/>
      <c r="K252" s="9"/>
      <c r="L252" s="77"/>
      <c r="M252" s="77"/>
      <c r="N252" s="77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</row>
    <row r="253" spans="1:27" ht="12.75" customHeight="1" x14ac:dyDescent="0.25">
      <c r="A253" s="79"/>
      <c r="B253" s="20"/>
      <c r="C253" s="82"/>
      <c r="D253" s="83"/>
      <c r="E253" s="79"/>
      <c r="F253" s="53"/>
      <c r="G253" s="54"/>
      <c r="H253" s="54"/>
      <c r="I253" s="7"/>
      <c r="J253" s="9"/>
      <c r="K253" s="9"/>
      <c r="L253" s="77"/>
      <c r="M253" s="77"/>
      <c r="N253" s="77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</row>
    <row r="254" spans="1:27" ht="12.75" customHeight="1" x14ac:dyDescent="0.25">
      <c r="A254" s="79"/>
      <c r="B254" s="20"/>
      <c r="C254" s="82"/>
      <c r="D254" s="83"/>
      <c r="E254" s="79"/>
      <c r="F254" s="53"/>
      <c r="G254" s="54"/>
      <c r="H254" s="54"/>
      <c r="I254" s="7"/>
      <c r="J254" s="9"/>
      <c r="K254" s="9"/>
      <c r="L254" s="77"/>
      <c r="M254" s="77"/>
      <c r="N254" s="77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</row>
    <row r="255" spans="1:27" ht="12.75" customHeight="1" x14ac:dyDescent="0.25">
      <c r="A255" s="79"/>
      <c r="B255" s="20"/>
      <c r="C255" s="82"/>
      <c r="D255" s="83"/>
      <c r="E255" s="79"/>
      <c r="F255" s="53"/>
      <c r="G255" s="54"/>
      <c r="H255" s="54"/>
      <c r="I255" s="7"/>
      <c r="J255" s="9"/>
      <c r="K255" s="9"/>
      <c r="L255" s="77"/>
      <c r="M255" s="77"/>
      <c r="N255" s="77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</row>
    <row r="256" spans="1:27" ht="12.75" customHeight="1" x14ac:dyDescent="0.25">
      <c r="A256" s="79"/>
      <c r="B256" s="20"/>
      <c r="C256" s="82"/>
      <c r="D256" s="83"/>
      <c r="E256" s="79"/>
      <c r="F256" s="53"/>
      <c r="G256" s="54"/>
      <c r="H256" s="54"/>
      <c r="I256" s="7"/>
      <c r="J256" s="9"/>
      <c r="K256" s="9"/>
      <c r="L256" s="77"/>
      <c r="M256" s="77"/>
      <c r="N256" s="77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</row>
    <row r="257" spans="1:27" ht="12.75" customHeight="1" x14ac:dyDescent="0.25">
      <c r="A257" s="79"/>
      <c r="B257" s="20"/>
      <c r="C257" s="82"/>
      <c r="D257" s="83"/>
      <c r="E257" s="79"/>
      <c r="F257" s="53"/>
      <c r="G257" s="54"/>
      <c r="H257" s="54"/>
      <c r="I257" s="7"/>
      <c r="J257" s="9"/>
      <c r="K257" s="21"/>
      <c r="L257" s="77"/>
      <c r="M257" s="77"/>
      <c r="N257" s="77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</row>
    <row r="258" spans="1:27" ht="12.75" customHeight="1" x14ac:dyDescent="0.25">
      <c r="A258" s="79"/>
      <c r="B258" s="20"/>
      <c r="C258" s="82"/>
      <c r="D258" s="83"/>
      <c r="E258" s="79"/>
      <c r="F258" s="53"/>
      <c r="G258" s="54"/>
      <c r="H258" s="54"/>
      <c r="I258" s="7"/>
      <c r="J258" s="9"/>
      <c r="K258" s="9"/>
      <c r="L258" s="77"/>
      <c r="M258" s="77"/>
      <c r="N258" s="77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</row>
    <row r="259" spans="1:27" ht="12.75" customHeight="1" x14ac:dyDescent="0.25">
      <c r="A259" s="79"/>
      <c r="B259" s="20"/>
      <c r="C259" s="82"/>
      <c r="D259" s="83"/>
      <c r="E259" s="79"/>
      <c r="F259" s="53"/>
      <c r="G259" s="54"/>
      <c r="H259" s="54"/>
      <c r="I259" s="7"/>
      <c r="J259" s="9"/>
      <c r="K259" s="9"/>
      <c r="L259" s="77"/>
      <c r="M259" s="77"/>
      <c r="N259" s="77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</row>
    <row r="260" spans="1:27" ht="12.75" customHeight="1" x14ac:dyDescent="0.25">
      <c r="A260" s="79"/>
      <c r="B260" s="20"/>
      <c r="C260" s="82"/>
      <c r="D260" s="83"/>
      <c r="E260" s="79"/>
      <c r="F260" s="53"/>
      <c r="G260" s="54"/>
      <c r="H260" s="54"/>
      <c r="I260" s="7"/>
      <c r="J260" s="9"/>
      <c r="K260" s="9"/>
      <c r="L260" s="77"/>
      <c r="M260" s="77"/>
      <c r="N260" s="77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</row>
    <row r="261" spans="1:27" ht="12.75" customHeight="1" x14ac:dyDescent="0.25">
      <c r="A261" s="79"/>
      <c r="B261" s="20"/>
      <c r="C261" s="82"/>
      <c r="D261" s="83"/>
      <c r="E261" s="79"/>
      <c r="F261" s="53"/>
      <c r="G261" s="54"/>
      <c r="H261" s="54"/>
      <c r="I261" s="7"/>
      <c r="J261" s="9"/>
      <c r="K261" s="9"/>
      <c r="L261" s="77"/>
      <c r="M261" s="77"/>
      <c r="N261" s="77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</row>
    <row r="262" spans="1:27" ht="12.75" customHeight="1" x14ac:dyDescent="0.25">
      <c r="A262" s="79"/>
      <c r="B262" s="20"/>
      <c r="C262" s="82"/>
      <c r="D262" s="83"/>
      <c r="E262" s="79"/>
      <c r="F262" s="53"/>
      <c r="G262" s="54"/>
      <c r="H262" s="54"/>
      <c r="I262" s="7"/>
      <c r="J262" s="9"/>
      <c r="K262" s="21"/>
      <c r="L262" s="77"/>
      <c r="M262" s="77"/>
      <c r="N262" s="77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</row>
    <row r="263" spans="1:27" ht="12.75" customHeight="1" x14ac:dyDescent="0.25">
      <c r="A263" s="79"/>
      <c r="B263" s="20"/>
      <c r="C263" s="82"/>
      <c r="D263" s="83"/>
      <c r="E263" s="79"/>
      <c r="F263" s="53"/>
      <c r="G263" s="54"/>
      <c r="H263" s="54"/>
      <c r="I263" s="7"/>
      <c r="J263" s="9"/>
      <c r="K263" s="21"/>
      <c r="L263" s="77"/>
      <c r="M263" s="77"/>
      <c r="N263" s="77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</row>
    <row r="264" spans="1:27" ht="12.75" customHeight="1" x14ac:dyDescent="0.25">
      <c r="A264" s="79"/>
      <c r="B264" s="20"/>
      <c r="C264" s="82"/>
      <c r="D264" s="83"/>
      <c r="E264" s="79"/>
      <c r="F264" s="53"/>
      <c r="G264" s="54"/>
      <c r="H264" s="54"/>
      <c r="I264" s="7"/>
      <c r="J264" s="9"/>
      <c r="K264" s="21"/>
      <c r="L264" s="77"/>
      <c r="M264" s="77"/>
      <c r="N264" s="77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</row>
    <row r="265" spans="1:27" ht="12.75" customHeight="1" x14ac:dyDescent="0.25">
      <c r="A265" s="79"/>
      <c r="B265" s="20"/>
      <c r="C265" s="82"/>
      <c r="D265" s="83"/>
      <c r="E265" s="79"/>
      <c r="F265" s="53"/>
      <c r="G265" s="54"/>
      <c r="H265" s="54"/>
      <c r="I265" s="7"/>
      <c r="J265" s="9"/>
      <c r="K265" s="21"/>
      <c r="L265" s="77"/>
      <c r="M265" s="77"/>
      <c r="N265" s="77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</row>
    <row r="266" spans="1:27" ht="12.75" customHeight="1" x14ac:dyDescent="0.25">
      <c r="A266" s="79"/>
      <c r="B266" s="20"/>
      <c r="C266" s="82"/>
      <c r="D266" s="83"/>
      <c r="E266" s="79"/>
      <c r="F266" s="53"/>
      <c r="G266" s="54"/>
      <c r="H266" s="54"/>
      <c r="I266" s="7"/>
      <c r="J266" s="9"/>
      <c r="K266" s="21"/>
      <c r="L266" s="77"/>
      <c r="M266" s="77"/>
      <c r="N266" s="77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</row>
    <row r="267" spans="1:27" ht="12.75" customHeight="1" x14ac:dyDescent="0.25">
      <c r="A267" s="79"/>
      <c r="B267" s="20"/>
      <c r="C267" s="82"/>
      <c r="D267" s="83"/>
      <c r="E267" s="79"/>
      <c r="F267" s="53"/>
      <c r="G267" s="54"/>
      <c r="H267" s="54"/>
      <c r="I267" s="7"/>
      <c r="J267" s="9"/>
      <c r="K267" s="21"/>
      <c r="L267" s="77"/>
      <c r="M267" s="77"/>
      <c r="N267" s="77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</row>
    <row r="268" spans="1:27" ht="12.75" customHeight="1" x14ac:dyDescent="0.25">
      <c r="A268" s="79"/>
      <c r="B268" s="20"/>
      <c r="C268" s="82"/>
      <c r="D268" s="83"/>
      <c r="E268" s="79"/>
      <c r="F268" s="53"/>
      <c r="G268" s="54"/>
      <c r="H268" s="54"/>
      <c r="I268" s="7"/>
      <c r="J268" s="9"/>
      <c r="K268" s="21"/>
      <c r="L268" s="77"/>
      <c r="M268" s="77"/>
      <c r="N268" s="77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</row>
    <row r="269" spans="1:27" ht="12.75" customHeight="1" x14ac:dyDescent="0.25">
      <c r="A269" s="79"/>
      <c r="B269" s="20"/>
      <c r="C269" s="82"/>
      <c r="D269" s="83"/>
      <c r="E269" s="79"/>
      <c r="F269" s="53"/>
      <c r="G269" s="54"/>
      <c r="H269" s="54"/>
      <c r="I269" s="7"/>
      <c r="J269" s="9"/>
      <c r="K269" s="21"/>
      <c r="L269" s="77"/>
      <c r="M269" s="77"/>
      <c r="N269" s="77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</row>
    <row r="270" spans="1:27" ht="12.75" customHeight="1" x14ac:dyDescent="0.25">
      <c r="A270" s="79"/>
      <c r="B270" s="20"/>
      <c r="C270" s="82"/>
      <c r="D270" s="83"/>
      <c r="E270" s="79"/>
      <c r="F270" s="53"/>
      <c r="G270" s="54"/>
      <c r="H270" s="54"/>
      <c r="I270" s="7"/>
      <c r="J270" s="9"/>
      <c r="K270" s="21"/>
      <c r="L270" s="77"/>
      <c r="M270" s="77"/>
      <c r="N270" s="77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</row>
    <row r="271" spans="1:27" ht="12.75" customHeight="1" x14ac:dyDescent="0.25">
      <c r="A271" s="79"/>
      <c r="B271" s="20"/>
      <c r="C271" s="82"/>
      <c r="D271" s="83"/>
      <c r="E271" s="79"/>
      <c r="F271" s="53"/>
      <c r="G271" s="54"/>
      <c r="H271" s="54"/>
      <c r="I271" s="7"/>
      <c r="J271" s="9"/>
      <c r="K271" s="21"/>
      <c r="L271" s="77"/>
      <c r="M271" s="77"/>
      <c r="N271" s="77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</row>
    <row r="272" spans="1:27" ht="12.75" customHeight="1" x14ac:dyDescent="0.25">
      <c r="A272" s="79"/>
      <c r="B272" s="20"/>
      <c r="C272" s="82"/>
      <c r="D272" s="83"/>
      <c r="E272" s="79"/>
      <c r="F272" s="53"/>
      <c r="G272" s="54"/>
      <c r="H272" s="54"/>
      <c r="I272" s="7"/>
      <c r="J272" s="9"/>
      <c r="K272" s="21"/>
      <c r="L272" s="77"/>
      <c r="M272" s="77"/>
      <c r="N272" s="77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</row>
    <row r="273" spans="1:27" ht="12.75" customHeight="1" x14ac:dyDescent="0.25">
      <c r="A273" s="79"/>
      <c r="B273" s="20"/>
      <c r="C273" s="82"/>
      <c r="D273" s="83"/>
      <c r="E273" s="79"/>
      <c r="F273" s="53"/>
      <c r="G273" s="54"/>
      <c r="H273" s="54"/>
      <c r="I273" s="7"/>
      <c r="J273" s="9"/>
      <c r="K273" s="21"/>
      <c r="L273" s="77"/>
      <c r="M273" s="77"/>
      <c r="N273" s="77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</row>
    <row r="274" spans="1:27" ht="12.75" customHeight="1" x14ac:dyDescent="0.25">
      <c r="A274" s="79"/>
      <c r="B274" s="20"/>
      <c r="C274" s="82"/>
      <c r="D274" s="83"/>
      <c r="E274" s="79"/>
      <c r="F274" s="53"/>
      <c r="G274" s="54"/>
      <c r="H274" s="54"/>
      <c r="I274" s="7"/>
      <c r="J274" s="9"/>
      <c r="K274" s="21"/>
      <c r="L274" s="77"/>
      <c r="M274" s="77"/>
      <c r="N274" s="77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</row>
    <row r="275" spans="1:27" ht="12.75" customHeight="1" x14ac:dyDescent="0.25">
      <c r="A275" s="79"/>
      <c r="B275" s="20"/>
      <c r="C275" s="82"/>
      <c r="D275" s="83"/>
      <c r="E275" s="79"/>
      <c r="F275" s="53"/>
      <c r="G275" s="54"/>
      <c r="H275" s="54"/>
      <c r="I275" s="7"/>
      <c r="J275" s="9"/>
      <c r="K275" s="21"/>
      <c r="L275" s="77"/>
      <c r="M275" s="77"/>
      <c r="N275" s="77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</row>
    <row r="276" spans="1:27" ht="12.75" customHeight="1" x14ac:dyDescent="0.25">
      <c r="A276" s="79"/>
      <c r="B276" s="20"/>
      <c r="C276" s="82"/>
      <c r="D276" s="83"/>
      <c r="E276" s="79"/>
      <c r="F276" s="53"/>
      <c r="G276" s="54"/>
      <c r="H276" s="54"/>
      <c r="I276" s="7"/>
      <c r="J276" s="9"/>
      <c r="K276" s="21"/>
      <c r="L276" s="77"/>
      <c r="M276" s="77"/>
      <c r="N276" s="77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</row>
    <row r="277" spans="1:27" ht="12.75" customHeight="1" x14ac:dyDescent="0.25">
      <c r="A277" s="79"/>
      <c r="B277" s="20"/>
      <c r="C277" s="82"/>
      <c r="D277" s="83"/>
      <c r="E277" s="79"/>
      <c r="F277" s="53"/>
      <c r="G277" s="54"/>
      <c r="H277" s="54"/>
      <c r="I277" s="7"/>
      <c r="J277" s="9"/>
      <c r="K277" s="21"/>
      <c r="L277" s="77"/>
      <c r="M277" s="77"/>
      <c r="N277" s="77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</row>
    <row r="278" spans="1:27" ht="12.75" customHeight="1" x14ac:dyDescent="0.25">
      <c r="A278" s="79"/>
      <c r="B278" s="20"/>
      <c r="C278" s="82"/>
      <c r="D278" s="83"/>
      <c r="E278" s="79"/>
      <c r="F278" s="53"/>
      <c r="G278" s="54"/>
      <c r="H278" s="54"/>
      <c r="I278" s="7"/>
      <c r="J278" s="9"/>
      <c r="K278" s="9"/>
      <c r="L278" s="77"/>
      <c r="M278" s="77"/>
      <c r="N278" s="77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</row>
    <row r="279" spans="1:27" ht="12.75" customHeight="1" x14ac:dyDescent="0.25">
      <c r="A279" s="79"/>
      <c r="B279" s="20"/>
      <c r="C279" s="82"/>
      <c r="D279" s="83"/>
      <c r="E279" s="79"/>
      <c r="F279" s="53"/>
      <c r="G279" s="54"/>
      <c r="H279" s="54"/>
      <c r="I279" s="7"/>
      <c r="J279" s="9"/>
      <c r="K279" s="21"/>
      <c r="L279" s="77"/>
      <c r="M279" s="77"/>
      <c r="N279" s="77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</row>
    <row r="280" spans="1:27" ht="12.75" customHeight="1" x14ac:dyDescent="0.25">
      <c r="A280" s="79"/>
      <c r="B280" s="20"/>
      <c r="C280" s="82"/>
      <c r="D280" s="83"/>
      <c r="E280" s="79"/>
      <c r="F280" s="53"/>
      <c r="G280" s="54"/>
      <c r="H280" s="54"/>
      <c r="I280" s="7"/>
      <c r="J280" s="9"/>
      <c r="K280" s="21"/>
      <c r="L280" s="77"/>
      <c r="M280" s="77"/>
      <c r="N280" s="77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</row>
    <row r="281" spans="1:27" ht="12.75" customHeight="1" x14ac:dyDescent="0.25">
      <c r="A281" s="79"/>
      <c r="B281" s="20"/>
      <c r="C281" s="82"/>
      <c r="D281" s="83"/>
      <c r="E281" s="79"/>
      <c r="F281" s="53"/>
      <c r="G281" s="54"/>
      <c r="H281" s="54"/>
      <c r="I281" s="7"/>
      <c r="J281" s="9"/>
      <c r="K281" s="21"/>
      <c r="L281" s="77"/>
      <c r="M281" s="77"/>
      <c r="N281" s="77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</row>
    <row r="282" spans="1:27" ht="12.75" customHeight="1" x14ac:dyDescent="0.25">
      <c r="A282" s="79"/>
      <c r="B282" s="20"/>
      <c r="C282" s="82"/>
      <c r="D282" s="83"/>
      <c r="E282" s="79"/>
      <c r="F282" s="53"/>
      <c r="G282" s="54"/>
      <c r="H282" s="54"/>
      <c r="I282" s="7"/>
      <c r="J282" s="9"/>
      <c r="K282" s="21"/>
      <c r="L282" s="77"/>
      <c r="M282" s="77"/>
      <c r="N282" s="77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</row>
    <row r="283" spans="1:27" ht="12.75" customHeight="1" x14ac:dyDescent="0.25">
      <c r="A283" s="79"/>
      <c r="B283" s="20"/>
      <c r="C283" s="82"/>
      <c r="D283" s="83"/>
      <c r="E283" s="79"/>
      <c r="F283" s="53"/>
      <c r="G283" s="54"/>
      <c r="H283" s="54"/>
      <c r="I283" s="7"/>
      <c r="J283" s="9"/>
      <c r="K283" s="21"/>
      <c r="L283" s="77"/>
      <c r="M283" s="77"/>
      <c r="N283" s="77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</row>
    <row r="284" spans="1:27" ht="12.75" customHeight="1" x14ac:dyDescent="0.25">
      <c r="A284" s="79"/>
      <c r="B284" s="20"/>
      <c r="C284" s="82"/>
      <c r="D284" s="83"/>
      <c r="E284" s="79"/>
      <c r="F284" s="53"/>
      <c r="G284" s="54"/>
      <c r="H284" s="54"/>
      <c r="I284" s="7"/>
      <c r="J284" s="9"/>
      <c r="K284" s="21"/>
      <c r="L284" s="77"/>
      <c r="M284" s="77"/>
      <c r="N284" s="77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</row>
    <row r="285" spans="1:27" ht="12.75" customHeight="1" x14ac:dyDescent="0.25">
      <c r="A285" s="79"/>
      <c r="B285" s="20"/>
      <c r="C285" s="82"/>
      <c r="D285" s="83"/>
      <c r="E285" s="79"/>
      <c r="F285" s="53"/>
      <c r="G285" s="54"/>
      <c r="H285" s="54"/>
      <c r="I285" s="7"/>
      <c r="J285" s="9"/>
      <c r="K285" s="21"/>
      <c r="L285" s="77"/>
      <c r="M285" s="77"/>
      <c r="N285" s="77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</row>
    <row r="286" spans="1:27" ht="12.75" customHeight="1" x14ac:dyDescent="0.25">
      <c r="A286" s="79"/>
      <c r="B286" s="20"/>
      <c r="C286" s="82"/>
      <c r="D286" s="83"/>
      <c r="E286" s="79"/>
      <c r="F286" s="53"/>
      <c r="G286" s="54"/>
      <c r="H286" s="54"/>
      <c r="I286" s="7"/>
      <c r="J286" s="9"/>
      <c r="K286" s="21"/>
      <c r="L286" s="77"/>
      <c r="M286" s="77"/>
      <c r="N286" s="77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</row>
    <row r="287" spans="1:27" ht="12.75" customHeight="1" x14ac:dyDescent="0.25">
      <c r="A287" s="79"/>
      <c r="B287" s="20"/>
      <c r="C287" s="82"/>
      <c r="D287" s="83"/>
      <c r="E287" s="79"/>
      <c r="F287" s="53"/>
      <c r="G287" s="54"/>
      <c r="H287" s="54"/>
      <c r="I287" s="7"/>
      <c r="J287" s="9"/>
      <c r="K287" s="21"/>
      <c r="L287" s="77"/>
      <c r="M287" s="77"/>
      <c r="N287" s="77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</row>
    <row r="288" spans="1:27" ht="12.75" customHeight="1" x14ac:dyDescent="0.25">
      <c r="A288" s="79"/>
      <c r="B288" s="20"/>
      <c r="C288" s="82"/>
      <c r="D288" s="83"/>
      <c r="E288" s="79"/>
      <c r="F288" s="53"/>
      <c r="G288" s="54"/>
      <c r="H288" s="54"/>
      <c r="I288" s="7"/>
      <c r="J288" s="9"/>
      <c r="K288" s="21"/>
      <c r="L288" s="77"/>
      <c r="M288" s="77"/>
      <c r="N288" s="77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</row>
    <row r="289" spans="1:27" ht="12.75" customHeight="1" x14ac:dyDescent="0.25">
      <c r="A289" s="79"/>
      <c r="B289" s="20"/>
      <c r="C289" s="82"/>
      <c r="D289" s="83"/>
      <c r="E289" s="79"/>
      <c r="F289" s="53"/>
      <c r="G289" s="54"/>
      <c r="H289" s="54"/>
      <c r="I289" s="7"/>
      <c r="J289" s="9"/>
      <c r="K289" s="21"/>
      <c r="L289" s="77"/>
      <c r="M289" s="77"/>
      <c r="N289" s="77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</row>
    <row r="290" spans="1:27" ht="12.75" customHeight="1" x14ac:dyDescent="0.25">
      <c r="A290" s="79"/>
      <c r="B290" s="20"/>
      <c r="C290" s="82"/>
      <c r="D290" s="83"/>
      <c r="E290" s="79"/>
      <c r="F290" s="53"/>
      <c r="G290" s="54"/>
      <c r="H290" s="54"/>
      <c r="I290" s="7"/>
      <c r="J290" s="9"/>
      <c r="K290" s="21"/>
      <c r="L290" s="77"/>
      <c r="M290" s="77"/>
      <c r="N290" s="77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</row>
    <row r="291" spans="1:27" ht="12.75" customHeight="1" x14ac:dyDescent="0.25">
      <c r="A291" s="79"/>
      <c r="B291" s="20"/>
      <c r="C291" s="82"/>
      <c r="D291" s="83"/>
      <c r="E291" s="79"/>
      <c r="F291" s="53"/>
      <c r="G291" s="54"/>
      <c r="H291" s="54"/>
      <c r="I291" s="7"/>
      <c r="J291" s="9"/>
      <c r="K291" s="21"/>
      <c r="L291" s="77"/>
      <c r="M291" s="77"/>
      <c r="N291" s="77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</row>
    <row r="292" spans="1:27" ht="12.75" customHeight="1" x14ac:dyDescent="0.25">
      <c r="A292" s="79"/>
      <c r="B292" s="20"/>
      <c r="C292" s="82"/>
      <c r="D292" s="83"/>
      <c r="E292" s="79"/>
      <c r="F292" s="53"/>
      <c r="G292" s="54"/>
      <c r="H292" s="54"/>
      <c r="I292" s="7"/>
      <c r="J292" s="9"/>
      <c r="K292" s="21"/>
      <c r="L292" s="77"/>
      <c r="M292" s="77"/>
      <c r="N292" s="77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</row>
    <row r="293" spans="1:27" ht="12.75" customHeight="1" x14ac:dyDescent="0.25">
      <c r="A293" s="79"/>
      <c r="B293" s="20"/>
      <c r="C293" s="82"/>
      <c r="D293" s="83"/>
      <c r="E293" s="79"/>
      <c r="F293" s="53"/>
      <c r="G293" s="54"/>
      <c r="H293" s="54"/>
      <c r="I293" s="7"/>
      <c r="J293" s="9"/>
      <c r="K293" s="21"/>
      <c r="L293" s="77"/>
      <c r="M293" s="77"/>
      <c r="N293" s="77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</row>
    <row r="294" spans="1:27" ht="12.75" customHeight="1" x14ac:dyDescent="0.25">
      <c r="A294" s="79"/>
      <c r="B294" s="20"/>
      <c r="C294" s="82"/>
      <c r="D294" s="83"/>
      <c r="E294" s="79"/>
      <c r="F294" s="53"/>
      <c r="G294" s="54"/>
      <c r="H294" s="54"/>
      <c r="I294" s="7"/>
      <c r="J294" s="9"/>
      <c r="K294" s="21"/>
      <c r="L294" s="77"/>
      <c r="M294" s="77"/>
      <c r="N294" s="77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</row>
    <row r="295" spans="1:27" ht="12.75" customHeight="1" x14ac:dyDescent="0.25">
      <c r="A295" s="79"/>
      <c r="B295" s="20"/>
      <c r="C295" s="82"/>
      <c r="D295" s="83"/>
      <c r="E295" s="79"/>
      <c r="F295" s="53"/>
      <c r="G295" s="54"/>
      <c r="H295" s="54"/>
      <c r="I295" s="7"/>
      <c r="J295" s="9"/>
      <c r="K295" s="21"/>
      <c r="L295" s="77"/>
      <c r="M295" s="77"/>
      <c r="N295" s="77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</row>
    <row r="296" spans="1:27" ht="12.75" customHeight="1" x14ac:dyDescent="0.25">
      <c r="A296" s="79"/>
      <c r="B296" s="20"/>
      <c r="C296" s="82"/>
      <c r="D296" s="83"/>
      <c r="E296" s="79"/>
      <c r="F296" s="53"/>
      <c r="G296" s="54"/>
      <c r="H296" s="54"/>
      <c r="I296" s="7"/>
      <c r="J296" s="9"/>
      <c r="K296" s="21"/>
      <c r="L296" s="77"/>
      <c r="M296" s="77"/>
      <c r="N296" s="77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</row>
    <row r="297" spans="1:27" ht="12.75" customHeight="1" x14ac:dyDescent="0.25">
      <c r="A297" s="79"/>
      <c r="B297" s="20"/>
      <c r="C297" s="82"/>
      <c r="D297" s="83"/>
      <c r="E297" s="79"/>
      <c r="F297" s="53"/>
      <c r="G297" s="54"/>
      <c r="H297" s="54"/>
      <c r="I297" s="7"/>
      <c r="J297" s="9"/>
      <c r="K297" s="21"/>
      <c r="L297" s="77"/>
      <c r="M297" s="77"/>
      <c r="N297" s="77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</row>
    <row r="298" spans="1:27" ht="12.75" customHeight="1" x14ac:dyDescent="0.25">
      <c r="A298" s="79"/>
      <c r="B298" s="20"/>
      <c r="C298" s="82"/>
      <c r="D298" s="83"/>
      <c r="E298" s="79"/>
      <c r="F298" s="53"/>
      <c r="G298" s="54"/>
      <c r="H298" s="54"/>
      <c r="I298" s="7"/>
      <c r="J298" s="9"/>
      <c r="K298" s="21"/>
      <c r="L298" s="77"/>
      <c r="M298" s="77"/>
      <c r="N298" s="77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</row>
    <row r="299" spans="1:27" ht="12.75" customHeight="1" x14ac:dyDescent="0.25">
      <c r="A299" s="79"/>
      <c r="B299" s="20"/>
      <c r="C299" s="82"/>
      <c r="D299" s="83"/>
      <c r="E299" s="79"/>
      <c r="F299" s="53"/>
      <c r="G299" s="54"/>
      <c r="H299" s="54"/>
      <c r="I299" s="7"/>
      <c r="J299" s="9"/>
      <c r="K299" s="21"/>
      <c r="L299" s="77"/>
      <c r="M299" s="77"/>
      <c r="N299" s="77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</row>
    <row r="300" spans="1:27" ht="12.75" customHeight="1" x14ac:dyDescent="0.25">
      <c r="A300" s="79"/>
      <c r="B300" s="20"/>
      <c r="C300" s="82"/>
      <c r="D300" s="83"/>
      <c r="E300" s="79"/>
      <c r="F300" s="53"/>
      <c r="G300" s="54"/>
      <c r="H300" s="54"/>
      <c r="I300" s="7"/>
      <c r="J300" s="9"/>
      <c r="K300" s="21"/>
      <c r="L300" s="77"/>
      <c r="M300" s="77"/>
      <c r="N300" s="77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</row>
    <row r="301" spans="1:27" ht="12.75" customHeight="1" x14ac:dyDescent="0.25">
      <c r="A301" s="79"/>
      <c r="B301" s="20"/>
      <c r="C301" s="82"/>
      <c r="D301" s="83"/>
      <c r="E301" s="79"/>
      <c r="F301" s="53"/>
      <c r="G301" s="54"/>
      <c r="H301" s="54"/>
      <c r="I301" s="7"/>
      <c r="J301" s="9"/>
      <c r="K301" s="21"/>
      <c r="L301" s="77"/>
      <c r="M301" s="77"/>
      <c r="N301" s="77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</row>
    <row r="302" spans="1:27" ht="12.75" customHeight="1" x14ac:dyDescent="0.25">
      <c r="A302" s="79"/>
      <c r="B302" s="20"/>
      <c r="C302" s="82"/>
      <c r="D302" s="83"/>
      <c r="E302" s="79"/>
      <c r="F302" s="53"/>
      <c r="G302" s="54"/>
      <c r="H302" s="54"/>
      <c r="I302" s="7"/>
      <c r="J302" s="9"/>
      <c r="K302" s="21"/>
      <c r="L302" s="77"/>
      <c r="M302" s="77"/>
      <c r="N302" s="77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</row>
    <row r="303" spans="1:27" ht="12.75" customHeight="1" x14ac:dyDescent="0.25">
      <c r="A303" s="79"/>
      <c r="B303" s="20"/>
      <c r="C303" s="82"/>
      <c r="D303" s="83"/>
      <c r="E303" s="79"/>
      <c r="F303" s="53"/>
      <c r="G303" s="54"/>
      <c r="H303" s="54"/>
      <c r="I303" s="7"/>
      <c r="J303" s="9"/>
      <c r="K303" s="21"/>
      <c r="L303" s="77"/>
      <c r="M303" s="77"/>
      <c r="N303" s="77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</row>
    <row r="304" spans="1:27" ht="12.75" customHeight="1" x14ac:dyDescent="0.25">
      <c r="A304" s="79"/>
      <c r="B304" s="20"/>
      <c r="C304" s="82"/>
      <c r="D304" s="83"/>
      <c r="E304" s="79"/>
      <c r="F304" s="53"/>
      <c r="G304" s="54"/>
      <c r="H304" s="54"/>
      <c r="I304" s="7"/>
      <c r="J304" s="9"/>
      <c r="K304" s="21"/>
      <c r="L304" s="77"/>
      <c r="M304" s="77"/>
      <c r="N304" s="77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</row>
    <row r="305" spans="1:27" ht="12.75" customHeight="1" x14ac:dyDescent="0.25">
      <c r="A305" s="79"/>
      <c r="B305" s="20"/>
      <c r="C305" s="82"/>
      <c r="D305" s="83"/>
      <c r="E305" s="79"/>
      <c r="F305" s="53"/>
      <c r="G305" s="54"/>
      <c r="H305" s="54"/>
      <c r="I305" s="7"/>
      <c r="J305" s="9"/>
      <c r="K305" s="21"/>
      <c r="L305" s="77"/>
      <c r="M305" s="77"/>
      <c r="N305" s="77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</row>
    <row r="306" spans="1:27" ht="12.75" customHeight="1" x14ac:dyDescent="0.25">
      <c r="A306" s="79"/>
      <c r="B306" s="20"/>
      <c r="C306" s="82"/>
      <c r="D306" s="83"/>
      <c r="E306" s="79"/>
      <c r="F306" s="53"/>
      <c r="G306" s="54"/>
      <c r="H306" s="54"/>
      <c r="I306" s="7"/>
      <c r="J306" s="9"/>
      <c r="K306" s="21"/>
      <c r="L306" s="77"/>
      <c r="M306" s="77"/>
      <c r="N306" s="77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</row>
    <row r="307" spans="1:27" ht="12.75" customHeight="1" x14ac:dyDescent="0.25">
      <c r="A307" s="79"/>
      <c r="B307" s="20"/>
      <c r="C307" s="82"/>
      <c r="D307" s="83"/>
      <c r="E307" s="79"/>
      <c r="F307" s="53"/>
      <c r="G307" s="54"/>
      <c r="H307" s="54"/>
      <c r="I307" s="7"/>
      <c r="J307" s="9"/>
      <c r="K307" s="21"/>
      <c r="L307" s="77"/>
      <c r="M307" s="77"/>
      <c r="N307" s="77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</row>
    <row r="308" spans="1:27" ht="12.75" customHeight="1" x14ac:dyDescent="0.25">
      <c r="A308" s="79"/>
      <c r="B308" s="20"/>
      <c r="C308" s="82"/>
      <c r="D308" s="83"/>
      <c r="E308" s="79"/>
      <c r="F308" s="53"/>
      <c r="G308" s="54"/>
      <c r="H308" s="54"/>
      <c r="I308" s="7"/>
      <c r="J308" s="9"/>
      <c r="K308" s="21"/>
      <c r="L308" s="77"/>
      <c r="M308" s="77"/>
      <c r="N308" s="77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</row>
    <row r="309" spans="1:27" ht="12.75" customHeight="1" x14ac:dyDescent="0.25">
      <c r="A309" s="79"/>
      <c r="B309" s="20"/>
      <c r="C309" s="82"/>
      <c r="D309" s="83"/>
      <c r="E309" s="79"/>
      <c r="F309" s="53"/>
      <c r="G309" s="54"/>
      <c r="H309" s="54"/>
      <c r="I309" s="7"/>
      <c r="J309" s="9"/>
      <c r="K309" s="21"/>
      <c r="L309" s="77"/>
      <c r="M309" s="77"/>
      <c r="N309" s="77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</row>
    <row r="310" spans="1:27" ht="12.75" customHeight="1" x14ac:dyDescent="0.25">
      <c r="A310" s="79"/>
      <c r="B310" s="20"/>
      <c r="C310" s="82"/>
      <c r="D310" s="83"/>
      <c r="E310" s="79"/>
      <c r="F310" s="53"/>
      <c r="G310" s="54"/>
      <c r="H310" s="54"/>
      <c r="I310" s="7"/>
      <c r="J310" s="9"/>
      <c r="K310" s="21"/>
      <c r="L310" s="77"/>
      <c r="M310" s="77"/>
      <c r="N310" s="77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</row>
    <row r="311" spans="1:27" ht="12.75" customHeight="1" x14ac:dyDescent="0.25">
      <c r="A311" s="79"/>
      <c r="B311" s="20"/>
      <c r="C311" s="82"/>
      <c r="D311" s="83"/>
      <c r="E311" s="79"/>
      <c r="F311" s="53"/>
      <c r="G311" s="54"/>
      <c r="H311" s="54"/>
      <c r="I311" s="7"/>
      <c r="J311" s="9"/>
      <c r="K311" s="21"/>
      <c r="L311" s="77"/>
      <c r="M311" s="77"/>
      <c r="N311" s="77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</row>
    <row r="312" spans="1:27" ht="12.75" customHeight="1" x14ac:dyDescent="0.25">
      <c r="A312" s="79"/>
      <c r="B312" s="20"/>
      <c r="C312" s="82"/>
      <c r="D312" s="83"/>
      <c r="E312" s="79"/>
      <c r="F312" s="53"/>
      <c r="G312" s="54"/>
      <c r="H312" s="54"/>
      <c r="I312" s="7"/>
      <c r="J312" s="9"/>
      <c r="K312" s="21"/>
      <c r="L312" s="77"/>
      <c r="M312" s="77"/>
      <c r="N312" s="77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</row>
    <row r="313" spans="1:27" ht="12.75" customHeight="1" x14ac:dyDescent="0.25">
      <c r="A313" s="79"/>
      <c r="B313" s="20"/>
      <c r="C313" s="82"/>
      <c r="D313" s="83"/>
      <c r="E313" s="79"/>
      <c r="F313" s="53"/>
      <c r="G313" s="54"/>
      <c r="H313" s="54"/>
      <c r="I313" s="7"/>
      <c r="J313" s="9"/>
      <c r="K313" s="21"/>
      <c r="L313" s="77"/>
      <c r="M313" s="77"/>
      <c r="N313" s="77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</row>
    <row r="314" spans="1:27" ht="12.75" customHeight="1" x14ac:dyDescent="0.25">
      <c r="A314" s="79"/>
      <c r="B314" s="20"/>
      <c r="C314" s="82"/>
      <c r="D314" s="83"/>
      <c r="E314" s="79"/>
      <c r="F314" s="53"/>
      <c r="G314" s="54"/>
      <c r="H314" s="54"/>
      <c r="I314" s="7"/>
      <c r="J314" s="9"/>
      <c r="K314" s="21"/>
      <c r="L314" s="77"/>
      <c r="M314" s="77"/>
      <c r="N314" s="77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</row>
    <row r="315" spans="1:27" ht="12.75" customHeight="1" x14ac:dyDescent="0.25">
      <c r="A315" s="79"/>
      <c r="B315" s="20"/>
      <c r="C315" s="82"/>
      <c r="D315" s="83"/>
      <c r="E315" s="79"/>
      <c r="F315" s="53"/>
      <c r="G315" s="54"/>
      <c r="H315" s="54"/>
      <c r="I315" s="7"/>
      <c r="J315" s="9"/>
      <c r="K315" s="21"/>
      <c r="L315" s="77"/>
      <c r="M315" s="77"/>
      <c r="N315" s="77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</row>
    <row r="316" spans="1:27" ht="12.75" customHeight="1" x14ac:dyDescent="0.25">
      <c r="A316" s="79"/>
      <c r="B316" s="20"/>
      <c r="C316" s="82"/>
      <c r="D316" s="83"/>
      <c r="E316" s="79"/>
      <c r="F316" s="53"/>
      <c r="G316" s="54"/>
      <c r="H316" s="54"/>
      <c r="I316" s="7"/>
      <c r="J316" s="9"/>
      <c r="K316" s="21"/>
      <c r="L316" s="77"/>
      <c r="M316" s="77"/>
      <c r="N316" s="77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</row>
    <row r="317" spans="1:27" ht="12.75" customHeight="1" x14ac:dyDescent="0.25">
      <c r="A317" s="79"/>
      <c r="B317" s="20"/>
      <c r="C317" s="82"/>
      <c r="D317" s="83"/>
      <c r="E317" s="79"/>
      <c r="F317" s="53"/>
      <c r="G317" s="54"/>
      <c r="H317" s="54"/>
      <c r="I317" s="7"/>
      <c r="J317" s="9"/>
      <c r="K317" s="21"/>
      <c r="L317" s="77"/>
      <c r="M317" s="77"/>
      <c r="N317" s="77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</row>
    <row r="318" spans="1:27" ht="12.75" customHeight="1" x14ac:dyDescent="0.25">
      <c r="A318" s="79"/>
      <c r="B318" s="20"/>
      <c r="C318" s="82"/>
      <c r="D318" s="83"/>
      <c r="E318" s="79"/>
      <c r="F318" s="53"/>
      <c r="G318" s="54"/>
      <c r="H318" s="54"/>
      <c r="I318" s="7"/>
      <c r="J318" s="9"/>
      <c r="K318" s="21"/>
      <c r="L318" s="77"/>
      <c r="M318" s="77"/>
      <c r="N318" s="77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</row>
    <row r="319" spans="1:27" ht="12.75" customHeight="1" x14ac:dyDescent="0.25">
      <c r="A319" s="79"/>
      <c r="B319" s="20"/>
      <c r="C319" s="82"/>
      <c r="D319" s="83"/>
      <c r="E319" s="79"/>
      <c r="F319" s="53"/>
      <c r="G319" s="54"/>
      <c r="H319" s="54"/>
      <c r="I319" s="7"/>
      <c r="J319" s="9"/>
      <c r="K319" s="21"/>
      <c r="L319" s="77"/>
      <c r="M319" s="77"/>
      <c r="N319" s="77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</row>
    <row r="320" spans="1:27" ht="12.75" customHeight="1" x14ac:dyDescent="0.25">
      <c r="A320" s="79"/>
      <c r="B320" s="20"/>
      <c r="C320" s="82"/>
      <c r="D320" s="83"/>
      <c r="E320" s="79"/>
      <c r="F320" s="53"/>
      <c r="G320" s="54"/>
      <c r="H320" s="54"/>
      <c r="I320" s="7"/>
      <c r="J320" s="9"/>
      <c r="K320" s="21"/>
      <c r="L320" s="77"/>
      <c r="M320" s="77"/>
      <c r="N320" s="77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</row>
    <row r="321" spans="1:27" ht="12.75" customHeight="1" x14ac:dyDescent="0.25">
      <c r="A321" s="79"/>
      <c r="B321" s="20"/>
      <c r="C321" s="82"/>
      <c r="D321" s="83"/>
      <c r="E321" s="79"/>
      <c r="F321" s="53"/>
      <c r="G321" s="54"/>
      <c r="H321" s="54"/>
      <c r="I321" s="7"/>
      <c r="J321" s="9"/>
      <c r="K321" s="21"/>
      <c r="L321" s="77"/>
      <c r="M321" s="77"/>
      <c r="N321" s="77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</row>
    <row r="322" spans="1:27" ht="12.75" customHeight="1" x14ac:dyDescent="0.25">
      <c r="A322" s="79"/>
      <c r="B322" s="20"/>
      <c r="C322" s="82"/>
      <c r="D322" s="83"/>
      <c r="E322" s="79"/>
      <c r="F322" s="53"/>
      <c r="G322" s="54"/>
      <c r="H322" s="54"/>
      <c r="I322" s="7"/>
      <c r="J322" s="9"/>
      <c r="K322" s="21"/>
      <c r="L322" s="77"/>
      <c r="M322" s="77"/>
      <c r="N322" s="77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</row>
    <row r="323" spans="1:27" ht="12.75" customHeight="1" x14ac:dyDescent="0.25">
      <c r="A323" s="79"/>
      <c r="B323" s="20"/>
      <c r="C323" s="82"/>
      <c r="D323" s="83"/>
      <c r="E323" s="79"/>
      <c r="F323" s="53"/>
      <c r="G323" s="54"/>
      <c r="H323" s="54"/>
      <c r="I323" s="7"/>
      <c r="J323" s="9"/>
      <c r="K323" s="21"/>
      <c r="L323" s="77"/>
      <c r="M323" s="77"/>
      <c r="N323" s="77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</row>
    <row r="324" spans="1:27" ht="12.75" customHeight="1" x14ac:dyDescent="0.25">
      <c r="A324" s="79"/>
      <c r="B324" s="20"/>
      <c r="C324" s="82"/>
      <c r="D324" s="83"/>
      <c r="E324" s="79"/>
      <c r="F324" s="53"/>
      <c r="G324" s="54"/>
      <c r="H324" s="54"/>
      <c r="I324" s="7"/>
      <c r="J324" s="9"/>
      <c r="K324" s="21"/>
      <c r="L324" s="77"/>
      <c r="M324" s="77"/>
      <c r="N324" s="77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</row>
    <row r="325" spans="1:27" ht="12.75" customHeight="1" x14ac:dyDescent="0.25">
      <c r="A325" s="79"/>
      <c r="B325" s="20"/>
      <c r="C325" s="82"/>
      <c r="D325" s="83"/>
      <c r="E325" s="79"/>
      <c r="F325" s="53"/>
      <c r="G325" s="54"/>
      <c r="H325" s="54"/>
      <c r="I325" s="7"/>
      <c r="J325" s="9"/>
      <c r="K325" s="21"/>
      <c r="L325" s="77"/>
      <c r="M325" s="77"/>
      <c r="N325" s="77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</row>
    <row r="326" spans="1:27" ht="12.75" customHeight="1" x14ac:dyDescent="0.25">
      <c r="A326" s="79"/>
      <c r="B326" s="20"/>
      <c r="C326" s="82"/>
      <c r="D326" s="83"/>
      <c r="E326" s="79"/>
      <c r="F326" s="53"/>
      <c r="G326" s="54"/>
      <c r="H326" s="54"/>
      <c r="I326" s="7"/>
      <c r="J326" s="9"/>
      <c r="K326" s="21"/>
      <c r="L326" s="77"/>
      <c r="M326" s="77"/>
      <c r="N326" s="77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</row>
    <row r="327" spans="1:27" ht="12.75" customHeight="1" x14ac:dyDescent="0.25">
      <c r="A327" s="79"/>
      <c r="B327" s="20"/>
      <c r="C327" s="82"/>
      <c r="D327" s="83"/>
      <c r="E327" s="79"/>
      <c r="F327" s="53"/>
      <c r="G327" s="54"/>
      <c r="H327" s="54"/>
      <c r="I327" s="7"/>
      <c r="J327" s="9"/>
      <c r="K327" s="21"/>
      <c r="L327" s="77"/>
      <c r="M327" s="77"/>
      <c r="N327" s="77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</row>
    <row r="328" spans="1:27" ht="12.75" customHeight="1" x14ac:dyDescent="0.25">
      <c r="A328" s="79"/>
      <c r="B328" s="20"/>
      <c r="C328" s="82"/>
      <c r="D328" s="83"/>
      <c r="E328" s="79"/>
      <c r="F328" s="53"/>
      <c r="G328" s="54"/>
      <c r="H328" s="54"/>
      <c r="I328" s="7"/>
      <c r="J328" s="9"/>
      <c r="K328" s="21"/>
      <c r="L328" s="77"/>
      <c r="M328" s="77"/>
      <c r="N328" s="77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</row>
    <row r="329" spans="1:27" ht="12.75" customHeight="1" x14ac:dyDescent="0.25">
      <c r="A329" s="79"/>
      <c r="B329" s="20"/>
      <c r="C329" s="82"/>
      <c r="D329" s="83"/>
      <c r="E329" s="79"/>
      <c r="F329" s="53"/>
      <c r="G329" s="54"/>
      <c r="H329" s="54"/>
      <c r="I329" s="7"/>
      <c r="J329" s="9"/>
      <c r="K329" s="21"/>
      <c r="L329" s="77"/>
      <c r="M329" s="77"/>
      <c r="N329" s="77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</row>
    <row r="330" spans="1:27" ht="12.75" customHeight="1" x14ac:dyDescent="0.25">
      <c r="A330" s="79"/>
      <c r="B330" s="20"/>
      <c r="C330" s="82"/>
      <c r="D330" s="83"/>
      <c r="E330" s="79"/>
      <c r="F330" s="53"/>
      <c r="G330" s="54"/>
      <c r="H330" s="54"/>
      <c r="I330" s="7"/>
      <c r="J330" s="9"/>
      <c r="K330" s="21"/>
      <c r="L330" s="77"/>
      <c r="M330" s="77"/>
      <c r="N330" s="77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</row>
    <row r="331" spans="1:27" ht="12.75" customHeight="1" x14ac:dyDescent="0.25">
      <c r="A331" s="79"/>
      <c r="B331" s="20"/>
      <c r="C331" s="82"/>
      <c r="D331" s="83"/>
      <c r="E331" s="79"/>
      <c r="F331" s="53"/>
      <c r="G331" s="54"/>
      <c r="H331" s="54"/>
      <c r="I331" s="7"/>
      <c r="J331" s="9"/>
      <c r="K331" s="21"/>
      <c r="L331" s="77"/>
      <c r="M331" s="77"/>
      <c r="N331" s="77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</row>
    <row r="332" spans="1:27" ht="12.75" customHeight="1" x14ac:dyDescent="0.25">
      <c r="A332" s="79"/>
      <c r="B332" s="20"/>
      <c r="C332" s="82"/>
      <c r="D332" s="83"/>
      <c r="E332" s="79"/>
      <c r="F332" s="53"/>
      <c r="G332" s="54"/>
      <c r="H332" s="54"/>
      <c r="I332" s="7"/>
      <c r="J332" s="9"/>
      <c r="K332" s="21"/>
      <c r="L332" s="77"/>
      <c r="M332" s="77"/>
      <c r="N332" s="77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</row>
    <row r="333" spans="1:27" ht="12.75" customHeight="1" x14ac:dyDescent="0.25">
      <c r="A333" s="79"/>
      <c r="B333" s="20"/>
      <c r="C333" s="82"/>
      <c r="D333" s="83"/>
      <c r="E333" s="79"/>
      <c r="F333" s="53"/>
      <c r="G333" s="54"/>
      <c r="H333" s="54"/>
      <c r="I333" s="7"/>
      <c r="J333" s="9"/>
      <c r="K333" s="21"/>
      <c r="L333" s="77"/>
      <c r="M333" s="77"/>
      <c r="N333" s="77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</row>
    <row r="334" spans="1:27" ht="12.75" customHeight="1" x14ac:dyDescent="0.25">
      <c r="A334" s="79"/>
      <c r="B334" s="20"/>
      <c r="C334" s="82"/>
      <c r="D334" s="83"/>
      <c r="E334" s="79"/>
      <c r="F334" s="53"/>
      <c r="G334" s="54"/>
      <c r="H334" s="54"/>
      <c r="I334" s="7"/>
      <c r="J334" s="9"/>
      <c r="K334" s="21"/>
      <c r="L334" s="77"/>
      <c r="M334" s="77"/>
      <c r="N334" s="77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</row>
    <row r="335" spans="1:27" ht="12.75" customHeight="1" x14ac:dyDescent="0.25">
      <c r="A335" s="79"/>
      <c r="B335" s="20"/>
      <c r="C335" s="82"/>
      <c r="D335" s="83"/>
      <c r="E335" s="79"/>
      <c r="F335" s="53"/>
      <c r="G335" s="54"/>
      <c r="H335" s="54"/>
      <c r="I335" s="7"/>
      <c r="J335" s="9"/>
      <c r="K335" s="21"/>
      <c r="L335" s="77"/>
      <c r="M335" s="77"/>
      <c r="N335" s="77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</row>
    <row r="336" spans="1:27" ht="12.75" customHeight="1" x14ac:dyDescent="0.25">
      <c r="A336" s="79"/>
      <c r="B336" s="20"/>
      <c r="C336" s="82"/>
      <c r="D336" s="83"/>
      <c r="E336" s="79"/>
      <c r="F336" s="53"/>
      <c r="G336" s="54"/>
      <c r="H336" s="54"/>
      <c r="I336" s="7"/>
      <c r="J336" s="9"/>
      <c r="K336" s="21"/>
      <c r="L336" s="77"/>
      <c r="M336" s="77"/>
      <c r="N336" s="77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</row>
    <row r="337" spans="1:27" ht="12.75" customHeight="1" x14ac:dyDescent="0.25">
      <c r="A337" s="79"/>
      <c r="B337" s="20"/>
      <c r="C337" s="82"/>
      <c r="D337" s="83"/>
      <c r="E337" s="79"/>
      <c r="F337" s="53"/>
      <c r="G337" s="54"/>
      <c r="H337" s="54"/>
      <c r="I337" s="7"/>
      <c r="J337" s="9"/>
      <c r="K337" s="21"/>
      <c r="L337" s="77"/>
      <c r="M337" s="77"/>
      <c r="N337" s="77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</row>
    <row r="338" spans="1:27" ht="12.75" customHeight="1" x14ac:dyDescent="0.25">
      <c r="A338" s="79"/>
      <c r="B338" s="20"/>
      <c r="C338" s="82"/>
      <c r="D338" s="83"/>
      <c r="E338" s="79"/>
      <c r="F338" s="53"/>
      <c r="G338" s="54"/>
      <c r="H338" s="54"/>
      <c r="I338" s="7"/>
      <c r="J338" s="9"/>
      <c r="K338" s="21"/>
      <c r="L338" s="77"/>
      <c r="M338" s="77"/>
      <c r="N338" s="77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</row>
    <row r="339" spans="1:27" ht="12.75" customHeight="1" x14ac:dyDescent="0.25">
      <c r="A339" s="79"/>
      <c r="B339" s="20"/>
      <c r="C339" s="82"/>
      <c r="D339" s="83"/>
      <c r="E339" s="79"/>
      <c r="F339" s="53"/>
      <c r="G339" s="54"/>
      <c r="H339" s="54"/>
      <c r="I339" s="7"/>
      <c r="J339" s="9"/>
      <c r="K339" s="21"/>
      <c r="L339" s="77"/>
      <c r="M339" s="77"/>
      <c r="N339" s="77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</row>
    <row r="340" spans="1:27" ht="12.75" customHeight="1" x14ac:dyDescent="0.25">
      <c r="A340" s="79"/>
      <c r="B340" s="20"/>
      <c r="C340" s="82"/>
      <c r="D340" s="83"/>
      <c r="E340" s="79"/>
      <c r="F340" s="53"/>
      <c r="G340" s="54"/>
      <c r="H340" s="54"/>
      <c r="I340" s="7"/>
      <c r="J340" s="9"/>
      <c r="K340" s="21"/>
      <c r="L340" s="77"/>
      <c r="M340" s="77"/>
      <c r="N340" s="77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</row>
    <row r="341" spans="1:27" ht="12.75" customHeight="1" x14ac:dyDescent="0.25">
      <c r="A341" s="79"/>
      <c r="B341" s="20"/>
      <c r="C341" s="82"/>
      <c r="D341" s="83"/>
      <c r="E341" s="79"/>
      <c r="F341" s="53"/>
      <c r="G341" s="54"/>
      <c r="H341" s="54"/>
      <c r="I341" s="7"/>
      <c r="J341" s="9"/>
      <c r="K341" s="21"/>
      <c r="L341" s="77"/>
      <c r="M341" s="77"/>
      <c r="N341" s="77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</row>
    <row r="342" spans="1:27" ht="12.75" customHeight="1" x14ac:dyDescent="0.25">
      <c r="A342" s="79"/>
      <c r="B342" s="20"/>
      <c r="C342" s="82"/>
      <c r="D342" s="83"/>
      <c r="E342" s="79"/>
      <c r="F342" s="53"/>
      <c r="G342" s="54"/>
      <c r="H342" s="54"/>
      <c r="I342" s="7"/>
      <c r="J342" s="9"/>
      <c r="K342" s="21"/>
      <c r="L342" s="77"/>
      <c r="M342" s="77"/>
      <c r="N342" s="77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</row>
    <row r="343" spans="1:27" ht="12.75" customHeight="1" x14ac:dyDescent="0.25">
      <c r="A343" s="79"/>
      <c r="B343" s="20"/>
      <c r="C343" s="82"/>
      <c r="D343" s="83"/>
      <c r="E343" s="79"/>
      <c r="F343" s="53"/>
      <c r="G343" s="54"/>
      <c r="H343" s="54"/>
      <c r="I343" s="7"/>
      <c r="J343" s="9"/>
      <c r="K343" s="21"/>
      <c r="L343" s="77"/>
      <c r="M343" s="77"/>
      <c r="N343" s="77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</row>
    <row r="344" spans="1:27" ht="12.75" customHeight="1" x14ac:dyDescent="0.25">
      <c r="A344" s="79"/>
      <c r="B344" s="20"/>
      <c r="C344" s="82"/>
      <c r="D344" s="83"/>
      <c r="E344" s="79"/>
      <c r="F344" s="53"/>
      <c r="G344" s="54"/>
      <c r="H344" s="54"/>
      <c r="I344" s="7"/>
      <c r="J344" s="9"/>
      <c r="K344" s="21"/>
      <c r="L344" s="77"/>
      <c r="M344" s="77"/>
      <c r="N344" s="77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</row>
    <row r="345" spans="1:27" ht="12.75" customHeight="1" x14ac:dyDescent="0.25">
      <c r="A345" s="79"/>
      <c r="B345" s="20"/>
      <c r="C345" s="82"/>
      <c r="D345" s="83"/>
      <c r="E345" s="79"/>
      <c r="F345" s="53"/>
      <c r="G345" s="54"/>
      <c r="H345" s="54"/>
      <c r="I345" s="7"/>
      <c r="J345" s="9"/>
      <c r="K345" s="21"/>
      <c r="L345" s="77"/>
      <c r="M345" s="77"/>
      <c r="N345" s="77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</row>
    <row r="346" spans="1:27" ht="12.75" customHeight="1" x14ac:dyDescent="0.25">
      <c r="A346" s="79"/>
      <c r="B346" s="20"/>
      <c r="C346" s="82"/>
      <c r="D346" s="83"/>
      <c r="E346" s="79"/>
      <c r="F346" s="53"/>
      <c r="G346" s="54"/>
      <c r="H346" s="54"/>
      <c r="I346" s="7"/>
      <c r="J346" s="9"/>
      <c r="K346" s="21"/>
      <c r="L346" s="77"/>
      <c r="M346" s="77"/>
      <c r="N346" s="77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</row>
    <row r="347" spans="1:27" ht="12.75" customHeight="1" x14ac:dyDescent="0.25">
      <c r="A347" s="79"/>
      <c r="B347" s="20"/>
      <c r="C347" s="82"/>
      <c r="D347" s="83"/>
      <c r="E347" s="79"/>
      <c r="F347" s="53"/>
      <c r="G347" s="54"/>
      <c r="H347" s="54"/>
      <c r="I347" s="7"/>
      <c r="J347" s="9"/>
      <c r="K347" s="21"/>
      <c r="L347" s="77"/>
      <c r="M347" s="77"/>
      <c r="N347" s="77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</row>
    <row r="348" spans="1:27" ht="12.75" customHeight="1" x14ac:dyDescent="0.25">
      <c r="A348" s="79"/>
      <c r="B348" s="20"/>
      <c r="C348" s="82"/>
      <c r="D348" s="83"/>
      <c r="E348" s="79"/>
      <c r="F348" s="53"/>
      <c r="G348" s="54"/>
      <c r="H348" s="54"/>
      <c r="I348" s="7"/>
      <c r="J348" s="9"/>
      <c r="K348" s="21"/>
      <c r="L348" s="77"/>
      <c r="M348" s="77"/>
      <c r="N348" s="77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</row>
    <row r="349" spans="1:27" ht="12.75" customHeight="1" x14ac:dyDescent="0.25">
      <c r="A349" s="79"/>
      <c r="B349" s="20"/>
      <c r="C349" s="82"/>
      <c r="D349" s="83"/>
      <c r="E349" s="79"/>
      <c r="F349" s="53"/>
      <c r="G349" s="54"/>
      <c r="H349" s="54"/>
      <c r="I349" s="7"/>
      <c r="J349" s="9"/>
      <c r="K349" s="21"/>
      <c r="L349" s="77"/>
      <c r="M349" s="77"/>
      <c r="N349" s="77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</row>
    <row r="350" spans="1:27" ht="12.75" customHeight="1" x14ac:dyDescent="0.25">
      <c r="A350" s="79"/>
      <c r="B350" s="20"/>
      <c r="C350" s="82"/>
      <c r="D350" s="83"/>
      <c r="E350" s="79"/>
      <c r="F350" s="53"/>
      <c r="G350" s="54"/>
      <c r="H350" s="54"/>
      <c r="I350" s="7"/>
      <c r="J350" s="9"/>
      <c r="K350" s="21"/>
      <c r="L350" s="77"/>
      <c r="M350" s="77"/>
      <c r="N350" s="77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</row>
    <row r="351" spans="1:27" ht="12.75" customHeight="1" x14ac:dyDescent="0.25">
      <c r="A351" s="79"/>
      <c r="B351" s="20"/>
      <c r="C351" s="82"/>
      <c r="D351" s="83"/>
      <c r="E351" s="79"/>
      <c r="F351" s="53"/>
      <c r="G351" s="54"/>
      <c r="H351" s="54"/>
      <c r="I351" s="7"/>
      <c r="J351" s="9"/>
      <c r="K351" s="21"/>
      <c r="L351" s="77"/>
      <c r="M351" s="77"/>
      <c r="N351" s="77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</row>
    <row r="352" spans="1:27" ht="12.75" customHeight="1" x14ac:dyDescent="0.25">
      <c r="A352" s="79"/>
      <c r="B352" s="20"/>
      <c r="C352" s="82"/>
      <c r="D352" s="83"/>
      <c r="E352" s="79"/>
      <c r="F352" s="53"/>
      <c r="G352" s="54"/>
      <c r="H352" s="54"/>
      <c r="I352" s="7"/>
      <c r="J352" s="9"/>
      <c r="K352" s="21"/>
      <c r="L352" s="77"/>
      <c r="M352" s="77"/>
      <c r="N352" s="77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</row>
    <row r="353" spans="1:27" ht="12.75" customHeight="1" x14ac:dyDescent="0.25">
      <c r="A353" s="79"/>
      <c r="B353" s="20"/>
      <c r="C353" s="82"/>
      <c r="D353" s="83"/>
      <c r="E353" s="79"/>
      <c r="F353" s="53"/>
      <c r="G353" s="54"/>
      <c r="H353" s="54"/>
      <c r="I353" s="7"/>
      <c r="J353" s="9"/>
      <c r="K353" s="21"/>
      <c r="L353" s="77"/>
      <c r="M353" s="77"/>
      <c r="N353" s="77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</row>
    <row r="354" spans="1:27" ht="12.75" customHeight="1" x14ac:dyDescent="0.25">
      <c r="A354" s="79"/>
      <c r="B354" s="20"/>
      <c r="C354" s="82"/>
      <c r="D354" s="83"/>
      <c r="E354" s="79"/>
      <c r="F354" s="53"/>
      <c r="G354" s="54"/>
      <c r="H354" s="54"/>
      <c r="I354" s="7"/>
      <c r="J354" s="9"/>
      <c r="K354" s="21"/>
      <c r="L354" s="77"/>
      <c r="M354" s="77"/>
      <c r="N354" s="77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</row>
    <row r="355" spans="1:27" ht="12.75" customHeight="1" x14ac:dyDescent="0.25">
      <c r="A355" s="79"/>
      <c r="B355" s="20"/>
      <c r="C355" s="82"/>
      <c r="D355" s="83"/>
      <c r="E355" s="79"/>
      <c r="F355" s="53"/>
      <c r="G355" s="54"/>
      <c r="H355" s="54"/>
      <c r="I355" s="7"/>
      <c r="J355" s="9"/>
      <c r="K355" s="21"/>
      <c r="L355" s="77"/>
      <c r="M355" s="77"/>
      <c r="N355" s="77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</row>
    <row r="356" spans="1:27" ht="12.75" customHeight="1" x14ac:dyDescent="0.25">
      <c r="A356" s="79"/>
      <c r="B356" s="20"/>
      <c r="C356" s="82"/>
      <c r="D356" s="83"/>
      <c r="E356" s="79"/>
      <c r="F356" s="53"/>
      <c r="G356" s="54"/>
      <c r="H356" s="54"/>
      <c r="I356" s="7"/>
      <c r="J356" s="9"/>
      <c r="K356" s="21"/>
      <c r="L356" s="77"/>
      <c r="M356" s="77"/>
      <c r="N356" s="77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</row>
    <row r="357" spans="1:27" ht="12.75" customHeight="1" x14ac:dyDescent="0.25">
      <c r="A357" s="79"/>
      <c r="B357" s="20"/>
      <c r="C357" s="82"/>
      <c r="D357" s="83"/>
      <c r="E357" s="79"/>
      <c r="F357" s="53"/>
      <c r="G357" s="54"/>
      <c r="H357" s="54"/>
      <c r="I357" s="7"/>
      <c r="J357" s="9"/>
      <c r="K357" s="21"/>
      <c r="L357" s="77"/>
      <c r="M357" s="77"/>
      <c r="N357" s="77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</row>
    <row r="358" spans="1:27" ht="12.75" customHeight="1" x14ac:dyDescent="0.25">
      <c r="A358" s="79"/>
      <c r="B358" s="20"/>
      <c r="C358" s="82"/>
      <c r="D358" s="83"/>
      <c r="E358" s="79"/>
      <c r="F358" s="53"/>
      <c r="G358" s="54"/>
      <c r="H358" s="54"/>
      <c r="I358" s="7"/>
      <c r="J358" s="9"/>
      <c r="K358" s="21"/>
      <c r="L358" s="77"/>
      <c r="M358" s="77"/>
      <c r="N358" s="77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</row>
    <row r="359" spans="1:27" ht="12.75" customHeight="1" x14ac:dyDescent="0.25">
      <c r="A359" s="79"/>
      <c r="B359" s="20"/>
      <c r="C359" s="82"/>
      <c r="D359" s="83"/>
      <c r="E359" s="79"/>
      <c r="F359" s="53"/>
      <c r="G359" s="54"/>
      <c r="H359" s="54"/>
      <c r="I359" s="7"/>
      <c r="J359" s="9"/>
      <c r="K359" s="21"/>
      <c r="L359" s="77"/>
      <c r="M359" s="77"/>
      <c r="N359" s="77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</row>
    <row r="360" spans="1:27" ht="12.75" customHeight="1" x14ac:dyDescent="0.25">
      <c r="A360" s="79"/>
      <c r="B360" s="20"/>
      <c r="C360" s="82"/>
      <c r="D360" s="83"/>
      <c r="E360" s="79"/>
      <c r="F360" s="53"/>
      <c r="G360" s="54"/>
      <c r="H360" s="54"/>
      <c r="I360" s="7"/>
      <c r="J360" s="9"/>
      <c r="K360" s="21"/>
      <c r="L360" s="77"/>
      <c r="M360" s="77"/>
      <c r="N360" s="77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</row>
    <row r="361" spans="1:27" ht="12.75" customHeight="1" x14ac:dyDescent="0.25">
      <c r="A361" s="79"/>
      <c r="B361" s="20"/>
      <c r="C361" s="82"/>
      <c r="D361" s="83"/>
      <c r="E361" s="79"/>
      <c r="F361" s="53"/>
      <c r="G361" s="54"/>
      <c r="H361" s="54"/>
      <c r="I361" s="7"/>
      <c r="J361" s="9"/>
      <c r="K361" s="21"/>
      <c r="L361" s="77"/>
      <c r="M361" s="77"/>
      <c r="N361" s="77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</row>
    <row r="362" spans="1:27" ht="12.75" customHeight="1" x14ac:dyDescent="0.25">
      <c r="A362" s="79"/>
      <c r="B362" s="20"/>
      <c r="C362" s="82"/>
      <c r="D362" s="83"/>
      <c r="E362" s="79"/>
      <c r="F362" s="53"/>
      <c r="G362" s="54"/>
      <c r="H362" s="54"/>
      <c r="I362" s="7"/>
      <c r="J362" s="9"/>
      <c r="K362" s="21"/>
      <c r="L362" s="77"/>
      <c r="M362" s="77"/>
      <c r="N362" s="77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</row>
    <row r="363" spans="1:27" ht="12.75" customHeight="1" x14ac:dyDescent="0.25">
      <c r="A363" s="79"/>
      <c r="B363" s="20"/>
      <c r="C363" s="82"/>
      <c r="D363" s="83"/>
      <c r="E363" s="79"/>
      <c r="F363" s="53"/>
      <c r="G363" s="54"/>
      <c r="H363" s="54"/>
      <c r="I363" s="7"/>
      <c r="J363" s="9"/>
      <c r="K363" s="21"/>
      <c r="L363" s="77"/>
      <c r="M363" s="77"/>
      <c r="N363" s="77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</row>
    <row r="364" spans="1:27" ht="12.75" customHeight="1" x14ac:dyDescent="0.25">
      <c r="A364" s="79"/>
      <c r="B364" s="20"/>
      <c r="C364" s="82"/>
      <c r="D364" s="83"/>
      <c r="E364" s="79"/>
      <c r="F364" s="53"/>
      <c r="G364" s="54"/>
      <c r="H364" s="54"/>
      <c r="I364" s="7"/>
      <c r="J364" s="9"/>
      <c r="K364" s="21"/>
      <c r="L364" s="77"/>
      <c r="M364" s="77"/>
      <c r="N364" s="77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</row>
    <row r="365" spans="1:27" ht="12.75" customHeight="1" x14ac:dyDescent="0.25">
      <c r="A365" s="79"/>
      <c r="B365" s="20"/>
      <c r="C365" s="82"/>
      <c r="D365" s="83"/>
      <c r="E365" s="79"/>
      <c r="F365" s="53"/>
      <c r="G365" s="54"/>
      <c r="H365" s="54"/>
      <c r="I365" s="7"/>
      <c r="J365" s="9"/>
      <c r="K365" s="21"/>
      <c r="L365" s="77"/>
      <c r="M365" s="77"/>
      <c r="N365" s="77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</row>
    <row r="366" spans="1:27" ht="12.75" customHeight="1" x14ac:dyDescent="0.25">
      <c r="A366" s="79"/>
      <c r="B366" s="20"/>
      <c r="C366" s="82"/>
      <c r="D366" s="83"/>
      <c r="E366" s="79"/>
      <c r="F366" s="53"/>
      <c r="G366" s="54"/>
      <c r="H366" s="54"/>
      <c r="I366" s="7"/>
      <c r="J366" s="9"/>
      <c r="K366" s="21"/>
      <c r="L366" s="77"/>
      <c r="M366" s="77"/>
      <c r="N366" s="77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</row>
    <row r="367" spans="1:27" ht="12.75" customHeight="1" x14ac:dyDescent="0.25">
      <c r="A367" s="79"/>
      <c r="B367" s="20"/>
      <c r="C367" s="82"/>
      <c r="D367" s="83"/>
      <c r="E367" s="79"/>
      <c r="F367" s="53"/>
      <c r="G367" s="54"/>
      <c r="H367" s="54"/>
      <c r="I367" s="7"/>
      <c r="J367" s="9"/>
      <c r="K367" s="21"/>
      <c r="L367" s="77"/>
      <c r="M367" s="77"/>
      <c r="N367" s="77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</row>
    <row r="368" spans="1:27" ht="12.75" customHeight="1" x14ac:dyDescent="0.25">
      <c r="A368" s="79"/>
      <c r="B368" s="20"/>
      <c r="C368" s="82"/>
      <c r="D368" s="83"/>
      <c r="E368" s="79"/>
      <c r="F368" s="53"/>
      <c r="G368" s="54"/>
      <c r="H368" s="54"/>
      <c r="I368" s="7"/>
      <c r="J368" s="9"/>
      <c r="K368" s="21"/>
      <c r="L368" s="77"/>
      <c r="M368" s="77"/>
      <c r="N368" s="77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</row>
    <row r="369" spans="1:27" ht="12.75" customHeight="1" x14ac:dyDescent="0.25">
      <c r="A369" s="79"/>
      <c r="B369" s="20"/>
      <c r="C369" s="82"/>
      <c r="D369" s="83"/>
      <c r="E369" s="79"/>
      <c r="F369" s="53"/>
      <c r="G369" s="54"/>
      <c r="H369" s="54"/>
      <c r="I369" s="7"/>
      <c r="J369" s="9"/>
      <c r="K369" s="21"/>
      <c r="L369" s="77"/>
      <c r="M369" s="77"/>
      <c r="N369" s="77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</row>
    <row r="370" spans="1:27" ht="12.75" customHeight="1" x14ac:dyDescent="0.25">
      <c r="A370" s="79"/>
      <c r="B370" s="20"/>
      <c r="C370" s="82"/>
      <c r="D370" s="83"/>
      <c r="E370" s="79"/>
      <c r="F370" s="53"/>
      <c r="G370" s="54"/>
      <c r="H370" s="54"/>
      <c r="I370" s="7"/>
      <c r="J370" s="9"/>
      <c r="K370" s="21"/>
      <c r="L370" s="77"/>
      <c r="M370" s="77"/>
      <c r="N370" s="77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</row>
    <row r="371" spans="1:27" ht="12.75" customHeight="1" x14ac:dyDescent="0.25">
      <c r="A371" s="79"/>
      <c r="B371" s="20"/>
      <c r="C371" s="82"/>
      <c r="D371" s="83"/>
      <c r="E371" s="79"/>
      <c r="F371" s="53"/>
      <c r="G371" s="54"/>
      <c r="H371" s="54"/>
      <c r="I371" s="7"/>
      <c r="J371" s="9"/>
      <c r="K371" s="21"/>
      <c r="L371" s="77"/>
      <c r="M371" s="77"/>
      <c r="N371" s="77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</row>
    <row r="372" spans="1:27" ht="12.75" customHeight="1" x14ac:dyDescent="0.25">
      <c r="A372" s="79"/>
      <c r="B372" s="20"/>
      <c r="C372" s="82"/>
      <c r="D372" s="83"/>
      <c r="E372" s="79"/>
      <c r="F372" s="53"/>
      <c r="G372" s="54"/>
      <c r="H372" s="54"/>
      <c r="I372" s="7"/>
      <c r="J372" s="9"/>
      <c r="K372" s="21"/>
      <c r="L372" s="77"/>
      <c r="M372" s="77"/>
      <c r="N372" s="77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</row>
    <row r="373" spans="1:27" ht="12.75" customHeight="1" x14ac:dyDescent="0.25">
      <c r="A373" s="79"/>
      <c r="B373" s="20"/>
      <c r="C373" s="82"/>
      <c r="D373" s="83"/>
      <c r="E373" s="79"/>
      <c r="F373" s="53"/>
      <c r="G373" s="54"/>
      <c r="H373" s="54"/>
      <c r="I373" s="7"/>
      <c r="J373" s="9"/>
      <c r="K373" s="21"/>
      <c r="L373" s="77"/>
      <c r="M373" s="77"/>
      <c r="N373" s="77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</row>
    <row r="374" spans="1:27" ht="12.75" customHeight="1" x14ac:dyDescent="0.25">
      <c r="A374" s="79"/>
      <c r="B374" s="20"/>
      <c r="C374" s="82"/>
      <c r="D374" s="83"/>
      <c r="E374" s="79"/>
      <c r="F374" s="53"/>
      <c r="G374" s="54"/>
      <c r="H374" s="54"/>
      <c r="I374" s="7"/>
      <c r="J374" s="9"/>
      <c r="K374" s="21"/>
      <c r="L374" s="77"/>
      <c r="M374" s="77"/>
      <c r="N374" s="77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</row>
    <row r="375" spans="1:27" ht="12.75" customHeight="1" x14ac:dyDescent="0.25">
      <c r="A375" s="79"/>
      <c r="B375" s="20"/>
      <c r="C375" s="82"/>
      <c r="D375" s="83"/>
      <c r="E375" s="79"/>
      <c r="F375" s="53"/>
      <c r="G375" s="54"/>
      <c r="H375" s="54"/>
      <c r="I375" s="7"/>
      <c r="J375" s="9"/>
      <c r="K375" s="21"/>
      <c r="L375" s="77"/>
      <c r="M375" s="77"/>
      <c r="N375" s="77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</row>
    <row r="376" spans="1:27" ht="12.75" customHeight="1" x14ac:dyDescent="0.25">
      <c r="A376" s="79"/>
      <c r="B376" s="20"/>
      <c r="C376" s="82"/>
      <c r="D376" s="83"/>
      <c r="E376" s="79"/>
      <c r="F376" s="53"/>
      <c r="G376" s="54"/>
      <c r="H376" s="54"/>
      <c r="I376" s="7"/>
      <c r="J376" s="9"/>
      <c r="K376" s="21"/>
      <c r="L376" s="77"/>
      <c r="M376" s="77"/>
      <c r="N376" s="77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</row>
    <row r="377" spans="1:27" ht="12.75" customHeight="1" x14ac:dyDescent="0.25">
      <c r="A377" s="79"/>
      <c r="B377" s="20"/>
      <c r="C377" s="82"/>
      <c r="D377" s="83"/>
      <c r="E377" s="79"/>
      <c r="F377" s="53"/>
      <c r="G377" s="54"/>
      <c r="H377" s="54"/>
      <c r="I377" s="7"/>
      <c r="J377" s="9"/>
      <c r="K377" s="21"/>
      <c r="L377" s="77"/>
      <c r="M377" s="77"/>
      <c r="N377" s="77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</row>
    <row r="378" spans="1:27" ht="12.75" customHeight="1" x14ac:dyDescent="0.25">
      <c r="A378" s="79"/>
      <c r="B378" s="20"/>
      <c r="C378" s="82"/>
      <c r="D378" s="83"/>
      <c r="E378" s="79"/>
      <c r="F378" s="53"/>
      <c r="G378" s="54"/>
      <c r="H378" s="54"/>
      <c r="I378" s="7"/>
      <c r="J378" s="9"/>
      <c r="K378" s="21"/>
      <c r="L378" s="77"/>
      <c r="M378" s="77"/>
      <c r="N378" s="77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</row>
    <row r="379" spans="1:27" ht="12.75" customHeight="1" x14ac:dyDescent="0.25">
      <c r="A379" s="79"/>
      <c r="B379" s="20"/>
      <c r="C379" s="82"/>
      <c r="D379" s="83"/>
      <c r="E379" s="79"/>
      <c r="F379" s="53"/>
      <c r="G379" s="54"/>
      <c r="H379" s="54"/>
      <c r="I379" s="7"/>
      <c r="J379" s="9"/>
      <c r="K379" s="21"/>
      <c r="L379" s="77"/>
      <c r="M379" s="77"/>
      <c r="N379" s="77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</row>
    <row r="380" spans="1:27" ht="12.75" customHeight="1" x14ac:dyDescent="0.25">
      <c r="A380" s="79"/>
      <c r="B380" s="20"/>
      <c r="C380" s="82"/>
      <c r="D380" s="83"/>
      <c r="E380" s="79"/>
      <c r="F380" s="53"/>
      <c r="G380" s="54"/>
      <c r="H380" s="54"/>
      <c r="I380" s="7"/>
      <c r="J380" s="9"/>
      <c r="K380" s="21"/>
      <c r="L380" s="77"/>
      <c r="M380" s="77"/>
      <c r="N380" s="77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</row>
    <row r="381" spans="1:27" ht="12.75" customHeight="1" x14ac:dyDescent="0.25">
      <c r="A381" s="79"/>
      <c r="B381" s="20"/>
      <c r="C381" s="82"/>
      <c r="D381" s="83"/>
      <c r="E381" s="79"/>
      <c r="F381" s="53"/>
      <c r="G381" s="54"/>
      <c r="H381" s="54"/>
      <c r="I381" s="7"/>
      <c r="J381" s="9"/>
      <c r="K381" s="21"/>
      <c r="L381" s="77"/>
      <c r="M381" s="77"/>
      <c r="N381" s="77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</row>
    <row r="382" spans="1:27" ht="12.75" customHeight="1" x14ac:dyDescent="0.25">
      <c r="A382" s="79"/>
      <c r="B382" s="20"/>
      <c r="C382" s="82"/>
      <c r="D382" s="83"/>
      <c r="E382" s="79"/>
      <c r="F382" s="53"/>
      <c r="G382" s="54"/>
      <c r="H382" s="54"/>
      <c r="I382" s="7"/>
      <c r="J382" s="9"/>
      <c r="K382" s="21"/>
      <c r="L382" s="77"/>
      <c r="M382" s="77"/>
      <c r="N382" s="77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</row>
    <row r="383" spans="1:27" ht="12.75" customHeight="1" x14ac:dyDescent="0.25">
      <c r="A383" s="79"/>
      <c r="B383" s="20"/>
      <c r="C383" s="82"/>
      <c r="D383" s="83"/>
      <c r="E383" s="79"/>
      <c r="F383" s="53"/>
      <c r="G383" s="54"/>
      <c r="H383" s="54"/>
      <c r="I383" s="7"/>
      <c r="J383" s="9"/>
      <c r="K383" s="21"/>
      <c r="L383" s="77"/>
      <c r="M383" s="77"/>
      <c r="N383" s="77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</row>
    <row r="384" spans="1:27" ht="12.75" customHeight="1" x14ac:dyDescent="0.25">
      <c r="A384" s="79"/>
      <c r="B384" s="20"/>
      <c r="C384" s="82"/>
      <c r="D384" s="83"/>
      <c r="E384" s="79"/>
      <c r="F384" s="53"/>
      <c r="G384" s="54"/>
      <c r="H384" s="54"/>
      <c r="I384" s="7"/>
      <c r="J384" s="9"/>
      <c r="K384" s="21"/>
      <c r="L384" s="77"/>
      <c r="M384" s="77"/>
      <c r="N384" s="77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</row>
    <row r="385" spans="1:27" ht="12.75" customHeight="1" x14ac:dyDescent="0.25">
      <c r="A385" s="79"/>
      <c r="B385" s="20"/>
      <c r="C385" s="82"/>
      <c r="D385" s="83"/>
      <c r="E385" s="79"/>
      <c r="F385" s="53"/>
      <c r="G385" s="54"/>
      <c r="H385" s="54"/>
      <c r="I385" s="7"/>
      <c r="J385" s="9"/>
      <c r="K385" s="21"/>
      <c r="L385" s="77"/>
      <c r="M385" s="77"/>
      <c r="N385" s="77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</row>
    <row r="386" spans="1:27" ht="12.75" customHeight="1" x14ac:dyDescent="0.25">
      <c r="A386" s="79"/>
      <c r="B386" s="20"/>
      <c r="C386" s="82"/>
      <c r="D386" s="83"/>
      <c r="E386" s="79"/>
      <c r="F386" s="53"/>
      <c r="G386" s="54"/>
      <c r="H386" s="54"/>
      <c r="I386" s="7"/>
      <c r="J386" s="9"/>
      <c r="K386" s="21"/>
      <c r="L386" s="77"/>
      <c r="M386" s="77"/>
      <c r="N386" s="77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</row>
    <row r="387" spans="1:27" ht="12.75" customHeight="1" x14ac:dyDescent="0.25">
      <c r="A387" s="79"/>
      <c r="B387" s="20"/>
      <c r="C387" s="82"/>
      <c r="D387" s="83"/>
      <c r="E387" s="79"/>
      <c r="F387" s="53"/>
      <c r="G387" s="54"/>
      <c r="H387" s="54"/>
      <c r="I387" s="7"/>
      <c r="J387" s="9"/>
      <c r="K387" s="21"/>
      <c r="L387" s="77"/>
      <c r="M387" s="77"/>
      <c r="N387" s="77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</row>
    <row r="388" spans="1:27" ht="12.75" customHeight="1" x14ac:dyDescent="0.25">
      <c r="A388" s="79"/>
      <c r="B388" s="20"/>
      <c r="C388" s="82"/>
      <c r="D388" s="83"/>
      <c r="E388" s="79"/>
      <c r="F388" s="53"/>
      <c r="G388" s="54"/>
      <c r="H388" s="54"/>
      <c r="I388" s="7"/>
      <c r="J388" s="9"/>
      <c r="K388" s="21"/>
      <c r="L388" s="77"/>
      <c r="M388" s="77"/>
      <c r="N388" s="77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</row>
    <row r="389" spans="1:27" ht="12.75" customHeight="1" x14ac:dyDescent="0.25">
      <c r="A389" s="79"/>
      <c r="B389" s="20"/>
      <c r="C389" s="82"/>
      <c r="D389" s="83"/>
      <c r="E389" s="79"/>
      <c r="F389" s="53"/>
      <c r="G389" s="54"/>
      <c r="H389" s="54"/>
      <c r="I389" s="7"/>
      <c r="J389" s="9"/>
      <c r="K389" s="21"/>
      <c r="L389" s="77"/>
      <c r="M389" s="77"/>
      <c r="N389" s="77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</row>
    <row r="390" spans="1:27" ht="12.75" customHeight="1" x14ac:dyDescent="0.25">
      <c r="A390" s="79"/>
      <c r="B390" s="20"/>
      <c r="C390" s="82"/>
      <c r="D390" s="83"/>
      <c r="E390" s="79"/>
      <c r="F390" s="53"/>
      <c r="G390" s="54"/>
      <c r="H390" s="54"/>
      <c r="I390" s="7"/>
      <c r="J390" s="9"/>
      <c r="K390" s="21"/>
      <c r="L390" s="77"/>
      <c r="M390" s="77"/>
      <c r="N390" s="77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</row>
    <row r="391" spans="1:27" ht="12.75" customHeight="1" x14ac:dyDescent="0.25">
      <c r="A391" s="79"/>
      <c r="B391" s="20"/>
      <c r="C391" s="82"/>
      <c r="D391" s="83"/>
      <c r="E391" s="79"/>
      <c r="F391" s="53"/>
      <c r="G391" s="54"/>
      <c r="H391" s="54"/>
      <c r="I391" s="7"/>
      <c r="J391" s="9"/>
      <c r="K391" s="21"/>
      <c r="L391" s="77"/>
      <c r="M391" s="77"/>
      <c r="N391" s="77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</row>
    <row r="392" spans="1:27" ht="12.75" customHeight="1" x14ac:dyDescent="0.25">
      <c r="A392" s="79"/>
      <c r="B392" s="20"/>
      <c r="C392" s="82"/>
      <c r="D392" s="83"/>
      <c r="E392" s="79"/>
      <c r="F392" s="53"/>
      <c r="G392" s="54"/>
      <c r="H392" s="54"/>
      <c r="I392" s="7"/>
      <c r="J392" s="9"/>
      <c r="K392" s="21"/>
      <c r="L392" s="77"/>
      <c r="M392" s="77"/>
      <c r="N392" s="77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</row>
    <row r="393" spans="1:27" ht="12.75" customHeight="1" x14ac:dyDescent="0.25">
      <c r="A393" s="79"/>
      <c r="B393" s="20"/>
      <c r="C393" s="82"/>
      <c r="D393" s="83"/>
      <c r="E393" s="79"/>
      <c r="F393" s="53"/>
      <c r="G393" s="54"/>
      <c r="H393" s="54"/>
      <c r="I393" s="7"/>
      <c r="J393" s="9"/>
      <c r="K393" s="21"/>
      <c r="L393" s="77"/>
      <c r="M393" s="77"/>
      <c r="N393" s="77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</row>
    <row r="394" spans="1:27" ht="12.75" customHeight="1" x14ac:dyDescent="0.25">
      <c r="A394" s="79"/>
      <c r="B394" s="20"/>
      <c r="C394" s="82"/>
      <c r="D394" s="83"/>
      <c r="E394" s="79"/>
      <c r="F394" s="53"/>
      <c r="G394" s="54"/>
      <c r="H394" s="54"/>
      <c r="I394" s="7"/>
      <c r="J394" s="9"/>
      <c r="K394" s="21"/>
      <c r="L394" s="77"/>
      <c r="M394" s="77"/>
      <c r="N394" s="77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</row>
    <row r="395" spans="1:27" ht="12.75" customHeight="1" x14ac:dyDescent="0.25">
      <c r="A395" s="79"/>
      <c r="B395" s="20"/>
      <c r="C395" s="82"/>
      <c r="D395" s="83"/>
      <c r="E395" s="79"/>
      <c r="F395" s="53"/>
      <c r="G395" s="54"/>
      <c r="H395" s="54"/>
      <c r="I395" s="7"/>
      <c r="J395" s="9"/>
      <c r="K395" s="21"/>
      <c r="L395" s="77"/>
      <c r="M395" s="77"/>
      <c r="N395" s="77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</row>
    <row r="396" spans="1:27" ht="12.75" customHeight="1" x14ac:dyDescent="0.25">
      <c r="A396" s="79"/>
      <c r="B396" s="20"/>
      <c r="C396" s="82"/>
      <c r="D396" s="83"/>
      <c r="E396" s="79"/>
      <c r="F396" s="53"/>
      <c r="G396" s="54"/>
      <c r="H396" s="54"/>
      <c r="I396" s="7"/>
      <c r="J396" s="9"/>
      <c r="K396" s="21"/>
      <c r="L396" s="77"/>
      <c r="M396" s="77"/>
      <c r="N396" s="77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</row>
    <row r="397" spans="1:27" ht="12.75" customHeight="1" x14ac:dyDescent="0.25">
      <c r="A397" s="79"/>
      <c r="B397" s="20"/>
      <c r="C397" s="82"/>
      <c r="D397" s="83"/>
      <c r="E397" s="79"/>
      <c r="F397" s="53"/>
      <c r="G397" s="54"/>
      <c r="H397" s="54"/>
      <c r="I397" s="7"/>
      <c r="J397" s="9"/>
      <c r="K397" s="21"/>
      <c r="L397" s="77"/>
      <c r="M397" s="77"/>
      <c r="N397" s="77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</row>
    <row r="398" spans="1:27" ht="12.75" customHeight="1" x14ac:dyDescent="0.25">
      <c r="A398" s="79"/>
      <c r="B398" s="20"/>
      <c r="C398" s="82"/>
      <c r="D398" s="83"/>
      <c r="E398" s="79"/>
      <c r="F398" s="53"/>
      <c r="G398" s="54"/>
      <c r="H398" s="54"/>
      <c r="I398" s="7"/>
      <c r="J398" s="9"/>
      <c r="K398" s="21"/>
      <c r="L398" s="77"/>
      <c r="M398" s="77"/>
      <c r="N398" s="77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</row>
    <row r="399" spans="1:27" ht="12.75" customHeight="1" x14ac:dyDescent="0.25">
      <c r="A399" s="79"/>
      <c r="B399" s="20"/>
      <c r="C399" s="82"/>
      <c r="D399" s="83"/>
      <c r="E399" s="79"/>
      <c r="F399" s="53"/>
      <c r="G399" s="54"/>
      <c r="H399" s="54"/>
      <c r="I399" s="7"/>
      <c r="J399" s="9"/>
      <c r="K399" s="21"/>
      <c r="L399" s="77"/>
      <c r="M399" s="77"/>
      <c r="N399" s="77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</row>
    <row r="400" spans="1:27" ht="12.75" customHeight="1" x14ac:dyDescent="0.25">
      <c r="A400" s="79"/>
      <c r="B400" s="20"/>
      <c r="C400" s="82"/>
      <c r="D400" s="83"/>
      <c r="E400" s="79"/>
      <c r="F400" s="53"/>
      <c r="G400" s="54"/>
      <c r="H400" s="54"/>
      <c r="I400" s="7"/>
      <c r="J400" s="9"/>
      <c r="K400" s="21"/>
      <c r="L400" s="77"/>
      <c r="M400" s="77"/>
      <c r="N400" s="77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</row>
    <row r="401" spans="1:27" ht="12.75" customHeight="1" x14ac:dyDescent="0.25">
      <c r="A401" s="79"/>
      <c r="B401" s="20"/>
      <c r="C401" s="82"/>
      <c r="D401" s="83"/>
      <c r="E401" s="79"/>
      <c r="F401" s="53"/>
      <c r="G401" s="54"/>
      <c r="H401" s="54"/>
      <c r="I401" s="7"/>
      <c r="J401" s="9"/>
      <c r="K401" s="21"/>
      <c r="L401" s="77"/>
      <c r="M401" s="77"/>
      <c r="N401" s="77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</row>
    <row r="402" spans="1:27" ht="12.75" customHeight="1" x14ac:dyDescent="0.25">
      <c r="A402" s="79"/>
      <c r="B402" s="20"/>
      <c r="C402" s="82"/>
      <c r="D402" s="83"/>
      <c r="E402" s="79"/>
      <c r="F402" s="53"/>
      <c r="G402" s="54"/>
      <c r="H402" s="54"/>
      <c r="I402" s="7"/>
      <c r="J402" s="9"/>
      <c r="K402" s="21"/>
      <c r="L402" s="77"/>
      <c r="M402" s="77"/>
      <c r="N402" s="77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</row>
    <row r="403" spans="1:27" ht="12.75" customHeight="1" x14ac:dyDescent="0.25">
      <c r="A403" s="79"/>
      <c r="B403" s="20"/>
      <c r="C403" s="82"/>
      <c r="D403" s="83"/>
      <c r="E403" s="79"/>
      <c r="F403" s="53"/>
      <c r="G403" s="54"/>
      <c r="H403" s="54"/>
      <c r="I403" s="7"/>
      <c r="J403" s="9"/>
      <c r="K403" s="21"/>
      <c r="L403" s="77"/>
      <c r="M403" s="77"/>
      <c r="N403" s="77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</row>
    <row r="404" spans="1:27" ht="12.75" customHeight="1" x14ac:dyDescent="0.25">
      <c r="A404" s="79"/>
      <c r="B404" s="20"/>
      <c r="C404" s="82"/>
      <c r="D404" s="83"/>
      <c r="E404" s="79"/>
      <c r="F404" s="53"/>
      <c r="G404" s="54"/>
      <c r="H404" s="54"/>
      <c r="I404" s="7"/>
      <c r="J404" s="9"/>
      <c r="K404" s="21"/>
      <c r="L404" s="77"/>
      <c r="M404" s="77"/>
      <c r="N404" s="77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</row>
    <row r="405" spans="1:27" ht="12.75" customHeight="1" x14ac:dyDescent="0.25">
      <c r="A405" s="79"/>
      <c r="B405" s="20"/>
      <c r="C405" s="82"/>
      <c r="D405" s="83"/>
      <c r="E405" s="79"/>
      <c r="F405" s="53"/>
      <c r="G405" s="54"/>
      <c r="H405" s="54"/>
      <c r="I405" s="7"/>
      <c r="J405" s="9"/>
      <c r="K405" s="21"/>
      <c r="L405" s="77"/>
      <c r="M405" s="77"/>
      <c r="N405" s="77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</row>
    <row r="406" spans="1:27" ht="12.75" customHeight="1" x14ac:dyDescent="0.25">
      <c r="A406" s="79"/>
      <c r="B406" s="20"/>
      <c r="C406" s="82"/>
      <c r="D406" s="83"/>
      <c r="E406" s="79"/>
      <c r="F406" s="53"/>
      <c r="G406" s="54"/>
      <c r="H406" s="54"/>
      <c r="I406" s="7"/>
      <c r="J406" s="9"/>
      <c r="K406" s="21"/>
      <c r="L406" s="77"/>
      <c r="M406" s="77"/>
      <c r="N406" s="77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</row>
    <row r="407" spans="1:27" ht="12.75" customHeight="1" x14ac:dyDescent="0.25">
      <c r="A407" s="79"/>
      <c r="B407" s="20"/>
      <c r="C407" s="82"/>
      <c r="D407" s="83"/>
      <c r="E407" s="79"/>
      <c r="F407" s="53"/>
      <c r="G407" s="54"/>
      <c r="H407" s="54"/>
      <c r="I407" s="7"/>
      <c r="J407" s="9"/>
      <c r="K407" s="21"/>
      <c r="L407" s="77"/>
      <c r="M407" s="77"/>
      <c r="N407" s="77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</row>
    <row r="408" spans="1:27" ht="12.75" customHeight="1" x14ac:dyDescent="0.25">
      <c r="A408" s="79"/>
      <c r="B408" s="20"/>
      <c r="C408" s="82"/>
      <c r="D408" s="83"/>
      <c r="E408" s="79"/>
      <c r="F408" s="53"/>
      <c r="G408" s="54"/>
      <c r="H408" s="54"/>
      <c r="I408" s="7"/>
      <c r="J408" s="9"/>
      <c r="K408" s="21"/>
      <c r="L408" s="77"/>
      <c r="M408" s="77"/>
      <c r="N408" s="77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</row>
    <row r="409" spans="1:27" ht="12.75" customHeight="1" x14ac:dyDescent="0.25">
      <c r="A409" s="79"/>
      <c r="B409" s="20"/>
      <c r="C409" s="82"/>
      <c r="D409" s="83"/>
      <c r="E409" s="79"/>
      <c r="F409" s="53"/>
      <c r="G409" s="54"/>
      <c r="H409" s="54"/>
      <c r="I409" s="7"/>
      <c r="J409" s="9"/>
      <c r="K409" s="21"/>
      <c r="L409" s="77"/>
      <c r="M409" s="77"/>
      <c r="N409" s="77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</row>
    <row r="410" spans="1:27" ht="12.75" customHeight="1" x14ac:dyDescent="0.25">
      <c r="A410" s="79"/>
      <c r="B410" s="20"/>
      <c r="C410" s="82"/>
      <c r="D410" s="83"/>
      <c r="E410" s="79"/>
      <c r="F410" s="53"/>
      <c r="G410" s="54"/>
      <c r="H410" s="54"/>
      <c r="I410" s="7"/>
      <c r="J410" s="9"/>
      <c r="K410" s="21"/>
      <c r="L410" s="77"/>
      <c r="M410" s="77"/>
      <c r="N410" s="77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</row>
    <row r="411" spans="1:27" ht="12.75" customHeight="1" x14ac:dyDescent="0.25">
      <c r="A411" s="79"/>
      <c r="B411" s="20"/>
      <c r="C411" s="82"/>
      <c r="D411" s="83"/>
      <c r="E411" s="79"/>
      <c r="F411" s="53"/>
      <c r="G411" s="54"/>
      <c r="H411" s="54"/>
      <c r="I411" s="7"/>
      <c r="J411" s="9"/>
      <c r="K411" s="21"/>
      <c r="L411" s="77"/>
      <c r="M411" s="77"/>
      <c r="N411" s="77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</row>
    <row r="412" spans="1:27" ht="12.75" customHeight="1" x14ac:dyDescent="0.25">
      <c r="A412" s="79"/>
      <c r="B412" s="20"/>
      <c r="C412" s="82"/>
      <c r="D412" s="83"/>
      <c r="E412" s="79"/>
      <c r="F412" s="53"/>
      <c r="G412" s="54"/>
      <c r="H412" s="54"/>
      <c r="I412" s="7"/>
      <c r="J412" s="9"/>
      <c r="K412" s="21"/>
      <c r="L412" s="77"/>
      <c r="M412" s="77"/>
      <c r="N412" s="77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</row>
    <row r="413" spans="1:27" ht="12.75" customHeight="1" x14ac:dyDescent="0.25">
      <c r="A413" s="79"/>
      <c r="B413" s="20"/>
      <c r="C413" s="82"/>
      <c r="D413" s="83"/>
      <c r="E413" s="79"/>
      <c r="F413" s="53"/>
      <c r="G413" s="54"/>
      <c r="H413" s="54"/>
      <c r="I413" s="7"/>
      <c r="J413" s="9"/>
      <c r="K413" s="21"/>
      <c r="L413" s="77"/>
      <c r="M413" s="77"/>
      <c r="N413" s="77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</row>
    <row r="414" spans="1:27" ht="12.75" customHeight="1" x14ac:dyDescent="0.25">
      <c r="A414" s="79"/>
      <c r="B414" s="20"/>
      <c r="C414" s="82"/>
      <c r="D414" s="83"/>
      <c r="E414" s="79"/>
      <c r="F414" s="53"/>
      <c r="G414" s="54"/>
      <c r="H414" s="54"/>
      <c r="I414" s="7"/>
      <c r="J414" s="9"/>
      <c r="K414" s="21"/>
      <c r="L414" s="77"/>
      <c r="M414" s="77"/>
      <c r="N414" s="77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</row>
    <row r="415" spans="1:27" ht="12.75" customHeight="1" x14ac:dyDescent="0.25">
      <c r="A415" s="79"/>
      <c r="B415" s="20"/>
      <c r="C415" s="82"/>
      <c r="D415" s="83"/>
      <c r="E415" s="79"/>
      <c r="F415" s="53"/>
      <c r="G415" s="54"/>
      <c r="H415" s="54"/>
      <c r="I415" s="7"/>
      <c r="J415" s="9"/>
      <c r="K415" s="21"/>
      <c r="L415" s="77"/>
      <c r="M415" s="77"/>
      <c r="N415" s="77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</row>
    <row r="416" spans="1:27" ht="12.75" customHeight="1" x14ac:dyDescent="0.25">
      <c r="A416" s="79"/>
      <c r="B416" s="20"/>
      <c r="C416" s="82"/>
      <c r="D416" s="83"/>
      <c r="E416" s="79"/>
      <c r="F416" s="53"/>
      <c r="G416" s="54"/>
      <c r="H416" s="54"/>
      <c r="I416" s="7"/>
      <c r="J416" s="9"/>
      <c r="K416" s="21"/>
      <c r="L416" s="77"/>
      <c r="M416" s="77"/>
      <c r="N416" s="77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</row>
    <row r="417" spans="1:27" ht="12.75" customHeight="1" x14ac:dyDescent="0.25">
      <c r="A417" s="79"/>
      <c r="B417" s="20"/>
      <c r="C417" s="82"/>
      <c r="D417" s="83"/>
      <c r="E417" s="79"/>
      <c r="F417" s="53"/>
      <c r="G417" s="54"/>
      <c r="H417" s="54"/>
      <c r="I417" s="7"/>
      <c r="J417" s="9"/>
      <c r="K417" s="21"/>
      <c r="L417" s="77"/>
      <c r="M417" s="77"/>
      <c r="N417" s="77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</row>
    <row r="418" spans="1:27" ht="12.75" customHeight="1" x14ac:dyDescent="0.25">
      <c r="A418" s="79"/>
      <c r="B418" s="20"/>
      <c r="C418" s="82"/>
      <c r="D418" s="83"/>
      <c r="E418" s="79"/>
      <c r="F418" s="53"/>
      <c r="G418" s="54"/>
      <c r="H418" s="54"/>
      <c r="I418" s="7"/>
      <c r="J418" s="9"/>
      <c r="K418" s="21"/>
      <c r="L418" s="77"/>
      <c r="M418" s="77"/>
      <c r="N418" s="77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</row>
    <row r="419" spans="1:27" ht="12.75" customHeight="1" x14ac:dyDescent="0.25">
      <c r="A419" s="79"/>
      <c r="B419" s="20"/>
      <c r="C419" s="82"/>
      <c r="D419" s="83"/>
      <c r="E419" s="79"/>
      <c r="F419" s="53"/>
      <c r="G419" s="54"/>
      <c r="H419" s="54"/>
      <c r="I419" s="7"/>
      <c r="J419" s="9"/>
      <c r="K419" s="21"/>
      <c r="L419" s="77"/>
      <c r="M419" s="77"/>
      <c r="N419" s="77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</row>
    <row r="420" spans="1:27" ht="12.75" customHeight="1" x14ac:dyDescent="0.25">
      <c r="A420" s="79"/>
      <c r="B420" s="20"/>
      <c r="C420" s="82"/>
      <c r="D420" s="83"/>
      <c r="E420" s="79"/>
      <c r="F420" s="53"/>
      <c r="G420" s="54"/>
      <c r="H420" s="54"/>
      <c r="I420" s="7"/>
      <c r="J420" s="9"/>
      <c r="K420" s="21"/>
      <c r="L420" s="77"/>
      <c r="M420" s="77"/>
      <c r="N420" s="77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</row>
    <row r="421" spans="1:27" ht="12.75" customHeight="1" x14ac:dyDescent="0.25">
      <c r="A421" s="79"/>
      <c r="B421" s="20"/>
      <c r="C421" s="82"/>
      <c r="D421" s="83"/>
      <c r="E421" s="79"/>
      <c r="F421" s="53"/>
      <c r="G421" s="54"/>
      <c r="H421" s="54"/>
      <c r="I421" s="7"/>
      <c r="J421" s="9"/>
      <c r="K421" s="21"/>
      <c r="L421" s="77"/>
      <c r="M421" s="77"/>
      <c r="N421" s="77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</row>
    <row r="422" spans="1:27" ht="12.75" customHeight="1" x14ac:dyDescent="0.25">
      <c r="A422" s="79"/>
      <c r="B422" s="20"/>
      <c r="C422" s="82"/>
      <c r="D422" s="83"/>
      <c r="E422" s="79"/>
      <c r="F422" s="53"/>
      <c r="G422" s="54"/>
      <c r="H422" s="54"/>
      <c r="I422" s="7"/>
      <c r="J422" s="9"/>
      <c r="K422" s="21"/>
      <c r="L422" s="77"/>
      <c r="M422" s="77"/>
      <c r="N422" s="77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</row>
    <row r="423" spans="1:27" ht="12.75" customHeight="1" x14ac:dyDescent="0.25">
      <c r="A423" s="79"/>
      <c r="B423" s="20"/>
      <c r="C423" s="82"/>
      <c r="D423" s="83"/>
      <c r="E423" s="79"/>
      <c r="F423" s="53"/>
      <c r="G423" s="54"/>
      <c r="H423" s="54"/>
      <c r="I423" s="7"/>
      <c r="J423" s="9"/>
      <c r="K423" s="21"/>
      <c r="L423" s="77"/>
      <c r="M423" s="77"/>
      <c r="N423" s="77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</row>
    <row r="424" spans="1:27" ht="12.75" customHeight="1" x14ac:dyDescent="0.25">
      <c r="A424" s="79"/>
      <c r="B424" s="20"/>
      <c r="C424" s="82"/>
      <c r="D424" s="83"/>
      <c r="E424" s="79"/>
      <c r="F424" s="53"/>
      <c r="G424" s="54"/>
      <c r="H424" s="54"/>
      <c r="I424" s="7"/>
      <c r="J424" s="9"/>
      <c r="K424" s="21"/>
      <c r="L424" s="77"/>
      <c r="M424" s="77"/>
      <c r="N424" s="77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</row>
    <row r="425" spans="1:27" ht="12.75" customHeight="1" x14ac:dyDescent="0.25">
      <c r="A425" s="79"/>
      <c r="B425" s="20"/>
      <c r="C425" s="82"/>
      <c r="D425" s="83"/>
      <c r="E425" s="79"/>
      <c r="F425" s="53"/>
      <c r="G425" s="54"/>
      <c r="H425" s="54"/>
      <c r="I425" s="7"/>
      <c r="J425" s="9"/>
      <c r="K425" s="21"/>
      <c r="L425" s="77"/>
      <c r="M425" s="77"/>
      <c r="N425" s="77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</row>
    <row r="426" spans="1:27" ht="12.75" customHeight="1" x14ac:dyDescent="0.25">
      <c r="A426" s="79"/>
      <c r="B426" s="20"/>
      <c r="C426" s="82"/>
      <c r="D426" s="83"/>
      <c r="E426" s="79"/>
      <c r="F426" s="53"/>
      <c r="G426" s="54"/>
      <c r="H426" s="54"/>
      <c r="I426" s="7"/>
      <c r="J426" s="9"/>
      <c r="K426" s="21"/>
      <c r="L426" s="77"/>
      <c r="M426" s="77"/>
      <c r="N426" s="77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</row>
    <row r="427" spans="1:27" ht="12.75" customHeight="1" x14ac:dyDescent="0.25">
      <c r="A427" s="79"/>
      <c r="B427" s="20"/>
      <c r="C427" s="82"/>
      <c r="D427" s="83"/>
      <c r="E427" s="79"/>
      <c r="F427" s="53"/>
      <c r="G427" s="54"/>
      <c r="H427" s="54"/>
      <c r="I427" s="7"/>
      <c r="J427" s="9"/>
      <c r="K427" s="21"/>
      <c r="L427" s="77"/>
      <c r="M427" s="77"/>
      <c r="N427" s="77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</row>
    <row r="428" spans="1:27" ht="12.75" customHeight="1" x14ac:dyDescent="0.25">
      <c r="A428" s="79"/>
      <c r="B428" s="20"/>
      <c r="C428" s="82"/>
      <c r="D428" s="83"/>
      <c r="E428" s="79"/>
      <c r="F428" s="53"/>
      <c r="G428" s="54"/>
      <c r="H428" s="54"/>
      <c r="I428" s="7"/>
      <c r="J428" s="9"/>
      <c r="K428" s="21"/>
      <c r="L428" s="77"/>
      <c r="M428" s="77"/>
      <c r="N428" s="77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</row>
    <row r="429" spans="1:27" ht="12.75" customHeight="1" x14ac:dyDescent="0.25">
      <c r="A429" s="79"/>
      <c r="B429" s="20"/>
      <c r="C429" s="82"/>
      <c r="D429" s="83"/>
      <c r="E429" s="79"/>
      <c r="F429" s="53"/>
      <c r="G429" s="54"/>
      <c r="H429" s="54"/>
      <c r="I429" s="7"/>
      <c r="J429" s="9"/>
      <c r="K429" s="21"/>
      <c r="L429" s="77"/>
      <c r="M429" s="77"/>
      <c r="N429" s="77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</row>
    <row r="430" spans="1:27" ht="12.75" customHeight="1" x14ac:dyDescent="0.25">
      <c r="A430" s="79"/>
      <c r="B430" s="20"/>
      <c r="C430" s="82"/>
      <c r="D430" s="83"/>
      <c r="E430" s="79"/>
      <c r="F430" s="53"/>
      <c r="G430" s="54"/>
      <c r="H430" s="54"/>
      <c r="I430" s="7"/>
      <c r="J430" s="9"/>
      <c r="K430" s="21"/>
      <c r="L430" s="77"/>
      <c r="M430" s="77"/>
      <c r="N430" s="77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</row>
    <row r="431" spans="1:27" ht="12.75" customHeight="1" x14ac:dyDescent="0.25">
      <c r="A431" s="79"/>
      <c r="B431" s="20"/>
      <c r="C431" s="82"/>
      <c r="D431" s="83"/>
      <c r="E431" s="79"/>
      <c r="F431" s="53"/>
      <c r="G431" s="54"/>
      <c r="H431" s="54"/>
      <c r="I431" s="7"/>
      <c r="J431" s="9"/>
      <c r="K431" s="21"/>
      <c r="L431" s="77"/>
      <c r="M431" s="77"/>
      <c r="N431" s="77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</row>
    <row r="432" spans="1:27" ht="12.75" customHeight="1" x14ac:dyDescent="0.25">
      <c r="A432" s="79"/>
      <c r="B432" s="20"/>
      <c r="C432" s="82"/>
      <c r="D432" s="83"/>
      <c r="E432" s="79"/>
      <c r="F432" s="53"/>
      <c r="G432" s="54"/>
      <c r="H432" s="54"/>
      <c r="I432" s="7"/>
      <c r="J432" s="9"/>
      <c r="K432" s="21"/>
      <c r="L432" s="77"/>
      <c r="M432" s="77"/>
      <c r="N432" s="77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</row>
    <row r="433" spans="1:27" ht="12.75" customHeight="1" x14ac:dyDescent="0.25">
      <c r="A433" s="79"/>
      <c r="B433" s="20"/>
      <c r="C433" s="82"/>
      <c r="D433" s="83"/>
      <c r="E433" s="79"/>
      <c r="F433" s="53"/>
      <c r="G433" s="54"/>
      <c r="H433" s="54"/>
      <c r="I433" s="7"/>
      <c r="J433" s="9"/>
      <c r="K433" s="21"/>
      <c r="L433" s="77"/>
      <c r="M433" s="77"/>
      <c r="N433" s="77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</row>
    <row r="434" spans="1:27" ht="12.75" customHeight="1" x14ac:dyDescent="0.25">
      <c r="A434" s="79"/>
      <c r="B434" s="20"/>
      <c r="C434" s="82"/>
      <c r="D434" s="83"/>
      <c r="E434" s="79"/>
      <c r="F434" s="53"/>
      <c r="G434" s="54"/>
      <c r="H434" s="54"/>
      <c r="I434" s="7"/>
      <c r="J434" s="9"/>
      <c r="K434" s="21"/>
      <c r="L434" s="77"/>
      <c r="M434" s="77"/>
      <c r="N434" s="77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</row>
    <row r="435" spans="1:27" ht="12.75" customHeight="1" x14ac:dyDescent="0.25">
      <c r="A435" s="79"/>
      <c r="B435" s="20"/>
      <c r="C435" s="82"/>
      <c r="D435" s="83"/>
      <c r="E435" s="79"/>
      <c r="F435" s="53"/>
      <c r="G435" s="54"/>
      <c r="H435" s="54"/>
      <c r="I435" s="7"/>
      <c r="J435" s="9"/>
      <c r="K435" s="21"/>
      <c r="L435" s="77"/>
      <c r="M435" s="77"/>
      <c r="N435" s="77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</row>
    <row r="436" spans="1:27" ht="12.75" customHeight="1" x14ac:dyDescent="0.25">
      <c r="A436" s="79"/>
      <c r="B436" s="20"/>
      <c r="C436" s="82"/>
      <c r="D436" s="83"/>
      <c r="E436" s="79"/>
      <c r="F436" s="53"/>
      <c r="G436" s="54"/>
      <c r="H436" s="54"/>
      <c r="I436" s="7"/>
      <c r="J436" s="9"/>
      <c r="K436" s="21"/>
      <c r="L436" s="77"/>
      <c r="M436" s="77"/>
      <c r="N436" s="77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</row>
    <row r="437" spans="1:27" ht="12.75" customHeight="1" x14ac:dyDescent="0.25">
      <c r="A437" s="79"/>
      <c r="B437" s="20"/>
      <c r="C437" s="82"/>
      <c r="D437" s="83"/>
      <c r="E437" s="79"/>
      <c r="F437" s="53"/>
      <c r="G437" s="54"/>
      <c r="H437" s="54"/>
      <c r="I437" s="7"/>
      <c r="J437" s="9"/>
      <c r="K437" s="21"/>
      <c r="L437" s="77"/>
      <c r="M437" s="77"/>
      <c r="N437" s="77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</row>
    <row r="438" spans="1:27" ht="12.75" customHeight="1" x14ac:dyDescent="0.25">
      <c r="A438" s="79"/>
      <c r="B438" s="20"/>
      <c r="C438" s="82"/>
      <c r="D438" s="83"/>
      <c r="E438" s="79"/>
      <c r="F438" s="53"/>
      <c r="G438" s="54"/>
      <c r="H438" s="54"/>
      <c r="I438" s="7"/>
      <c r="J438" s="9"/>
      <c r="K438" s="21"/>
      <c r="L438" s="77"/>
      <c r="M438" s="77"/>
      <c r="N438" s="77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</row>
    <row r="439" spans="1:27" ht="12.75" customHeight="1" x14ac:dyDescent="0.25">
      <c r="A439" s="79"/>
      <c r="B439" s="20"/>
      <c r="C439" s="82"/>
      <c r="D439" s="83"/>
      <c r="E439" s="79"/>
      <c r="F439" s="53"/>
      <c r="G439" s="54"/>
      <c r="H439" s="54"/>
      <c r="I439" s="7"/>
      <c r="J439" s="9"/>
      <c r="K439" s="21"/>
      <c r="L439" s="77"/>
      <c r="M439" s="77"/>
      <c r="N439" s="77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</row>
    <row r="440" spans="1:27" ht="12.75" customHeight="1" x14ac:dyDescent="0.25">
      <c r="A440" s="79"/>
      <c r="B440" s="20"/>
      <c r="C440" s="82"/>
      <c r="D440" s="83"/>
      <c r="E440" s="79"/>
      <c r="F440" s="53"/>
      <c r="G440" s="54"/>
      <c r="H440" s="54"/>
      <c r="I440" s="7"/>
      <c r="J440" s="9"/>
      <c r="K440" s="21"/>
      <c r="L440" s="77"/>
      <c r="M440" s="77"/>
      <c r="N440" s="77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</row>
    <row r="441" spans="1:27" ht="12.75" customHeight="1" x14ac:dyDescent="0.25">
      <c r="A441" s="79"/>
      <c r="B441" s="20"/>
      <c r="C441" s="82"/>
      <c r="D441" s="83"/>
      <c r="E441" s="79"/>
      <c r="F441" s="53"/>
      <c r="G441" s="54"/>
      <c r="H441" s="54"/>
      <c r="I441" s="7"/>
      <c r="J441" s="9"/>
      <c r="K441" s="21"/>
      <c r="L441" s="77"/>
      <c r="M441" s="77"/>
      <c r="N441" s="77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</row>
    <row r="442" spans="1:27" ht="12.75" customHeight="1" x14ac:dyDescent="0.25">
      <c r="A442" s="79"/>
      <c r="B442" s="20"/>
      <c r="C442" s="82"/>
      <c r="D442" s="83"/>
      <c r="E442" s="79"/>
      <c r="F442" s="53"/>
      <c r="G442" s="54"/>
      <c r="H442" s="54"/>
      <c r="I442" s="7"/>
      <c r="J442" s="9"/>
      <c r="K442" s="21"/>
      <c r="L442" s="77"/>
      <c r="M442" s="77"/>
      <c r="N442" s="77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</row>
    <row r="443" spans="1:27" ht="12.75" customHeight="1" x14ac:dyDescent="0.25">
      <c r="A443" s="79"/>
      <c r="B443" s="20"/>
      <c r="C443" s="82"/>
      <c r="D443" s="83"/>
      <c r="E443" s="79"/>
      <c r="F443" s="53"/>
      <c r="G443" s="54"/>
      <c r="H443" s="54"/>
      <c r="I443" s="7"/>
      <c r="J443" s="9"/>
      <c r="K443" s="21"/>
      <c r="L443" s="77"/>
      <c r="M443" s="77"/>
      <c r="N443" s="77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</row>
    <row r="444" spans="1:27" ht="12.75" customHeight="1" x14ac:dyDescent="0.25">
      <c r="A444" s="79"/>
      <c r="B444" s="20"/>
      <c r="C444" s="82"/>
      <c r="D444" s="83"/>
      <c r="E444" s="79"/>
      <c r="F444" s="53"/>
      <c r="G444" s="54"/>
      <c r="H444" s="54"/>
      <c r="I444" s="7"/>
      <c r="J444" s="9"/>
      <c r="K444" s="21"/>
      <c r="L444" s="77"/>
      <c r="M444" s="77"/>
      <c r="N444" s="77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</row>
    <row r="445" spans="1:27" ht="12.75" customHeight="1" x14ac:dyDescent="0.25">
      <c r="A445" s="79"/>
      <c r="B445" s="20"/>
      <c r="C445" s="82"/>
      <c r="D445" s="83"/>
      <c r="E445" s="79"/>
      <c r="F445" s="53"/>
      <c r="G445" s="54"/>
      <c r="H445" s="54"/>
      <c r="I445" s="7"/>
      <c r="J445" s="9"/>
      <c r="K445" s="21"/>
      <c r="L445" s="77"/>
      <c r="M445" s="77"/>
      <c r="N445" s="77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</row>
    <row r="446" spans="1:27" ht="12.75" customHeight="1" x14ac:dyDescent="0.25">
      <c r="A446" s="79"/>
      <c r="B446" s="20"/>
      <c r="C446" s="82"/>
      <c r="D446" s="83"/>
      <c r="E446" s="79"/>
      <c r="F446" s="53"/>
      <c r="G446" s="54"/>
      <c r="H446" s="54"/>
      <c r="I446" s="7"/>
      <c r="J446" s="9"/>
      <c r="K446" s="21"/>
      <c r="L446" s="77"/>
      <c r="M446" s="77"/>
      <c r="N446" s="77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</row>
    <row r="447" spans="1:27" ht="12.75" customHeight="1" x14ac:dyDescent="0.25">
      <c r="A447" s="79"/>
      <c r="B447" s="20"/>
      <c r="C447" s="82"/>
      <c r="D447" s="83"/>
      <c r="E447" s="79"/>
      <c r="F447" s="53"/>
      <c r="G447" s="54"/>
      <c r="H447" s="54"/>
      <c r="I447" s="7"/>
      <c r="J447" s="9"/>
      <c r="K447" s="21"/>
      <c r="L447" s="77"/>
      <c r="M447" s="77"/>
      <c r="N447" s="77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</row>
    <row r="448" spans="1:27" ht="12.75" customHeight="1" x14ac:dyDescent="0.25">
      <c r="A448" s="79"/>
      <c r="B448" s="20"/>
      <c r="C448" s="82"/>
      <c r="D448" s="83"/>
      <c r="E448" s="79"/>
      <c r="F448" s="53"/>
      <c r="G448" s="54"/>
      <c r="H448" s="54"/>
      <c r="I448" s="7"/>
      <c r="J448" s="9"/>
      <c r="K448" s="21"/>
      <c r="L448" s="77"/>
      <c r="M448" s="77"/>
      <c r="N448" s="77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</row>
    <row r="449" spans="1:27" ht="12.75" customHeight="1" x14ac:dyDescent="0.25">
      <c r="A449" s="79"/>
      <c r="B449" s="20"/>
      <c r="C449" s="82"/>
      <c r="D449" s="83"/>
      <c r="E449" s="79"/>
      <c r="F449" s="53"/>
      <c r="G449" s="54"/>
      <c r="H449" s="54"/>
      <c r="I449" s="7"/>
      <c r="J449" s="9"/>
      <c r="K449" s="21"/>
      <c r="L449" s="77"/>
      <c r="M449" s="77"/>
      <c r="N449" s="77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</row>
    <row r="450" spans="1:27" ht="12.75" customHeight="1" x14ac:dyDescent="0.25">
      <c r="A450" s="79"/>
      <c r="B450" s="20"/>
      <c r="C450" s="82"/>
      <c r="D450" s="83"/>
      <c r="E450" s="79"/>
      <c r="F450" s="53"/>
      <c r="G450" s="54"/>
      <c r="H450" s="54"/>
      <c r="I450" s="7"/>
      <c r="J450" s="9"/>
      <c r="K450" s="21"/>
      <c r="L450" s="77"/>
      <c r="M450" s="77"/>
      <c r="N450" s="77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</row>
    <row r="451" spans="1:27" ht="12.75" customHeight="1" x14ac:dyDescent="0.25">
      <c r="A451" s="79"/>
      <c r="B451" s="20"/>
      <c r="C451" s="82"/>
      <c r="D451" s="83"/>
      <c r="E451" s="79"/>
      <c r="F451" s="53"/>
      <c r="G451" s="54"/>
      <c r="H451" s="54"/>
      <c r="I451" s="7"/>
      <c r="J451" s="9"/>
      <c r="K451" s="21"/>
      <c r="L451" s="77"/>
      <c r="M451" s="77"/>
      <c r="N451" s="77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</row>
    <row r="452" spans="1:27" ht="12.75" customHeight="1" x14ac:dyDescent="0.25">
      <c r="A452" s="79"/>
      <c r="B452" s="20"/>
      <c r="C452" s="82"/>
      <c r="D452" s="83"/>
      <c r="E452" s="79"/>
      <c r="F452" s="53"/>
      <c r="G452" s="54"/>
      <c r="H452" s="54"/>
      <c r="I452" s="7"/>
      <c r="J452" s="9"/>
      <c r="K452" s="21"/>
      <c r="L452" s="77"/>
      <c r="M452" s="77"/>
      <c r="N452" s="77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</row>
    <row r="453" spans="1:27" ht="12.75" customHeight="1" x14ac:dyDescent="0.25">
      <c r="A453" s="79"/>
      <c r="B453" s="20"/>
      <c r="C453" s="82"/>
      <c r="D453" s="83"/>
      <c r="E453" s="79"/>
      <c r="F453" s="53"/>
      <c r="G453" s="54"/>
      <c r="H453" s="54"/>
      <c r="I453" s="7"/>
      <c r="J453" s="9"/>
      <c r="K453" s="21"/>
      <c r="L453" s="77"/>
      <c r="M453" s="77"/>
      <c r="N453" s="77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</row>
    <row r="454" spans="1:27" ht="12.75" customHeight="1" x14ac:dyDescent="0.25">
      <c r="A454" s="79"/>
      <c r="B454" s="20"/>
      <c r="C454" s="82"/>
      <c r="D454" s="83"/>
      <c r="E454" s="79"/>
      <c r="F454" s="53"/>
      <c r="G454" s="54"/>
      <c r="H454" s="54"/>
      <c r="I454" s="7"/>
      <c r="J454" s="9"/>
      <c r="K454" s="21"/>
      <c r="L454" s="77"/>
      <c r="M454" s="77"/>
      <c r="N454" s="77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</row>
    <row r="455" spans="1:27" ht="12.75" customHeight="1" x14ac:dyDescent="0.25">
      <c r="A455" s="79"/>
      <c r="B455" s="20"/>
      <c r="C455" s="82"/>
      <c r="D455" s="83"/>
      <c r="E455" s="79"/>
      <c r="F455" s="53"/>
      <c r="G455" s="54"/>
      <c r="H455" s="54"/>
      <c r="I455" s="7"/>
      <c r="J455" s="9"/>
      <c r="K455" s="21"/>
      <c r="L455" s="77"/>
      <c r="M455" s="77"/>
      <c r="N455" s="77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</row>
    <row r="456" spans="1:27" ht="12.75" customHeight="1" x14ac:dyDescent="0.25">
      <c r="A456" s="79"/>
      <c r="B456" s="20"/>
      <c r="C456" s="82"/>
      <c r="D456" s="83"/>
      <c r="E456" s="79"/>
      <c r="F456" s="53"/>
      <c r="G456" s="54"/>
      <c r="H456" s="54"/>
      <c r="I456" s="7"/>
      <c r="J456" s="9"/>
      <c r="K456" s="21"/>
      <c r="L456" s="77"/>
      <c r="M456" s="77"/>
      <c r="N456" s="77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</row>
    <row r="457" spans="1:27" ht="12.75" customHeight="1" x14ac:dyDescent="0.25">
      <c r="A457" s="79"/>
      <c r="B457" s="20"/>
      <c r="C457" s="82"/>
      <c r="D457" s="83"/>
      <c r="E457" s="79"/>
      <c r="F457" s="53"/>
      <c r="G457" s="54"/>
      <c r="H457" s="54"/>
      <c r="I457" s="7"/>
      <c r="J457" s="9"/>
      <c r="K457" s="21"/>
      <c r="L457" s="77"/>
      <c r="M457" s="77"/>
      <c r="N457" s="77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</row>
    <row r="458" spans="1:27" ht="12.75" customHeight="1" x14ac:dyDescent="0.25">
      <c r="A458" s="79"/>
      <c r="B458" s="20"/>
      <c r="C458" s="82"/>
      <c r="D458" s="83"/>
      <c r="E458" s="79"/>
      <c r="F458" s="53"/>
      <c r="G458" s="54"/>
      <c r="H458" s="54"/>
      <c r="I458" s="7"/>
      <c r="J458" s="9"/>
      <c r="K458" s="21"/>
      <c r="L458" s="77"/>
      <c r="M458" s="77"/>
      <c r="N458" s="77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</row>
    <row r="459" spans="1:27" ht="12.75" customHeight="1" x14ac:dyDescent="0.25">
      <c r="A459" s="79"/>
      <c r="B459" s="20"/>
      <c r="C459" s="82"/>
      <c r="D459" s="83"/>
      <c r="E459" s="79"/>
      <c r="F459" s="53"/>
      <c r="G459" s="54"/>
      <c r="H459" s="54"/>
      <c r="I459" s="7"/>
      <c r="J459" s="9"/>
      <c r="K459" s="21"/>
      <c r="L459" s="77"/>
      <c r="M459" s="77"/>
      <c r="N459" s="77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</row>
    <row r="460" spans="1:27" ht="12.75" customHeight="1" x14ac:dyDescent="0.25">
      <c r="A460" s="79"/>
      <c r="B460" s="20"/>
      <c r="C460" s="82"/>
      <c r="D460" s="83"/>
      <c r="E460" s="79"/>
      <c r="F460" s="53"/>
      <c r="G460" s="54"/>
      <c r="H460" s="54"/>
      <c r="I460" s="7"/>
      <c r="J460" s="9"/>
      <c r="K460" s="21"/>
      <c r="L460" s="77"/>
      <c r="M460" s="77"/>
      <c r="N460" s="77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</row>
    <row r="461" spans="1:27" ht="12.75" customHeight="1" x14ac:dyDescent="0.25">
      <c r="A461" s="79"/>
      <c r="B461" s="20"/>
      <c r="C461" s="82"/>
      <c r="D461" s="83"/>
      <c r="E461" s="79"/>
      <c r="F461" s="53"/>
      <c r="G461" s="54"/>
      <c r="H461" s="54"/>
      <c r="I461" s="7"/>
      <c r="J461" s="9"/>
      <c r="K461" s="21"/>
      <c r="L461" s="77"/>
      <c r="M461" s="77"/>
      <c r="N461" s="77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</row>
    <row r="462" spans="1:27" ht="12.75" customHeight="1" x14ac:dyDescent="0.25">
      <c r="A462" s="79"/>
      <c r="B462" s="20"/>
      <c r="C462" s="82"/>
      <c r="D462" s="83"/>
      <c r="E462" s="79"/>
      <c r="F462" s="53"/>
      <c r="G462" s="54"/>
      <c r="H462" s="54"/>
      <c r="I462" s="7"/>
      <c r="J462" s="9"/>
      <c r="K462" s="21"/>
      <c r="L462" s="77"/>
      <c r="M462" s="77"/>
      <c r="N462" s="77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</row>
    <row r="463" spans="1:27" ht="12.75" customHeight="1" x14ac:dyDescent="0.25">
      <c r="A463" s="79"/>
      <c r="B463" s="20"/>
      <c r="C463" s="82"/>
      <c r="D463" s="83"/>
      <c r="E463" s="79"/>
      <c r="F463" s="53"/>
      <c r="G463" s="54"/>
      <c r="H463" s="54"/>
      <c r="I463" s="7"/>
      <c r="J463" s="9"/>
      <c r="K463" s="21"/>
      <c r="L463" s="77"/>
      <c r="M463" s="77"/>
      <c r="N463" s="77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</row>
    <row r="464" spans="1:27" ht="12.75" customHeight="1" x14ac:dyDescent="0.25">
      <c r="A464" s="79"/>
      <c r="B464" s="20"/>
      <c r="C464" s="82"/>
      <c r="D464" s="83"/>
      <c r="E464" s="79"/>
      <c r="F464" s="53"/>
      <c r="G464" s="54"/>
      <c r="H464" s="54"/>
      <c r="I464" s="7"/>
      <c r="J464" s="9"/>
      <c r="K464" s="21"/>
      <c r="L464" s="77"/>
      <c r="M464" s="77"/>
      <c r="N464" s="77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</row>
    <row r="465" spans="1:27" ht="12.75" customHeight="1" x14ac:dyDescent="0.25">
      <c r="A465" s="79"/>
      <c r="B465" s="20"/>
      <c r="C465" s="82"/>
      <c r="D465" s="83"/>
      <c r="E465" s="79"/>
      <c r="F465" s="53"/>
      <c r="G465" s="54"/>
      <c r="H465" s="54"/>
      <c r="I465" s="7"/>
      <c r="J465" s="9"/>
      <c r="K465" s="21"/>
      <c r="L465" s="77"/>
      <c r="M465" s="77"/>
      <c r="N465" s="77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</row>
    <row r="466" spans="1:27" ht="12.75" customHeight="1" x14ac:dyDescent="0.25">
      <c r="A466" s="79"/>
      <c r="B466" s="20"/>
      <c r="C466" s="82"/>
      <c r="D466" s="83"/>
      <c r="E466" s="79"/>
      <c r="F466" s="53"/>
      <c r="G466" s="54"/>
      <c r="H466" s="54"/>
      <c r="I466" s="7"/>
      <c r="J466" s="9"/>
      <c r="K466" s="21"/>
      <c r="L466" s="77"/>
      <c r="M466" s="77"/>
      <c r="N466" s="77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</row>
    <row r="467" spans="1:27" ht="12.75" customHeight="1" x14ac:dyDescent="0.25">
      <c r="A467" s="79"/>
      <c r="B467" s="20"/>
      <c r="C467" s="82"/>
      <c r="D467" s="83"/>
      <c r="E467" s="79"/>
      <c r="F467" s="53"/>
      <c r="G467" s="54"/>
      <c r="H467" s="54"/>
      <c r="I467" s="7"/>
      <c r="J467" s="9"/>
      <c r="K467" s="21"/>
      <c r="L467" s="77"/>
      <c r="M467" s="77"/>
      <c r="N467" s="77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</row>
    <row r="468" spans="1:27" ht="12.75" customHeight="1" x14ac:dyDescent="0.25">
      <c r="A468" s="79"/>
      <c r="B468" s="20"/>
      <c r="C468" s="82"/>
      <c r="D468" s="83"/>
      <c r="E468" s="79"/>
      <c r="F468" s="53"/>
      <c r="G468" s="54"/>
      <c r="H468" s="54"/>
      <c r="I468" s="7"/>
      <c r="J468" s="9"/>
      <c r="K468" s="21"/>
      <c r="L468" s="77"/>
      <c r="M468" s="77"/>
      <c r="N468" s="77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</row>
    <row r="469" spans="1:27" ht="12.75" customHeight="1" x14ac:dyDescent="0.25">
      <c r="A469" s="79"/>
      <c r="B469" s="20"/>
      <c r="C469" s="82"/>
      <c r="D469" s="83"/>
      <c r="E469" s="79"/>
      <c r="F469" s="53"/>
      <c r="G469" s="54"/>
      <c r="H469" s="54"/>
      <c r="I469" s="7"/>
      <c r="J469" s="9"/>
      <c r="K469" s="21"/>
      <c r="L469" s="77"/>
      <c r="M469" s="77"/>
      <c r="N469" s="77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</row>
    <row r="470" spans="1:27" ht="12.75" customHeight="1" x14ac:dyDescent="0.25">
      <c r="A470" s="79"/>
      <c r="B470" s="20"/>
      <c r="C470" s="82"/>
      <c r="D470" s="83"/>
      <c r="E470" s="79"/>
      <c r="F470" s="53"/>
      <c r="G470" s="54"/>
      <c r="H470" s="54"/>
      <c r="I470" s="7"/>
      <c r="J470" s="9"/>
      <c r="K470" s="21"/>
      <c r="L470" s="77"/>
      <c r="M470" s="77"/>
      <c r="N470" s="77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</row>
    <row r="471" spans="1:27" ht="12.75" customHeight="1" x14ac:dyDescent="0.25">
      <c r="A471" s="79"/>
      <c r="B471" s="20"/>
      <c r="C471" s="82"/>
      <c r="D471" s="83"/>
      <c r="E471" s="79"/>
      <c r="F471" s="53"/>
      <c r="G471" s="54"/>
      <c r="H471" s="54"/>
      <c r="I471" s="7"/>
      <c r="J471" s="9"/>
      <c r="K471" s="21"/>
      <c r="L471" s="77"/>
      <c r="M471" s="77"/>
      <c r="N471" s="77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</row>
    <row r="472" spans="1:27" ht="12.75" customHeight="1" x14ac:dyDescent="0.25">
      <c r="A472" s="79"/>
      <c r="B472" s="20"/>
      <c r="C472" s="82"/>
      <c r="D472" s="83"/>
      <c r="E472" s="79"/>
      <c r="F472" s="53"/>
      <c r="G472" s="54"/>
      <c r="H472" s="54"/>
      <c r="I472" s="7"/>
      <c r="J472" s="9"/>
      <c r="K472" s="21"/>
      <c r="L472" s="77"/>
      <c r="M472" s="77"/>
      <c r="N472" s="77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</row>
    <row r="473" spans="1:27" ht="12.75" customHeight="1" x14ac:dyDescent="0.25">
      <c r="A473" s="79"/>
      <c r="B473" s="20"/>
      <c r="C473" s="82"/>
      <c r="D473" s="83"/>
      <c r="E473" s="79"/>
      <c r="F473" s="53"/>
      <c r="G473" s="54"/>
      <c r="H473" s="54"/>
      <c r="I473" s="7"/>
      <c r="J473" s="9"/>
      <c r="K473" s="21"/>
      <c r="L473" s="77"/>
      <c r="M473" s="77"/>
      <c r="N473" s="77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</row>
    <row r="474" spans="1:27" ht="12.75" customHeight="1" x14ac:dyDescent="0.25">
      <c r="A474" s="79"/>
      <c r="B474" s="20"/>
      <c r="C474" s="82"/>
      <c r="D474" s="83"/>
      <c r="E474" s="79"/>
      <c r="F474" s="53"/>
      <c r="G474" s="54"/>
      <c r="H474" s="54"/>
      <c r="I474" s="7"/>
      <c r="J474" s="9"/>
      <c r="K474" s="21"/>
      <c r="L474" s="77"/>
      <c r="M474" s="77"/>
      <c r="N474" s="77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</row>
    <row r="475" spans="1:27" ht="12.75" customHeight="1" x14ac:dyDescent="0.25">
      <c r="A475" s="79"/>
      <c r="B475" s="20"/>
      <c r="C475" s="82"/>
      <c r="D475" s="83"/>
      <c r="E475" s="79"/>
      <c r="F475" s="53"/>
      <c r="G475" s="54"/>
      <c r="H475" s="54"/>
      <c r="I475" s="7"/>
      <c r="J475" s="9"/>
      <c r="K475" s="21"/>
      <c r="L475" s="77"/>
      <c r="M475" s="77"/>
      <c r="N475" s="77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</row>
    <row r="476" spans="1:27" ht="12.75" customHeight="1" x14ac:dyDescent="0.25">
      <c r="A476" s="79"/>
      <c r="B476" s="20"/>
      <c r="C476" s="82"/>
      <c r="D476" s="83"/>
      <c r="E476" s="79"/>
      <c r="F476" s="53"/>
      <c r="G476" s="54"/>
      <c r="H476" s="54"/>
      <c r="I476" s="7"/>
      <c r="J476" s="9"/>
      <c r="K476" s="21"/>
      <c r="L476" s="77"/>
      <c r="M476" s="77"/>
      <c r="N476" s="77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</row>
    <row r="477" spans="1:27" ht="12.75" customHeight="1" x14ac:dyDescent="0.25">
      <c r="A477" s="79"/>
      <c r="B477" s="20"/>
      <c r="C477" s="82"/>
      <c r="D477" s="83"/>
      <c r="E477" s="79"/>
      <c r="F477" s="53"/>
      <c r="G477" s="54"/>
      <c r="H477" s="54"/>
      <c r="I477" s="7"/>
      <c r="J477" s="9"/>
      <c r="K477" s="21"/>
      <c r="L477" s="77"/>
      <c r="M477" s="77"/>
      <c r="N477" s="77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</row>
    <row r="478" spans="1:27" ht="12.75" customHeight="1" x14ac:dyDescent="0.25">
      <c r="A478" s="79"/>
      <c r="B478" s="20"/>
      <c r="C478" s="82"/>
      <c r="D478" s="83"/>
      <c r="E478" s="79"/>
      <c r="F478" s="53"/>
      <c r="G478" s="54"/>
      <c r="H478" s="54"/>
      <c r="I478" s="7"/>
      <c r="J478" s="9"/>
      <c r="K478" s="21"/>
      <c r="L478" s="77"/>
      <c r="M478" s="77"/>
      <c r="N478" s="77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</row>
    <row r="479" spans="1:27" ht="12.75" customHeight="1" x14ac:dyDescent="0.25">
      <c r="A479" s="79"/>
      <c r="B479" s="20"/>
      <c r="C479" s="82"/>
      <c r="D479" s="83"/>
      <c r="E479" s="79"/>
      <c r="F479" s="53"/>
      <c r="G479" s="54"/>
      <c r="H479" s="54"/>
      <c r="I479" s="7"/>
      <c r="J479" s="9"/>
      <c r="K479" s="21"/>
      <c r="L479" s="77"/>
      <c r="M479" s="77"/>
      <c r="N479" s="77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</row>
    <row r="480" spans="1:27" ht="12.75" customHeight="1" x14ac:dyDescent="0.25">
      <c r="A480" s="79"/>
      <c r="B480" s="20"/>
      <c r="C480" s="82"/>
      <c r="D480" s="83"/>
      <c r="E480" s="79"/>
      <c r="F480" s="53"/>
      <c r="G480" s="54"/>
      <c r="H480" s="54"/>
      <c r="I480" s="7"/>
      <c r="J480" s="9"/>
      <c r="K480" s="21"/>
      <c r="L480" s="77"/>
      <c r="M480" s="77"/>
      <c r="N480" s="77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</row>
    <row r="481" spans="1:27" ht="12.75" customHeight="1" x14ac:dyDescent="0.25">
      <c r="A481" s="79"/>
      <c r="B481" s="20"/>
      <c r="C481" s="82"/>
      <c r="D481" s="83"/>
      <c r="E481" s="79"/>
      <c r="F481" s="53"/>
      <c r="G481" s="54"/>
      <c r="H481" s="54"/>
      <c r="I481" s="7"/>
      <c r="J481" s="9"/>
      <c r="K481" s="21"/>
      <c r="L481" s="77"/>
      <c r="M481" s="77"/>
      <c r="N481" s="77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</row>
    <row r="482" spans="1:27" ht="12.75" customHeight="1" x14ac:dyDescent="0.25">
      <c r="A482" s="79"/>
      <c r="B482" s="20"/>
      <c r="C482" s="82"/>
      <c r="D482" s="83"/>
      <c r="E482" s="79"/>
      <c r="F482" s="53"/>
      <c r="G482" s="54"/>
      <c r="H482" s="54"/>
      <c r="I482" s="7"/>
      <c r="J482" s="9"/>
      <c r="K482" s="21"/>
      <c r="L482" s="77"/>
      <c r="M482" s="77"/>
      <c r="N482" s="77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</row>
    <row r="483" spans="1:27" ht="12.75" customHeight="1" x14ac:dyDescent="0.25">
      <c r="A483" s="79"/>
      <c r="B483" s="20"/>
      <c r="C483" s="82"/>
      <c r="D483" s="83"/>
      <c r="E483" s="79"/>
      <c r="F483" s="53"/>
      <c r="G483" s="54"/>
      <c r="H483" s="54"/>
      <c r="I483" s="7"/>
      <c r="J483" s="9"/>
      <c r="K483" s="21"/>
      <c r="L483" s="77"/>
      <c r="M483" s="77"/>
      <c r="N483" s="77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</row>
    <row r="484" spans="1:27" ht="12.75" customHeight="1" x14ac:dyDescent="0.25">
      <c r="A484" s="79"/>
      <c r="B484" s="20"/>
      <c r="C484" s="82"/>
      <c r="D484" s="83"/>
      <c r="E484" s="79"/>
      <c r="F484" s="53"/>
      <c r="G484" s="54"/>
      <c r="H484" s="54"/>
      <c r="I484" s="7"/>
      <c r="J484" s="9"/>
      <c r="K484" s="21"/>
      <c r="L484" s="77"/>
      <c r="M484" s="77"/>
      <c r="N484" s="77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</row>
    <row r="485" spans="1:27" ht="12.75" customHeight="1" x14ac:dyDescent="0.25">
      <c r="A485" s="79"/>
      <c r="B485" s="20"/>
      <c r="C485" s="82"/>
      <c r="D485" s="83"/>
      <c r="E485" s="79"/>
      <c r="F485" s="53"/>
      <c r="G485" s="54"/>
      <c r="H485" s="54"/>
      <c r="I485" s="7"/>
      <c r="J485" s="9"/>
      <c r="K485" s="21"/>
      <c r="L485" s="77"/>
      <c r="M485" s="77"/>
      <c r="N485" s="77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</row>
    <row r="486" spans="1:27" ht="12.75" customHeight="1" x14ac:dyDescent="0.25">
      <c r="A486" s="79"/>
      <c r="B486" s="20"/>
      <c r="C486" s="82"/>
      <c r="D486" s="83"/>
      <c r="E486" s="79"/>
      <c r="F486" s="53"/>
      <c r="G486" s="54"/>
      <c r="H486" s="54"/>
      <c r="I486" s="7"/>
      <c r="J486" s="9"/>
      <c r="K486" s="21"/>
      <c r="L486" s="77"/>
      <c r="M486" s="77"/>
      <c r="N486" s="77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</row>
    <row r="487" spans="1:27" ht="12.75" customHeight="1" x14ac:dyDescent="0.25">
      <c r="A487" s="79"/>
      <c r="B487" s="20"/>
      <c r="C487" s="82"/>
      <c r="D487" s="83"/>
      <c r="E487" s="79"/>
      <c r="F487" s="53"/>
      <c r="G487" s="54"/>
      <c r="H487" s="54"/>
      <c r="I487" s="7"/>
      <c r="J487" s="9"/>
      <c r="K487" s="21"/>
      <c r="L487" s="77"/>
      <c r="M487" s="77"/>
      <c r="N487" s="77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</row>
    <row r="488" spans="1:27" ht="12.75" customHeight="1" x14ac:dyDescent="0.25">
      <c r="A488" s="79"/>
      <c r="B488" s="20"/>
      <c r="C488" s="82"/>
      <c r="D488" s="83"/>
      <c r="E488" s="79"/>
      <c r="F488" s="53"/>
      <c r="G488" s="54"/>
      <c r="H488" s="54"/>
      <c r="I488" s="7"/>
      <c r="J488" s="9"/>
      <c r="K488" s="21"/>
      <c r="L488" s="77"/>
      <c r="M488" s="77"/>
      <c r="N488" s="77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</row>
    <row r="489" spans="1:27" ht="12.75" customHeight="1" x14ac:dyDescent="0.25">
      <c r="A489" s="79"/>
      <c r="B489" s="20"/>
      <c r="C489" s="82"/>
      <c r="D489" s="83"/>
      <c r="E489" s="79"/>
      <c r="F489" s="53"/>
      <c r="G489" s="54"/>
      <c r="H489" s="54"/>
      <c r="I489" s="7"/>
      <c r="J489" s="9"/>
      <c r="K489" s="21"/>
      <c r="L489" s="77"/>
      <c r="M489" s="77"/>
      <c r="N489" s="77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</row>
    <row r="490" spans="1:27" ht="12.75" customHeight="1" x14ac:dyDescent="0.25">
      <c r="A490" s="79"/>
      <c r="B490" s="20"/>
      <c r="C490" s="82"/>
      <c r="D490" s="83"/>
      <c r="E490" s="79"/>
      <c r="F490" s="53"/>
      <c r="G490" s="54"/>
      <c r="H490" s="54"/>
      <c r="I490" s="7"/>
      <c r="J490" s="9"/>
      <c r="K490" s="21"/>
      <c r="L490" s="77"/>
      <c r="M490" s="77"/>
      <c r="N490" s="77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</row>
    <row r="491" spans="1:27" ht="12.75" customHeight="1" x14ac:dyDescent="0.25">
      <c r="A491" s="79"/>
      <c r="B491" s="20"/>
      <c r="C491" s="82"/>
      <c r="D491" s="83"/>
      <c r="E491" s="79"/>
      <c r="F491" s="53"/>
      <c r="G491" s="54"/>
      <c r="H491" s="54"/>
      <c r="I491" s="7"/>
      <c r="J491" s="9"/>
      <c r="K491" s="21"/>
      <c r="L491" s="77"/>
      <c r="M491" s="77"/>
      <c r="N491" s="77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</row>
    <row r="492" spans="1:27" ht="12.75" customHeight="1" x14ac:dyDescent="0.25">
      <c r="A492" s="79"/>
      <c r="B492" s="20"/>
      <c r="C492" s="82"/>
      <c r="D492" s="83"/>
      <c r="E492" s="79"/>
      <c r="F492" s="53"/>
      <c r="G492" s="54"/>
      <c r="H492" s="54"/>
      <c r="I492" s="7"/>
      <c r="J492" s="9"/>
      <c r="K492" s="21"/>
      <c r="L492" s="77"/>
      <c r="M492" s="77"/>
      <c r="N492" s="77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</row>
    <row r="493" spans="1:27" ht="12.75" customHeight="1" x14ac:dyDescent="0.25">
      <c r="A493" s="79"/>
      <c r="B493" s="20"/>
      <c r="C493" s="82"/>
      <c r="D493" s="83"/>
      <c r="E493" s="79"/>
      <c r="F493" s="53"/>
      <c r="G493" s="54"/>
      <c r="H493" s="54"/>
      <c r="I493" s="7"/>
      <c r="J493" s="9"/>
      <c r="K493" s="21"/>
      <c r="L493" s="77"/>
      <c r="M493" s="77"/>
      <c r="N493" s="77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</row>
    <row r="494" spans="1:27" ht="12.75" customHeight="1" x14ac:dyDescent="0.25">
      <c r="A494" s="79"/>
      <c r="B494" s="20"/>
      <c r="C494" s="82"/>
      <c r="D494" s="83"/>
      <c r="E494" s="79"/>
      <c r="F494" s="53"/>
      <c r="G494" s="54"/>
      <c r="H494" s="54"/>
      <c r="I494" s="7"/>
      <c r="J494" s="9"/>
      <c r="K494" s="21"/>
      <c r="L494" s="77"/>
      <c r="M494" s="77"/>
      <c r="N494" s="77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</row>
    <row r="495" spans="1:27" ht="12.75" customHeight="1" x14ac:dyDescent="0.25">
      <c r="A495" s="79"/>
      <c r="B495" s="20"/>
      <c r="C495" s="82"/>
      <c r="D495" s="83"/>
      <c r="E495" s="79"/>
      <c r="F495" s="53"/>
      <c r="G495" s="54"/>
      <c r="H495" s="54"/>
      <c r="I495" s="7"/>
      <c r="J495" s="9"/>
      <c r="K495" s="21"/>
      <c r="L495" s="77"/>
      <c r="M495" s="77"/>
      <c r="N495" s="77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</row>
    <row r="496" spans="1:27" ht="12.75" customHeight="1" x14ac:dyDescent="0.25">
      <c r="A496" s="79"/>
      <c r="B496" s="20"/>
      <c r="C496" s="82"/>
      <c r="D496" s="83"/>
      <c r="E496" s="79"/>
      <c r="F496" s="53"/>
      <c r="G496" s="54"/>
      <c r="H496" s="54"/>
      <c r="I496" s="7"/>
      <c r="J496" s="9"/>
      <c r="K496" s="21"/>
      <c r="L496" s="77"/>
      <c r="M496" s="77"/>
      <c r="N496" s="77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</row>
    <row r="497" spans="1:27" ht="12.75" customHeight="1" x14ac:dyDescent="0.25">
      <c r="A497" s="79"/>
      <c r="B497" s="20"/>
      <c r="C497" s="82"/>
      <c r="D497" s="83"/>
      <c r="E497" s="79"/>
      <c r="F497" s="53"/>
      <c r="G497" s="54"/>
      <c r="H497" s="54"/>
      <c r="I497" s="7"/>
      <c r="J497" s="9"/>
      <c r="K497" s="21"/>
      <c r="L497" s="77"/>
      <c r="M497" s="77"/>
      <c r="N497" s="77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</row>
    <row r="498" spans="1:27" ht="12.75" customHeight="1" x14ac:dyDescent="0.25">
      <c r="A498" s="79"/>
      <c r="B498" s="20"/>
      <c r="C498" s="82"/>
      <c r="D498" s="83"/>
      <c r="E498" s="79"/>
      <c r="F498" s="53"/>
      <c r="G498" s="54"/>
      <c r="H498" s="54"/>
      <c r="I498" s="7"/>
      <c r="J498" s="9"/>
      <c r="K498" s="21"/>
      <c r="L498" s="77"/>
      <c r="M498" s="77"/>
      <c r="N498" s="77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</row>
    <row r="499" spans="1:27" ht="12.75" customHeight="1" x14ac:dyDescent="0.25">
      <c r="A499" s="79"/>
      <c r="B499" s="20"/>
      <c r="C499" s="82"/>
      <c r="D499" s="83"/>
      <c r="E499" s="79"/>
      <c r="F499" s="53"/>
      <c r="G499" s="54"/>
      <c r="H499" s="54"/>
      <c r="I499" s="7"/>
      <c r="J499" s="9"/>
      <c r="K499" s="21"/>
      <c r="L499" s="77"/>
      <c r="M499" s="77"/>
      <c r="N499" s="77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</row>
    <row r="500" spans="1:27" ht="12.75" customHeight="1" x14ac:dyDescent="0.25">
      <c r="A500" s="79"/>
      <c r="B500" s="20"/>
      <c r="C500" s="82"/>
      <c r="D500" s="83"/>
      <c r="E500" s="79"/>
      <c r="F500" s="53"/>
      <c r="G500" s="54"/>
      <c r="H500" s="54"/>
      <c r="I500" s="7"/>
      <c r="J500" s="9"/>
      <c r="K500" s="21"/>
      <c r="L500" s="77"/>
      <c r="M500" s="77"/>
      <c r="N500" s="77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</row>
    <row r="501" spans="1:27" ht="12.75" customHeight="1" x14ac:dyDescent="0.25">
      <c r="A501" s="79"/>
      <c r="B501" s="20"/>
      <c r="C501" s="82"/>
      <c r="D501" s="83"/>
      <c r="E501" s="79"/>
      <c r="F501" s="53"/>
      <c r="G501" s="54"/>
      <c r="H501" s="54"/>
      <c r="I501" s="7"/>
      <c r="J501" s="9"/>
      <c r="K501" s="21"/>
      <c r="L501" s="77"/>
      <c r="M501" s="77"/>
      <c r="N501" s="77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</row>
    <row r="502" spans="1:27" ht="12.75" customHeight="1" x14ac:dyDescent="0.25">
      <c r="A502" s="79"/>
      <c r="B502" s="20"/>
      <c r="C502" s="82"/>
      <c r="D502" s="83"/>
      <c r="E502" s="79"/>
      <c r="F502" s="53"/>
      <c r="G502" s="54"/>
      <c r="H502" s="54"/>
      <c r="I502" s="7"/>
      <c r="J502" s="9"/>
      <c r="K502" s="21"/>
      <c r="L502" s="77"/>
      <c r="M502" s="77"/>
      <c r="N502" s="77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</row>
    <row r="503" spans="1:27" ht="12.75" customHeight="1" x14ac:dyDescent="0.25">
      <c r="A503" s="79"/>
      <c r="B503" s="20"/>
      <c r="C503" s="82"/>
      <c r="D503" s="83"/>
      <c r="E503" s="79"/>
      <c r="F503" s="53"/>
      <c r="G503" s="54"/>
      <c r="H503" s="54"/>
      <c r="I503" s="7"/>
      <c r="J503" s="9"/>
      <c r="K503" s="21"/>
      <c r="L503" s="77"/>
      <c r="M503" s="77"/>
      <c r="N503" s="77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</row>
    <row r="504" spans="1:27" ht="12.75" customHeight="1" x14ac:dyDescent="0.25">
      <c r="A504" s="79"/>
      <c r="B504" s="20"/>
      <c r="C504" s="82"/>
      <c r="D504" s="83"/>
      <c r="E504" s="79"/>
      <c r="F504" s="53"/>
      <c r="G504" s="54"/>
      <c r="H504" s="54"/>
      <c r="I504" s="7"/>
      <c r="J504" s="9"/>
      <c r="K504" s="21"/>
      <c r="L504" s="77"/>
      <c r="M504" s="77"/>
      <c r="N504" s="77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</row>
    <row r="505" spans="1:27" ht="12.75" customHeight="1" x14ac:dyDescent="0.25">
      <c r="A505" s="79"/>
      <c r="B505" s="20"/>
      <c r="C505" s="82"/>
      <c r="D505" s="83"/>
      <c r="E505" s="79"/>
      <c r="F505" s="53"/>
      <c r="G505" s="54"/>
      <c r="H505" s="54"/>
      <c r="I505" s="7"/>
      <c r="J505" s="9"/>
      <c r="K505" s="21"/>
      <c r="L505" s="77"/>
      <c r="M505" s="77"/>
      <c r="N505" s="77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</row>
    <row r="506" spans="1:27" ht="12.75" customHeight="1" x14ac:dyDescent="0.25">
      <c r="A506" s="79"/>
      <c r="B506" s="20"/>
      <c r="C506" s="82"/>
      <c r="D506" s="83"/>
      <c r="E506" s="79"/>
      <c r="F506" s="53"/>
      <c r="G506" s="54"/>
      <c r="H506" s="54"/>
      <c r="I506" s="7"/>
      <c r="J506" s="9"/>
      <c r="K506" s="21"/>
      <c r="L506" s="77"/>
      <c r="M506" s="77"/>
      <c r="N506" s="77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</row>
    <row r="507" spans="1:27" ht="12.75" customHeight="1" x14ac:dyDescent="0.25">
      <c r="A507" s="79"/>
      <c r="B507" s="20"/>
      <c r="C507" s="82"/>
      <c r="D507" s="83"/>
      <c r="E507" s="79"/>
      <c r="F507" s="53"/>
      <c r="G507" s="54"/>
      <c r="H507" s="54"/>
      <c r="I507" s="7"/>
      <c r="J507" s="9"/>
      <c r="K507" s="21"/>
      <c r="L507" s="77"/>
      <c r="M507" s="77"/>
      <c r="N507" s="77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</row>
    <row r="508" spans="1:27" ht="12.75" customHeight="1" x14ac:dyDescent="0.25">
      <c r="A508" s="79"/>
      <c r="B508" s="20"/>
      <c r="C508" s="82"/>
      <c r="D508" s="83"/>
      <c r="E508" s="79"/>
      <c r="F508" s="53"/>
      <c r="G508" s="54"/>
      <c r="H508" s="54"/>
      <c r="I508" s="7"/>
      <c r="J508" s="9"/>
      <c r="K508" s="21"/>
      <c r="L508" s="77"/>
      <c r="M508" s="77"/>
      <c r="N508" s="77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</row>
    <row r="509" spans="1:27" ht="12.75" customHeight="1" x14ac:dyDescent="0.25">
      <c r="A509" s="79"/>
      <c r="B509" s="20"/>
      <c r="C509" s="82"/>
      <c r="D509" s="83"/>
      <c r="E509" s="79"/>
      <c r="F509" s="53"/>
      <c r="G509" s="54"/>
      <c r="H509" s="54"/>
      <c r="I509" s="7"/>
      <c r="J509" s="9"/>
      <c r="K509" s="21"/>
      <c r="L509" s="77"/>
      <c r="M509" s="77"/>
      <c r="N509" s="77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</row>
    <row r="510" spans="1:27" ht="12.75" customHeight="1" x14ac:dyDescent="0.25">
      <c r="A510" s="79"/>
      <c r="B510" s="20"/>
      <c r="C510" s="82"/>
      <c r="D510" s="83"/>
      <c r="E510" s="79"/>
      <c r="F510" s="53"/>
      <c r="G510" s="54"/>
      <c r="H510" s="54"/>
      <c r="I510" s="7"/>
      <c r="J510" s="9"/>
      <c r="K510" s="21"/>
      <c r="L510" s="77"/>
      <c r="M510" s="77"/>
      <c r="N510" s="77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</row>
    <row r="511" spans="1:27" ht="12.75" customHeight="1" x14ac:dyDescent="0.25">
      <c r="A511" s="79"/>
      <c r="B511" s="20"/>
      <c r="C511" s="82"/>
      <c r="D511" s="83"/>
      <c r="E511" s="79"/>
      <c r="F511" s="53"/>
      <c r="G511" s="54"/>
      <c r="H511" s="54"/>
      <c r="I511" s="7"/>
      <c r="J511" s="9"/>
      <c r="K511" s="21"/>
      <c r="L511" s="77"/>
      <c r="M511" s="77"/>
      <c r="N511" s="77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</row>
    <row r="512" spans="1:27" ht="12.75" customHeight="1" x14ac:dyDescent="0.25">
      <c r="A512" s="79"/>
      <c r="B512" s="20"/>
      <c r="C512" s="82"/>
      <c r="D512" s="83"/>
      <c r="E512" s="79"/>
      <c r="F512" s="53"/>
      <c r="G512" s="54"/>
      <c r="H512" s="54"/>
      <c r="I512" s="7"/>
      <c r="J512" s="9"/>
      <c r="K512" s="21"/>
      <c r="L512" s="77"/>
      <c r="M512" s="77"/>
      <c r="N512" s="77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</row>
    <row r="513" spans="1:27" ht="12.75" customHeight="1" x14ac:dyDescent="0.25">
      <c r="A513" s="79"/>
      <c r="B513" s="20"/>
      <c r="C513" s="82"/>
      <c r="D513" s="83"/>
      <c r="E513" s="79"/>
      <c r="F513" s="53"/>
      <c r="G513" s="54"/>
      <c r="H513" s="54"/>
      <c r="I513" s="7"/>
      <c r="J513" s="9"/>
      <c r="K513" s="21"/>
      <c r="L513" s="77"/>
      <c r="M513" s="77"/>
      <c r="N513" s="77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</row>
    <row r="514" spans="1:27" ht="12.75" customHeight="1" x14ac:dyDescent="0.25">
      <c r="A514" s="79"/>
      <c r="B514" s="20"/>
      <c r="C514" s="82"/>
      <c r="D514" s="83"/>
      <c r="E514" s="79"/>
      <c r="F514" s="53"/>
      <c r="G514" s="54"/>
      <c r="H514" s="54"/>
      <c r="I514" s="7"/>
      <c r="J514" s="9"/>
      <c r="K514" s="21"/>
      <c r="L514" s="77"/>
      <c r="M514" s="77"/>
      <c r="N514" s="77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</row>
    <row r="515" spans="1:27" ht="12.75" customHeight="1" x14ac:dyDescent="0.25">
      <c r="A515" s="79"/>
      <c r="B515" s="20"/>
      <c r="C515" s="82"/>
      <c r="D515" s="83"/>
      <c r="E515" s="79"/>
      <c r="F515" s="53"/>
      <c r="G515" s="54"/>
      <c r="H515" s="54"/>
      <c r="I515" s="7"/>
      <c r="J515" s="9"/>
      <c r="K515" s="21"/>
      <c r="L515" s="77"/>
      <c r="M515" s="77"/>
      <c r="N515" s="77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</row>
    <row r="516" spans="1:27" ht="12.75" customHeight="1" x14ac:dyDescent="0.25">
      <c r="A516" s="79"/>
      <c r="B516" s="20"/>
      <c r="C516" s="82"/>
      <c r="D516" s="83"/>
      <c r="E516" s="79"/>
      <c r="F516" s="53"/>
      <c r="G516" s="54"/>
      <c r="H516" s="54"/>
      <c r="I516" s="7"/>
      <c r="J516" s="9"/>
      <c r="K516" s="21"/>
      <c r="L516" s="77"/>
      <c r="M516" s="77"/>
      <c r="N516" s="77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</row>
    <row r="517" spans="1:27" ht="12.75" customHeight="1" x14ac:dyDescent="0.25">
      <c r="A517" s="79"/>
      <c r="B517" s="20"/>
      <c r="C517" s="82"/>
      <c r="D517" s="83"/>
      <c r="E517" s="79"/>
      <c r="F517" s="53"/>
      <c r="G517" s="54"/>
      <c r="H517" s="54"/>
      <c r="I517" s="7"/>
      <c r="J517" s="9"/>
      <c r="K517" s="21"/>
      <c r="L517" s="77"/>
      <c r="M517" s="77"/>
      <c r="N517" s="77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</row>
    <row r="518" spans="1:27" ht="12.75" customHeight="1" x14ac:dyDescent="0.25">
      <c r="A518" s="79"/>
      <c r="B518" s="20"/>
      <c r="C518" s="82"/>
      <c r="D518" s="83"/>
      <c r="E518" s="79"/>
      <c r="F518" s="53"/>
      <c r="G518" s="54"/>
      <c r="H518" s="54"/>
      <c r="I518" s="7"/>
      <c r="J518" s="9"/>
      <c r="K518" s="21"/>
      <c r="L518" s="77"/>
      <c r="M518" s="77"/>
      <c r="N518" s="77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</row>
    <row r="519" spans="1:27" ht="12.75" customHeight="1" x14ac:dyDescent="0.25">
      <c r="A519" s="79"/>
      <c r="B519" s="20"/>
      <c r="C519" s="82"/>
      <c r="D519" s="83"/>
      <c r="E519" s="79"/>
      <c r="F519" s="53"/>
      <c r="G519" s="54"/>
      <c r="H519" s="54"/>
      <c r="I519" s="7"/>
      <c r="J519" s="9"/>
      <c r="K519" s="21"/>
      <c r="L519" s="77"/>
      <c r="M519" s="77"/>
      <c r="N519" s="77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</row>
    <row r="520" spans="1:27" ht="12.75" customHeight="1" x14ac:dyDescent="0.25">
      <c r="A520" s="79"/>
      <c r="B520" s="20"/>
      <c r="C520" s="82"/>
      <c r="D520" s="83"/>
      <c r="E520" s="79"/>
      <c r="F520" s="53"/>
      <c r="G520" s="54"/>
      <c r="H520" s="54"/>
      <c r="I520" s="7"/>
      <c r="J520" s="9"/>
      <c r="K520" s="21"/>
      <c r="L520" s="77"/>
      <c r="M520" s="77"/>
      <c r="N520" s="77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</row>
    <row r="521" spans="1:27" ht="12.75" customHeight="1" x14ac:dyDescent="0.25">
      <c r="A521" s="79"/>
      <c r="B521" s="20"/>
      <c r="C521" s="82"/>
      <c r="D521" s="83"/>
      <c r="E521" s="79"/>
      <c r="F521" s="53"/>
      <c r="G521" s="54"/>
      <c r="H521" s="54"/>
      <c r="I521" s="7"/>
      <c r="J521" s="9"/>
      <c r="K521" s="21"/>
      <c r="L521" s="77"/>
      <c r="M521" s="77"/>
      <c r="N521" s="77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</row>
    <row r="522" spans="1:27" ht="12.75" customHeight="1" x14ac:dyDescent="0.25">
      <c r="A522" s="79"/>
      <c r="B522" s="20"/>
      <c r="C522" s="82"/>
      <c r="D522" s="83"/>
      <c r="E522" s="79"/>
      <c r="F522" s="53"/>
      <c r="G522" s="54"/>
      <c r="H522" s="54"/>
      <c r="I522" s="7"/>
      <c r="J522" s="9"/>
      <c r="K522" s="21"/>
      <c r="L522" s="77"/>
      <c r="M522" s="77"/>
      <c r="N522" s="77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</row>
    <row r="523" spans="1:27" ht="12.75" customHeight="1" x14ac:dyDescent="0.25">
      <c r="A523" s="79"/>
      <c r="B523" s="20"/>
      <c r="C523" s="82"/>
      <c r="D523" s="83"/>
      <c r="E523" s="79"/>
      <c r="F523" s="53"/>
      <c r="G523" s="54"/>
      <c r="H523" s="54"/>
      <c r="I523" s="7"/>
      <c r="J523" s="9"/>
      <c r="K523" s="21"/>
      <c r="L523" s="77"/>
      <c r="M523" s="77"/>
      <c r="N523" s="77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</row>
    <row r="524" spans="1:27" ht="12.75" customHeight="1" x14ac:dyDescent="0.25">
      <c r="A524" s="79"/>
      <c r="B524" s="20"/>
      <c r="C524" s="82"/>
      <c r="D524" s="83"/>
      <c r="E524" s="79"/>
      <c r="F524" s="53"/>
      <c r="G524" s="54"/>
      <c r="H524" s="54"/>
      <c r="I524" s="7"/>
      <c r="J524" s="9"/>
      <c r="K524" s="21"/>
      <c r="L524" s="77"/>
      <c r="M524" s="77"/>
      <c r="N524" s="77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</row>
    <row r="525" spans="1:27" ht="12.75" customHeight="1" x14ac:dyDescent="0.25">
      <c r="A525" s="79"/>
      <c r="B525" s="20"/>
      <c r="C525" s="82"/>
      <c r="D525" s="83"/>
      <c r="E525" s="79"/>
      <c r="F525" s="53"/>
      <c r="G525" s="54"/>
      <c r="H525" s="54"/>
      <c r="I525" s="7"/>
      <c r="J525" s="9"/>
      <c r="K525" s="21"/>
      <c r="L525" s="77"/>
      <c r="M525" s="77"/>
      <c r="N525" s="77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</row>
    <row r="526" spans="1:27" ht="12.75" customHeight="1" x14ac:dyDescent="0.25">
      <c r="A526" s="79"/>
      <c r="B526" s="20"/>
      <c r="C526" s="82"/>
      <c r="D526" s="83"/>
      <c r="E526" s="79"/>
      <c r="F526" s="53"/>
      <c r="G526" s="54"/>
      <c r="H526" s="54"/>
      <c r="I526" s="7"/>
      <c r="J526" s="9"/>
      <c r="K526" s="21"/>
      <c r="L526" s="77"/>
      <c r="M526" s="77"/>
      <c r="N526" s="77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</row>
    <row r="527" spans="1:27" ht="12.75" customHeight="1" x14ac:dyDescent="0.25">
      <c r="A527" s="79"/>
      <c r="B527" s="20"/>
      <c r="C527" s="82"/>
      <c r="D527" s="83"/>
      <c r="E527" s="79"/>
      <c r="F527" s="53"/>
      <c r="G527" s="54"/>
      <c r="H527" s="54"/>
      <c r="I527" s="7"/>
      <c r="J527" s="9"/>
      <c r="K527" s="21"/>
      <c r="L527" s="77"/>
      <c r="M527" s="77"/>
      <c r="N527" s="77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</row>
    <row r="528" spans="1:27" ht="12.75" customHeight="1" x14ac:dyDescent="0.25">
      <c r="A528" s="79"/>
      <c r="B528" s="20"/>
      <c r="C528" s="82"/>
      <c r="D528" s="83"/>
      <c r="E528" s="79"/>
      <c r="F528" s="53"/>
      <c r="G528" s="54"/>
      <c r="H528" s="54"/>
      <c r="I528" s="7"/>
      <c r="J528" s="9"/>
      <c r="K528" s="21"/>
      <c r="L528" s="77"/>
      <c r="M528" s="77"/>
      <c r="N528" s="77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</row>
    <row r="529" spans="1:27" ht="12.75" customHeight="1" x14ac:dyDescent="0.25">
      <c r="A529" s="79"/>
      <c r="B529" s="20"/>
      <c r="C529" s="82"/>
      <c r="D529" s="83"/>
      <c r="E529" s="79"/>
      <c r="F529" s="53"/>
      <c r="G529" s="54"/>
      <c r="H529" s="54"/>
      <c r="I529" s="7"/>
      <c r="J529" s="9"/>
      <c r="K529" s="21"/>
      <c r="L529" s="77"/>
      <c r="M529" s="77"/>
      <c r="N529" s="77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</row>
    <row r="530" spans="1:27" ht="12.75" customHeight="1" x14ac:dyDescent="0.25">
      <c r="A530" s="79"/>
      <c r="B530" s="20"/>
      <c r="C530" s="82"/>
      <c r="D530" s="83"/>
      <c r="E530" s="79"/>
      <c r="F530" s="53"/>
      <c r="G530" s="54"/>
      <c r="H530" s="54"/>
      <c r="I530" s="7"/>
      <c r="J530" s="9"/>
      <c r="K530" s="21"/>
      <c r="L530" s="77"/>
      <c r="M530" s="77"/>
      <c r="N530" s="77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</row>
    <row r="531" spans="1:27" ht="12.75" customHeight="1" x14ac:dyDescent="0.25">
      <c r="A531" s="79"/>
      <c r="B531" s="20"/>
      <c r="C531" s="82"/>
      <c r="D531" s="83"/>
      <c r="E531" s="79"/>
      <c r="F531" s="53"/>
      <c r="G531" s="54"/>
      <c r="H531" s="54"/>
      <c r="I531" s="7"/>
      <c r="J531" s="9"/>
      <c r="K531" s="21"/>
      <c r="L531" s="77"/>
      <c r="M531" s="77"/>
      <c r="N531" s="77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</row>
    <row r="532" spans="1:27" ht="12.75" customHeight="1" x14ac:dyDescent="0.25">
      <c r="A532" s="79"/>
      <c r="B532" s="20"/>
      <c r="C532" s="82"/>
      <c r="D532" s="83"/>
      <c r="E532" s="79"/>
      <c r="F532" s="53"/>
      <c r="G532" s="54"/>
      <c r="H532" s="54"/>
      <c r="I532" s="7"/>
      <c r="J532" s="9"/>
      <c r="K532" s="21"/>
      <c r="L532" s="77"/>
      <c r="M532" s="77"/>
      <c r="N532" s="77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</row>
    <row r="533" spans="1:27" ht="12.75" customHeight="1" x14ac:dyDescent="0.25">
      <c r="A533" s="79"/>
      <c r="B533" s="20"/>
      <c r="C533" s="82"/>
      <c r="D533" s="83"/>
      <c r="E533" s="79"/>
      <c r="F533" s="53"/>
      <c r="G533" s="54"/>
      <c r="H533" s="54"/>
      <c r="I533" s="7"/>
      <c r="J533" s="9"/>
      <c r="K533" s="21"/>
      <c r="L533" s="77"/>
      <c r="M533" s="77"/>
      <c r="N533" s="77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</row>
    <row r="534" spans="1:27" ht="12.75" customHeight="1" x14ac:dyDescent="0.25">
      <c r="A534" s="79"/>
      <c r="B534" s="20"/>
      <c r="C534" s="82"/>
      <c r="D534" s="83"/>
      <c r="E534" s="79"/>
      <c r="F534" s="53"/>
      <c r="G534" s="54"/>
      <c r="H534" s="54"/>
      <c r="I534" s="7"/>
      <c r="J534" s="9"/>
      <c r="K534" s="21"/>
      <c r="L534" s="77"/>
      <c r="M534" s="77"/>
      <c r="N534" s="77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</row>
    <row r="535" spans="1:27" ht="12.75" customHeight="1" x14ac:dyDescent="0.25">
      <c r="A535" s="79"/>
      <c r="B535" s="20"/>
      <c r="C535" s="82"/>
      <c r="D535" s="83"/>
      <c r="E535" s="79"/>
      <c r="F535" s="53"/>
      <c r="G535" s="54"/>
      <c r="H535" s="54"/>
      <c r="I535" s="7"/>
      <c r="J535" s="9"/>
      <c r="K535" s="21"/>
      <c r="L535" s="77"/>
      <c r="M535" s="77"/>
      <c r="N535" s="77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</row>
    <row r="536" spans="1:27" ht="12.75" customHeight="1" x14ac:dyDescent="0.25">
      <c r="A536" s="79"/>
      <c r="B536" s="20"/>
      <c r="C536" s="82"/>
      <c r="D536" s="83"/>
      <c r="E536" s="79"/>
      <c r="F536" s="53"/>
      <c r="G536" s="54"/>
      <c r="H536" s="54"/>
      <c r="I536" s="7"/>
      <c r="J536" s="9"/>
      <c r="K536" s="21"/>
      <c r="L536" s="77"/>
      <c r="M536" s="77"/>
      <c r="N536" s="77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</row>
    <row r="537" spans="1:27" ht="12.75" customHeight="1" x14ac:dyDescent="0.25">
      <c r="A537" s="79"/>
      <c r="B537" s="20"/>
      <c r="C537" s="82"/>
      <c r="D537" s="83"/>
      <c r="E537" s="79"/>
      <c r="F537" s="53"/>
      <c r="G537" s="54"/>
      <c r="H537" s="54"/>
      <c r="I537" s="7"/>
      <c r="J537" s="9"/>
      <c r="K537" s="21"/>
      <c r="L537" s="77"/>
      <c r="M537" s="77"/>
      <c r="N537" s="77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</row>
    <row r="538" spans="1:27" ht="12.75" customHeight="1" x14ac:dyDescent="0.25">
      <c r="A538" s="79"/>
      <c r="B538" s="20"/>
      <c r="C538" s="82"/>
      <c r="D538" s="83"/>
      <c r="E538" s="79"/>
      <c r="F538" s="53"/>
      <c r="G538" s="54"/>
      <c r="H538" s="54"/>
      <c r="I538" s="7"/>
      <c r="J538" s="9"/>
      <c r="K538" s="21"/>
      <c r="L538" s="77"/>
      <c r="M538" s="77"/>
      <c r="N538" s="77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</row>
    <row r="539" spans="1:27" ht="12.75" customHeight="1" x14ac:dyDescent="0.25">
      <c r="A539" s="79"/>
      <c r="B539" s="20"/>
      <c r="C539" s="82"/>
      <c r="D539" s="83"/>
      <c r="E539" s="79"/>
      <c r="F539" s="53"/>
      <c r="G539" s="54"/>
      <c r="H539" s="54"/>
      <c r="I539" s="7"/>
      <c r="J539" s="9"/>
      <c r="K539" s="21"/>
      <c r="L539" s="77"/>
      <c r="M539" s="77"/>
      <c r="N539" s="77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</row>
    <row r="540" spans="1:27" ht="12.75" customHeight="1" x14ac:dyDescent="0.25">
      <c r="A540" s="79"/>
      <c r="B540" s="20"/>
      <c r="C540" s="82"/>
      <c r="D540" s="83"/>
      <c r="E540" s="79"/>
      <c r="F540" s="53"/>
      <c r="G540" s="54"/>
      <c r="H540" s="54"/>
      <c r="I540" s="7"/>
      <c r="J540" s="9"/>
      <c r="K540" s="21"/>
      <c r="L540" s="77"/>
      <c r="M540" s="77"/>
      <c r="N540" s="77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</row>
    <row r="541" spans="1:27" ht="12.75" customHeight="1" x14ac:dyDescent="0.25">
      <c r="A541" s="79"/>
      <c r="B541" s="20"/>
      <c r="C541" s="82"/>
      <c r="D541" s="83"/>
      <c r="E541" s="79"/>
      <c r="F541" s="53"/>
      <c r="G541" s="54"/>
      <c r="H541" s="54"/>
      <c r="I541" s="7"/>
      <c r="J541" s="9"/>
      <c r="K541" s="21"/>
      <c r="L541" s="77"/>
      <c r="M541" s="77"/>
      <c r="N541" s="77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</row>
    <row r="542" spans="1:27" ht="12.75" customHeight="1" x14ac:dyDescent="0.25">
      <c r="A542" s="79"/>
      <c r="B542" s="20"/>
      <c r="C542" s="82"/>
      <c r="D542" s="83"/>
      <c r="E542" s="79"/>
      <c r="F542" s="53"/>
      <c r="G542" s="54"/>
      <c r="H542" s="54"/>
      <c r="I542" s="7"/>
      <c r="J542" s="9"/>
      <c r="K542" s="21"/>
      <c r="L542" s="77"/>
      <c r="M542" s="77"/>
      <c r="N542" s="77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</row>
    <row r="543" spans="1:27" ht="12.75" customHeight="1" x14ac:dyDescent="0.25">
      <c r="A543" s="79"/>
      <c r="B543" s="20"/>
      <c r="C543" s="82"/>
      <c r="D543" s="83"/>
      <c r="E543" s="79"/>
      <c r="F543" s="53"/>
      <c r="G543" s="54"/>
      <c r="H543" s="54"/>
      <c r="I543" s="7"/>
      <c r="J543" s="9"/>
      <c r="K543" s="21"/>
      <c r="L543" s="77"/>
      <c r="M543" s="77"/>
      <c r="N543" s="77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</row>
    <row r="544" spans="1:27" ht="12.75" customHeight="1" x14ac:dyDescent="0.25">
      <c r="A544" s="79"/>
      <c r="B544" s="20"/>
      <c r="C544" s="82"/>
      <c r="D544" s="83"/>
      <c r="E544" s="79"/>
      <c r="F544" s="53"/>
      <c r="G544" s="54"/>
      <c r="H544" s="54"/>
      <c r="I544" s="7"/>
      <c r="J544" s="9"/>
      <c r="K544" s="21"/>
      <c r="L544" s="77"/>
      <c r="M544" s="77"/>
      <c r="N544" s="77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</row>
    <row r="545" spans="1:27" ht="12.75" customHeight="1" x14ac:dyDescent="0.25">
      <c r="A545" s="79"/>
      <c r="B545" s="20"/>
      <c r="C545" s="82"/>
      <c r="D545" s="83"/>
      <c r="E545" s="79"/>
      <c r="F545" s="53"/>
      <c r="G545" s="54"/>
      <c r="H545" s="54"/>
      <c r="I545" s="7"/>
      <c r="J545" s="9"/>
      <c r="K545" s="21"/>
      <c r="L545" s="77"/>
      <c r="M545" s="77"/>
      <c r="N545" s="77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</row>
    <row r="546" spans="1:27" ht="12.75" customHeight="1" x14ac:dyDescent="0.25">
      <c r="A546" s="79"/>
      <c r="B546" s="20"/>
      <c r="C546" s="82"/>
      <c r="D546" s="83"/>
      <c r="E546" s="79"/>
      <c r="F546" s="53"/>
      <c r="G546" s="54"/>
      <c r="H546" s="54"/>
      <c r="I546" s="7"/>
      <c r="J546" s="9"/>
      <c r="K546" s="21"/>
      <c r="L546" s="77"/>
      <c r="M546" s="77"/>
      <c r="N546" s="77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</row>
    <row r="547" spans="1:27" ht="12.75" customHeight="1" x14ac:dyDescent="0.25">
      <c r="A547" s="79"/>
      <c r="B547" s="20"/>
      <c r="C547" s="82"/>
      <c r="D547" s="83"/>
      <c r="E547" s="79"/>
      <c r="F547" s="53"/>
      <c r="G547" s="54"/>
      <c r="H547" s="54"/>
      <c r="I547" s="7"/>
      <c r="J547" s="9"/>
      <c r="K547" s="21"/>
      <c r="L547" s="77"/>
      <c r="M547" s="77"/>
      <c r="N547" s="77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</row>
    <row r="548" spans="1:27" ht="12.75" customHeight="1" x14ac:dyDescent="0.25">
      <c r="A548" s="79"/>
      <c r="B548" s="20"/>
      <c r="C548" s="82"/>
      <c r="D548" s="83"/>
      <c r="E548" s="79"/>
      <c r="F548" s="53"/>
      <c r="G548" s="54"/>
      <c r="H548" s="54"/>
      <c r="I548" s="7"/>
      <c r="J548" s="9"/>
      <c r="K548" s="21"/>
      <c r="L548" s="77"/>
      <c r="M548" s="77"/>
      <c r="N548" s="77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</row>
    <row r="549" spans="1:27" ht="12.75" customHeight="1" x14ac:dyDescent="0.25">
      <c r="A549" s="79"/>
      <c r="B549" s="20"/>
      <c r="C549" s="82"/>
      <c r="D549" s="83"/>
      <c r="E549" s="79"/>
      <c r="F549" s="53"/>
      <c r="G549" s="54"/>
      <c r="H549" s="54"/>
      <c r="I549" s="7"/>
      <c r="J549" s="9"/>
      <c r="K549" s="21"/>
      <c r="L549" s="77"/>
      <c r="M549" s="77"/>
      <c r="N549" s="77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</row>
    <row r="550" spans="1:27" ht="12.75" customHeight="1" x14ac:dyDescent="0.25">
      <c r="A550" s="79"/>
      <c r="B550" s="20"/>
      <c r="C550" s="82"/>
      <c r="D550" s="83"/>
      <c r="E550" s="79"/>
      <c r="F550" s="53"/>
      <c r="G550" s="54"/>
      <c r="H550" s="54"/>
      <c r="I550" s="7"/>
      <c r="J550" s="9"/>
      <c r="K550" s="21"/>
      <c r="L550" s="77"/>
      <c r="M550" s="77"/>
      <c r="N550" s="77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</row>
    <row r="551" spans="1:27" ht="12.75" customHeight="1" x14ac:dyDescent="0.25">
      <c r="A551" s="79"/>
      <c r="B551" s="20"/>
      <c r="C551" s="82"/>
      <c r="D551" s="83"/>
      <c r="E551" s="79"/>
      <c r="F551" s="53"/>
      <c r="G551" s="54"/>
      <c r="H551" s="54"/>
      <c r="I551" s="7"/>
      <c r="J551" s="9"/>
      <c r="K551" s="21"/>
      <c r="L551" s="77"/>
      <c r="M551" s="77"/>
      <c r="N551" s="77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</row>
    <row r="552" spans="1:27" ht="12.75" customHeight="1" x14ac:dyDescent="0.25">
      <c r="A552" s="79"/>
      <c r="B552" s="20"/>
      <c r="C552" s="82"/>
      <c r="D552" s="83"/>
      <c r="E552" s="79"/>
      <c r="F552" s="53"/>
      <c r="G552" s="54"/>
      <c r="H552" s="54"/>
      <c r="I552" s="7"/>
      <c r="J552" s="9"/>
      <c r="K552" s="21"/>
      <c r="L552" s="77"/>
      <c r="M552" s="77"/>
      <c r="N552" s="77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</row>
    <row r="553" spans="1:27" ht="12.75" customHeight="1" x14ac:dyDescent="0.25">
      <c r="A553" s="79"/>
      <c r="B553" s="20"/>
      <c r="C553" s="82"/>
      <c r="D553" s="83"/>
      <c r="E553" s="79"/>
      <c r="F553" s="53"/>
      <c r="G553" s="54"/>
      <c r="H553" s="54"/>
      <c r="I553" s="7"/>
      <c r="J553" s="9"/>
      <c r="K553" s="21"/>
      <c r="L553" s="77"/>
      <c r="M553" s="77"/>
      <c r="N553" s="77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</row>
    <row r="554" spans="1:27" ht="12.75" customHeight="1" x14ac:dyDescent="0.25">
      <c r="A554" s="79"/>
      <c r="B554" s="20"/>
      <c r="C554" s="82"/>
      <c r="D554" s="83"/>
      <c r="E554" s="79"/>
      <c r="F554" s="53"/>
      <c r="G554" s="54"/>
      <c r="H554" s="54"/>
      <c r="I554" s="7"/>
      <c r="J554" s="9"/>
      <c r="K554" s="21"/>
      <c r="L554" s="77"/>
      <c r="M554" s="77"/>
      <c r="N554" s="77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</row>
    <row r="555" spans="1:27" ht="12.75" customHeight="1" x14ac:dyDescent="0.25">
      <c r="A555" s="79"/>
      <c r="B555" s="20"/>
      <c r="C555" s="82"/>
      <c r="D555" s="83"/>
      <c r="E555" s="79"/>
      <c r="F555" s="53"/>
      <c r="G555" s="54"/>
      <c r="H555" s="54"/>
      <c r="I555" s="7"/>
      <c r="J555" s="9"/>
      <c r="K555" s="21"/>
      <c r="L555" s="77"/>
      <c r="M555" s="77"/>
      <c r="N555" s="77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</row>
    <row r="556" spans="1:27" ht="12.75" customHeight="1" x14ac:dyDescent="0.25">
      <c r="A556" s="79"/>
      <c r="B556" s="20"/>
      <c r="C556" s="82"/>
      <c r="D556" s="83"/>
      <c r="E556" s="79"/>
      <c r="F556" s="53"/>
      <c r="G556" s="54"/>
      <c r="H556" s="54"/>
      <c r="I556" s="7"/>
      <c r="J556" s="9"/>
      <c r="K556" s="21"/>
      <c r="L556" s="77"/>
      <c r="M556" s="77"/>
      <c r="N556" s="77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</row>
    <row r="557" spans="1:27" ht="12.75" customHeight="1" x14ac:dyDescent="0.25">
      <c r="A557" s="79"/>
      <c r="B557" s="20"/>
      <c r="C557" s="82"/>
      <c r="D557" s="83"/>
      <c r="E557" s="79"/>
      <c r="F557" s="53"/>
      <c r="G557" s="54"/>
      <c r="H557" s="54"/>
      <c r="I557" s="7"/>
      <c r="J557" s="9"/>
      <c r="K557" s="21"/>
      <c r="L557" s="77"/>
      <c r="M557" s="77"/>
      <c r="N557" s="77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</row>
    <row r="558" spans="1:27" ht="12.75" customHeight="1" x14ac:dyDescent="0.25">
      <c r="A558" s="79"/>
      <c r="B558" s="20"/>
      <c r="C558" s="82"/>
      <c r="D558" s="83"/>
      <c r="E558" s="79"/>
      <c r="F558" s="53"/>
      <c r="G558" s="54"/>
      <c r="H558" s="54"/>
      <c r="I558" s="7"/>
      <c r="J558" s="9"/>
      <c r="K558" s="21"/>
      <c r="L558" s="77"/>
      <c r="M558" s="77"/>
      <c r="N558" s="77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</row>
    <row r="559" spans="1:27" ht="12.75" customHeight="1" x14ac:dyDescent="0.25">
      <c r="A559" s="79"/>
      <c r="B559" s="20"/>
      <c r="C559" s="82"/>
      <c r="D559" s="83"/>
      <c r="E559" s="79"/>
      <c r="F559" s="53"/>
      <c r="G559" s="54"/>
      <c r="H559" s="54"/>
      <c r="I559" s="7"/>
      <c r="J559" s="9"/>
      <c r="K559" s="21"/>
      <c r="L559" s="77"/>
      <c r="M559" s="77"/>
      <c r="N559" s="77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</row>
    <row r="560" spans="1:27" ht="12.75" customHeight="1" x14ac:dyDescent="0.25">
      <c r="A560" s="79"/>
      <c r="B560" s="20"/>
      <c r="C560" s="82"/>
      <c r="D560" s="83"/>
      <c r="E560" s="79"/>
      <c r="F560" s="53"/>
      <c r="G560" s="54"/>
      <c r="H560" s="54"/>
      <c r="I560" s="7"/>
      <c r="J560" s="9"/>
      <c r="K560" s="21"/>
      <c r="L560" s="77"/>
      <c r="M560" s="77"/>
      <c r="N560" s="77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</row>
    <row r="561" spans="1:27" ht="12.75" customHeight="1" x14ac:dyDescent="0.25">
      <c r="A561" s="79"/>
      <c r="B561" s="20"/>
      <c r="C561" s="82"/>
      <c r="D561" s="83"/>
      <c r="E561" s="79"/>
      <c r="F561" s="53"/>
      <c r="G561" s="54"/>
      <c r="H561" s="54"/>
      <c r="I561" s="7"/>
      <c r="J561" s="9"/>
      <c r="K561" s="21"/>
      <c r="L561" s="77"/>
      <c r="M561" s="77"/>
      <c r="N561" s="77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</row>
    <row r="562" spans="1:27" ht="12.75" customHeight="1" x14ac:dyDescent="0.25">
      <c r="A562" s="79"/>
      <c r="B562" s="20"/>
      <c r="C562" s="82"/>
      <c r="D562" s="83"/>
      <c r="E562" s="79"/>
      <c r="F562" s="53"/>
      <c r="G562" s="54"/>
      <c r="H562" s="54"/>
      <c r="I562" s="7"/>
      <c r="J562" s="9"/>
      <c r="K562" s="21"/>
      <c r="L562" s="77"/>
      <c r="M562" s="77"/>
      <c r="N562" s="77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</row>
    <row r="563" spans="1:27" ht="12.75" customHeight="1" x14ac:dyDescent="0.25">
      <c r="A563" s="79"/>
      <c r="B563" s="20"/>
      <c r="C563" s="82"/>
      <c r="D563" s="83"/>
      <c r="E563" s="79"/>
      <c r="F563" s="53"/>
      <c r="G563" s="54"/>
      <c r="H563" s="54"/>
      <c r="I563" s="7"/>
      <c r="J563" s="9"/>
      <c r="K563" s="21"/>
      <c r="L563" s="77"/>
      <c r="M563" s="77"/>
      <c r="N563" s="77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</row>
    <row r="564" spans="1:27" ht="12.75" customHeight="1" x14ac:dyDescent="0.25">
      <c r="A564" s="79"/>
      <c r="B564" s="20"/>
      <c r="C564" s="82"/>
      <c r="D564" s="83"/>
      <c r="E564" s="79"/>
      <c r="F564" s="53"/>
      <c r="G564" s="54"/>
      <c r="H564" s="54"/>
      <c r="I564" s="7"/>
      <c r="J564" s="9"/>
      <c r="K564" s="21"/>
      <c r="L564" s="77"/>
      <c r="M564" s="77"/>
      <c r="N564" s="77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</row>
    <row r="565" spans="1:27" ht="12.75" customHeight="1" x14ac:dyDescent="0.25">
      <c r="A565" s="79"/>
      <c r="B565" s="20"/>
      <c r="C565" s="82"/>
      <c r="D565" s="83"/>
      <c r="E565" s="79"/>
      <c r="F565" s="53"/>
      <c r="G565" s="54"/>
      <c r="H565" s="54"/>
      <c r="I565" s="7"/>
      <c r="J565" s="9"/>
      <c r="K565" s="21"/>
      <c r="L565" s="77"/>
      <c r="M565" s="77"/>
      <c r="N565" s="77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</row>
    <row r="566" spans="1:27" ht="12.75" customHeight="1" x14ac:dyDescent="0.25">
      <c r="A566" s="79"/>
      <c r="B566" s="20"/>
      <c r="C566" s="82"/>
      <c r="D566" s="83"/>
      <c r="E566" s="79"/>
      <c r="F566" s="53"/>
      <c r="G566" s="54"/>
      <c r="H566" s="54"/>
      <c r="I566" s="7"/>
      <c r="J566" s="9"/>
      <c r="K566" s="21"/>
      <c r="L566" s="77"/>
      <c r="M566" s="77"/>
      <c r="N566" s="77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</row>
    <row r="567" spans="1:27" ht="12.75" customHeight="1" x14ac:dyDescent="0.25">
      <c r="A567" s="79"/>
      <c r="B567" s="20"/>
      <c r="C567" s="82"/>
      <c r="D567" s="83"/>
      <c r="E567" s="79"/>
      <c r="F567" s="53"/>
      <c r="G567" s="54"/>
      <c r="H567" s="54"/>
      <c r="I567" s="7"/>
      <c r="J567" s="9"/>
      <c r="K567" s="21"/>
      <c r="L567" s="77"/>
      <c r="M567" s="77"/>
      <c r="N567" s="77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</row>
    <row r="568" spans="1:27" ht="12.75" customHeight="1" x14ac:dyDescent="0.25">
      <c r="A568" s="79"/>
      <c r="B568" s="20"/>
      <c r="C568" s="82"/>
      <c r="D568" s="83"/>
      <c r="E568" s="79"/>
      <c r="F568" s="53"/>
      <c r="G568" s="54"/>
      <c r="H568" s="54"/>
      <c r="I568" s="7"/>
      <c r="J568" s="9"/>
      <c r="K568" s="21"/>
      <c r="L568" s="77"/>
      <c r="M568" s="77"/>
      <c r="N568" s="77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</row>
    <row r="569" spans="1:27" ht="12.75" customHeight="1" x14ac:dyDescent="0.25">
      <c r="A569" s="79"/>
      <c r="B569" s="20"/>
      <c r="C569" s="82"/>
      <c r="D569" s="83"/>
      <c r="E569" s="79"/>
      <c r="F569" s="53"/>
      <c r="G569" s="54"/>
      <c r="H569" s="54"/>
      <c r="I569" s="7"/>
      <c r="J569" s="9"/>
      <c r="K569" s="21"/>
      <c r="L569" s="77"/>
      <c r="M569" s="77"/>
      <c r="N569" s="77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</row>
    <row r="570" spans="1:27" ht="12.75" customHeight="1" x14ac:dyDescent="0.25">
      <c r="A570" s="79"/>
      <c r="B570" s="20"/>
      <c r="C570" s="82"/>
      <c r="D570" s="83"/>
      <c r="E570" s="79"/>
      <c r="F570" s="53"/>
      <c r="G570" s="54"/>
      <c r="H570" s="54"/>
      <c r="I570" s="7"/>
      <c r="J570" s="9"/>
      <c r="K570" s="21"/>
      <c r="L570" s="77"/>
      <c r="M570" s="77"/>
      <c r="N570" s="77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</row>
    <row r="571" spans="1:27" ht="12.75" customHeight="1" x14ac:dyDescent="0.25">
      <c r="A571" s="79"/>
      <c r="B571" s="20"/>
      <c r="C571" s="82"/>
      <c r="D571" s="83"/>
      <c r="E571" s="79"/>
      <c r="F571" s="53"/>
      <c r="G571" s="54"/>
      <c r="H571" s="54"/>
      <c r="I571" s="7"/>
      <c r="J571" s="9"/>
      <c r="K571" s="21"/>
      <c r="L571" s="77"/>
      <c r="M571" s="77"/>
      <c r="N571" s="77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</row>
    <row r="572" spans="1:27" ht="12.75" customHeight="1" x14ac:dyDescent="0.25">
      <c r="A572" s="79"/>
      <c r="B572" s="20"/>
      <c r="C572" s="82"/>
      <c r="D572" s="83"/>
      <c r="E572" s="79"/>
      <c r="F572" s="53"/>
      <c r="G572" s="54"/>
      <c r="H572" s="54"/>
      <c r="I572" s="7"/>
      <c r="J572" s="9"/>
      <c r="K572" s="21"/>
      <c r="L572" s="77"/>
      <c r="M572" s="77"/>
      <c r="N572" s="77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</row>
    <row r="573" spans="1:27" ht="12.75" customHeight="1" x14ac:dyDescent="0.25">
      <c r="A573" s="79"/>
      <c r="B573" s="20"/>
      <c r="C573" s="82"/>
      <c r="D573" s="83"/>
      <c r="E573" s="79"/>
      <c r="F573" s="53"/>
      <c r="G573" s="54"/>
      <c r="H573" s="54"/>
      <c r="I573" s="7"/>
      <c r="J573" s="9"/>
      <c r="K573" s="21"/>
      <c r="L573" s="77"/>
      <c r="M573" s="77"/>
      <c r="N573" s="77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</row>
    <row r="574" spans="1:27" ht="12.75" customHeight="1" x14ac:dyDescent="0.25">
      <c r="A574" s="79"/>
      <c r="B574" s="20"/>
      <c r="C574" s="82"/>
      <c r="D574" s="83"/>
      <c r="E574" s="79"/>
      <c r="F574" s="53"/>
      <c r="G574" s="54"/>
      <c r="H574" s="54"/>
      <c r="I574" s="7"/>
      <c r="J574" s="9"/>
      <c r="K574" s="21"/>
      <c r="L574" s="77"/>
      <c r="M574" s="77"/>
      <c r="N574" s="77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</row>
    <row r="575" spans="1:27" ht="12.75" customHeight="1" x14ac:dyDescent="0.25">
      <c r="A575" s="79"/>
      <c r="B575" s="20"/>
      <c r="C575" s="82"/>
      <c r="D575" s="83"/>
      <c r="E575" s="79"/>
      <c r="F575" s="53"/>
      <c r="G575" s="54"/>
      <c r="H575" s="54"/>
      <c r="I575" s="7"/>
      <c r="J575" s="9"/>
      <c r="K575" s="21"/>
      <c r="L575" s="77"/>
      <c r="M575" s="77"/>
      <c r="N575" s="77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</row>
    <row r="576" spans="1:27" ht="12.75" customHeight="1" x14ac:dyDescent="0.25">
      <c r="A576" s="79"/>
      <c r="B576" s="20"/>
      <c r="C576" s="82"/>
      <c r="D576" s="83"/>
      <c r="E576" s="79"/>
      <c r="F576" s="53"/>
      <c r="G576" s="54"/>
      <c r="H576" s="54"/>
      <c r="I576" s="7"/>
      <c r="J576" s="9"/>
      <c r="K576" s="21"/>
      <c r="L576" s="77"/>
      <c r="M576" s="77"/>
      <c r="N576" s="77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</row>
    <row r="577" spans="1:27" ht="12.75" customHeight="1" x14ac:dyDescent="0.25">
      <c r="A577" s="79"/>
      <c r="B577" s="20"/>
      <c r="C577" s="82"/>
      <c r="D577" s="83"/>
      <c r="E577" s="79"/>
      <c r="F577" s="53"/>
      <c r="G577" s="54"/>
      <c r="H577" s="54"/>
      <c r="I577" s="7"/>
      <c r="J577" s="9"/>
      <c r="K577" s="21"/>
      <c r="L577" s="77"/>
      <c r="M577" s="77"/>
      <c r="N577" s="77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</row>
    <row r="578" spans="1:27" ht="12.75" customHeight="1" x14ac:dyDescent="0.25">
      <c r="A578" s="79"/>
      <c r="B578" s="20"/>
      <c r="C578" s="82"/>
      <c r="D578" s="83"/>
      <c r="E578" s="79"/>
      <c r="F578" s="53"/>
      <c r="G578" s="54"/>
      <c r="H578" s="54"/>
      <c r="I578" s="7"/>
      <c r="J578" s="9"/>
      <c r="K578" s="21"/>
      <c r="L578" s="77"/>
      <c r="M578" s="77"/>
      <c r="N578" s="77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</row>
    <row r="579" spans="1:27" ht="12.75" customHeight="1" x14ac:dyDescent="0.25">
      <c r="A579" s="79"/>
      <c r="B579" s="20"/>
      <c r="C579" s="82"/>
      <c r="D579" s="83"/>
      <c r="E579" s="79"/>
      <c r="F579" s="53"/>
      <c r="G579" s="54"/>
      <c r="H579" s="54"/>
      <c r="I579" s="7"/>
      <c r="J579" s="9"/>
      <c r="K579" s="21"/>
      <c r="L579" s="77"/>
      <c r="M579" s="77"/>
      <c r="N579" s="77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</row>
    <row r="580" spans="1:27" ht="12.75" customHeight="1" x14ac:dyDescent="0.25">
      <c r="A580" s="79"/>
      <c r="B580" s="20"/>
      <c r="C580" s="82"/>
      <c r="D580" s="83"/>
      <c r="E580" s="79"/>
      <c r="F580" s="53"/>
      <c r="G580" s="54"/>
      <c r="H580" s="54"/>
      <c r="I580" s="7"/>
      <c r="J580" s="9"/>
      <c r="K580" s="21"/>
      <c r="L580" s="77"/>
      <c r="M580" s="77"/>
      <c r="N580" s="77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</row>
    <row r="581" spans="1:27" ht="12.75" customHeight="1" x14ac:dyDescent="0.25">
      <c r="A581" s="79"/>
      <c r="B581" s="20"/>
      <c r="C581" s="82"/>
      <c r="D581" s="83"/>
      <c r="E581" s="79"/>
      <c r="F581" s="53"/>
      <c r="G581" s="54"/>
      <c r="H581" s="54"/>
      <c r="I581" s="7"/>
      <c r="J581" s="9"/>
      <c r="K581" s="21"/>
      <c r="L581" s="77"/>
      <c r="M581" s="77"/>
      <c r="N581" s="77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</row>
    <row r="582" spans="1:27" ht="12.75" customHeight="1" x14ac:dyDescent="0.25">
      <c r="A582" s="79"/>
      <c r="B582" s="20"/>
      <c r="C582" s="82"/>
      <c r="D582" s="83"/>
      <c r="E582" s="79"/>
      <c r="F582" s="53"/>
      <c r="G582" s="54"/>
      <c r="H582" s="54"/>
      <c r="I582" s="7"/>
      <c r="J582" s="9"/>
      <c r="K582" s="21"/>
      <c r="L582" s="77"/>
      <c r="M582" s="77"/>
      <c r="N582" s="77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</row>
    <row r="583" spans="1:27" ht="12.75" customHeight="1" x14ac:dyDescent="0.25">
      <c r="A583" s="79"/>
      <c r="B583" s="20"/>
      <c r="C583" s="82"/>
      <c r="D583" s="83"/>
      <c r="E583" s="79"/>
      <c r="F583" s="53"/>
      <c r="G583" s="54"/>
      <c r="H583" s="54"/>
      <c r="I583" s="7"/>
      <c r="J583" s="9"/>
      <c r="K583" s="21"/>
      <c r="L583" s="77"/>
      <c r="M583" s="77"/>
      <c r="N583" s="77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</row>
    <row r="584" spans="1:27" ht="12.75" customHeight="1" x14ac:dyDescent="0.25">
      <c r="A584" s="79"/>
      <c r="B584" s="20"/>
      <c r="C584" s="82"/>
      <c r="D584" s="83"/>
      <c r="E584" s="79"/>
      <c r="F584" s="53"/>
      <c r="G584" s="54"/>
      <c r="H584" s="54"/>
      <c r="I584" s="7"/>
      <c r="J584" s="9"/>
      <c r="K584" s="21"/>
      <c r="L584" s="77"/>
      <c r="M584" s="77"/>
      <c r="N584" s="77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</row>
    <row r="585" spans="1:27" ht="12.75" customHeight="1" x14ac:dyDescent="0.25">
      <c r="A585" s="79"/>
      <c r="B585" s="20"/>
      <c r="C585" s="82"/>
      <c r="D585" s="83"/>
      <c r="E585" s="79"/>
      <c r="F585" s="53"/>
      <c r="G585" s="54"/>
      <c r="H585" s="54"/>
      <c r="I585" s="7"/>
      <c r="J585" s="9"/>
      <c r="K585" s="21"/>
      <c r="L585" s="77"/>
      <c r="M585" s="77"/>
      <c r="N585" s="77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</row>
    <row r="586" spans="1:27" ht="12.75" customHeight="1" x14ac:dyDescent="0.25">
      <c r="A586" s="79"/>
      <c r="B586" s="20"/>
      <c r="C586" s="82"/>
      <c r="D586" s="83"/>
      <c r="E586" s="79"/>
      <c r="F586" s="53"/>
      <c r="G586" s="54"/>
      <c r="H586" s="54"/>
      <c r="I586" s="7"/>
      <c r="J586" s="9"/>
      <c r="K586" s="21"/>
      <c r="L586" s="77"/>
      <c r="M586" s="77"/>
      <c r="N586" s="77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</row>
    <row r="587" spans="1:27" ht="12.75" customHeight="1" x14ac:dyDescent="0.25">
      <c r="A587" s="79"/>
      <c r="B587" s="20"/>
      <c r="C587" s="82"/>
      <c r="D587" s="83"/>
      <c r="E587" s="79"/>
      <c r="F587" s="53"/>
      <c r="G587" s="54"/>
      <c r="H587" s="54"/>
      <c r="I587" s="7"/>
      <c r="J587" s="9"/>
      <c r="K587" s="21"/>
      <c r="L587" s="77"/>
      <c r="M587" s="77"/>
      <c r="N587" s="77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</row>
    <row r="588" spans="1:27" ht="12.75" customHeight="1" x14ac:dyDescent="0.25">
      <c r="A588" s="79"/>
      <c r="B588" s="20"/>
      <c r="C588" s="82"/>
      <c r="D588" s="83"/>
      <c r="E588" s="79"/>
      <c r="F588" s="53"/>
      <c r="G588" s="54"/>
      <c r="H588" s="54"/>
      <c r="I588" s="7"/>
      <c r="J588" s="9"/>
      <c r="K588" s="21"/>
      <c r="L588" s="77"/>
      <c r="M588" s="77"/>
      <c r="N588" s="77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</row>
    <row r="589" spans="1:27" ht="12.75" customHeight="1" x14ac:dyDescent="0.25">
      <c r="A589" s="79"/>
      <c r="B589" s="20"/>
      <c r="C589" s="82"/>
      <c r="D589" s="83"/>
      <c r="E589" s="79"/>
      <c r="F589" s="53"/>
      <c r="G589" s="54"/>
      <c r="H589" s="54"/>
      <c r="I589" s="7"/>
      <c r="J589" s="9"/>
      <c r="K589" s="21"/>
      <c r="L589" s="77"/>
      <c r="M589" s="77"/>
      <c r="N589" s="77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</row>
    <row r="590" spans="1:27" ht="12.75" customHeight="1" x14ac:dyDescent="0.25">
      <c r="A590" s="79"/>
      <c r="B590" s="20"/>
      <c r="C590" s="82"/>
      <c r="D590" s="83"/>
      <c r="E590" s="79"/>
      <c r="F590" s="53"/>
      <c r="G590" s="54"/>
      <c r="H590" s="54"/>
      <c r="I590" s="7"/>
      <c r="J590" s="9"/>
      <c r="K590" s="21"/>
      <c r="L590" s="77"/>
      <c r="M590" s="77"/>
      <c r="N590" s="77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</row>
    <row r="591" spans="1:27" ht="12.75" customHeight="1" x14ac:dyDescent="0.25">
      <c r="A591" s="79"/>
      <c r="B591" s="20"/>
      <c r="C591" s="82"/>
      <c r="D591" s="83"/>
      <c r="E591" s="79"/>
      <c r="F591" s="53"/>
      <c r="G591" s="54"/>
      <c r="H591" s="54"/>
      <c r="I591" s="7"/>
      <c r="J591" s="9"/>
      <c r="K591" s="21"/>
      <c r="L591" s="77"/>
      <c r="M591" s="77"/>
      <c r="N591" s="77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</row>
    <row r="592" spans="1:27" ht="12.75" customHeight="1" x14ac:dyDescent="0.25">
      <c r="A592" s="79"/>
      <c r="B592" s="20"/>
      <c r="C592" s="82"/>
      <c r="D592" s="83"/>
      <c r="E592" s="79"/>
      <c r="F592" s="53"/>
      <c r="G592" s="54"/>
      <c r="H592" s="54"/>
      <c r="I592" s="7"/>
      <c r="J592" s="9"/>
      <c r="K592" s="21"/>
      <c r="L592" s="77"/>
      <c r="M592" s="77"/>
      <c r="N592" s="77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</row>
    <row r="593" spans="1:27" ht="12.75" customHeight="1" x14ac:dyDescent="0.25">
      <c r="A593" s="79"/>
      <c r="B593" s="20"/>
      <c r="C593" s="82"/>
      <c r="D593" s="83"/>
      <c r="E593" s="79"/>
      <c r="F593" s="53"/>
      <c r="G593" s="54"/>
      <c r="H593" s="54"/>
      <c r="I593" s="7"/>
      <c r="J593" s="9"/>
      <c r="K593" s="21"/>
      <c r="L593" s="77"/>
      <c r="M593" s="77"/>
      <c r="N593" s="77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</row>
    <row r="594" spans="1:27" ht="12.75" customHeight="1" x14ac:dyDescent="0.25">
      <c r="A594" s="79"/>
      <c r="B594" s="20"/>
      <c r="C594" s="82"/>
      <c r="D594" s="83"/>
      <c r="E594" s="79"/>
      <c r="F594" s="53"/>
      <c r="G594" s="54"/>
      <c r="H594" s="54"/>
      <c r="I594" s="7"/>
      <c r="J594" s="9"/>
      <c r="K594" s="21"/>
      <c r="L594" s="77"/>
      <c r="M594" s="77"/>
      <c r="N594" s="77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</row>
    <row r="595" spans="1:27" ht="12.75" customHeight="1" x14ac:dyDescent="0.25">
      <c r="A595" s="79"/>
      <c r="B595" s="20"/>
      <c r="C595" s="82"/>
      <c r="D595" s="83"/>
      <c r="E595" s="79"/>
      <c r="F595" s="53"/>
      <c r="G595" s="54"/>
      <c r="H595" s="54"/>
      <c r="I595" s="7"/>
      <c r="J595" s="9"/>
      <c r="K595" s="21"/>
      <c r="L595" s="77"/>
      <c r="M595" s="77"/>
      <c r="N595" s="77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</row>
    <row r="596" spans="1:27" ht="12.75" customHeight="1" x14ac:dyDescent="0.25">
      <c r="A596" s="79"/>
      <c r="B596" s="20"/>
      <c r="C596" s="82"/>
      <c r="D596" s="83"/>
      <c r="E596" s="79"/>
      <c r="F596" s="53"/>
      <c r="G596" s="54"/>
      <c r="H596" s="54"/>
      <c r="I596" s="7"/>
      <c r="J596" s="9"/>
      <c r="K596" s="21"/>
      <c r="L596" s="77"/>
      <c r="M596" s="77"/>
      <c r="N596" s="77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</row>
    <row r="597" spans="1:27" ht="12.75" customHeight="1" x14ac:dyDescent="0.25">
      <c r="A597" s="79"/>
      <c r="B597" s="20"/>
      <c r="C597" s="82"/>
      <c r="D597" s="83"/>
      <c r="E597" s="79"/>
      <c r="F597" s="53"/>
      <c r="G597" s="54"/>
      <c r="H597" s="54"/>
      <c r="I597" s="7"/>
      <c r="J597" s="9"/>
      <c r="K597" s="21"/>
      <c r="L597" s="77"/>
      <c r="M597" s="77"/>
      <c r="N597" s="77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</row>
    <row r="598" spans="1:27" ht="12.75" customHeight="1" x14ac:dyDescent="0.25">
      <c r="A598" s="79"/>
      <c r="B598" s="20"/>
      <c r="C598" s="82"/>
      <c r="D598" s="83"/>
      <c r="E598" s="79"/>
      <c r="F598" s="53"/>
      <c r="G598" s="54"/>
      <c r="H598" s="54"/>
      <c r="I598" s="7"/>
      <c r="J598" s="9"/>
      <c r="K598" s="21"/>
      <c r="L598" s="77"/>
      <c r="M598" s="77"/>
      <c r="N598" s="77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</row>
    <row r="599" spans="1:27" ht="12.75" customHeight="1" x14ac:dyDescent="0.25">
      <c r="A599" s="79"/>
      <c r="B599" s="20"/>
      <c r="C599" s="82"/>
      <c r="D599" s="83"/>
      <c r="E599" s="79"/>
      <c r="F599" s="53"/>
      <c r="G599" s="54"/>
      <c r="H599" s="54"/>
      <c r="I599" s="7"/>
      <c r="J599" s="9"/>
      <c r="K599" s="21"/>
      <c r="L599" s="77"/>
      <c r="M599" s="77"/>
      <c r="N599" s="77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</row>
    <row r="600" spans="1:27" ht="12.75" customHeight="1" x14ac:dyDescent="0.25">
      <c r="A600" s="79"/>
      <c r="B600" s="20"/>
      <c r="C600" s="82"/>
      <c r="D600" s="83"/>
      <c r="E600" s="79"/>
      <c r="F600" s="53"/>
      <c r="G600" s="54"/>
      <c r="H600" s="54"/>
      <c r="I600" s="7"/>
      <c r="J600" s="9"/>
      <c r="K600" s="21"/>
      <c r="L600" s="77"/>
      <c r="M600" s="77"/>
      <c r="N600" s="77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</row>
    <row r="601" spans="1:27" ht="12.75" customHeight="1" x14ac:dyDescent="0.25">
      <c r="A601" s="79"/>
      <c r="B601" s="20"/>
      <c r="C601" s="82"/>
      <c r="D601" s="83"/>
      <c r="E601" s="79"/>
      <c r="F601" s="53"/>
      <c r="G601" s="54"/>
      <c r="H601" s="54"/>
      <c r="I601" s="7"/>
      <c r="J601" s="9"/>
      <c r="K601" s="21"/>
      <c r="L601" s="77"/>
      <c r="M601" s="77"/>
      <c r="N601" s="77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</row>
    <row r="602" spans="1:27" ht="12.75" customHeight="1" x14ac:dyDescent="0.25">
      <c r="A602" s="79"/>
      <c r="B602" s="20"/>
      <c r="C602" s="82"/>
      <c r="D602" s="83"/>
      <c r="E602" s="79"/>
      <c r="F602" s="53"/>
      <c r="G602" s="54"/>
      <c r="H602" s="54"/>
      <c r="I602" s="7"/>
      <c r="J602" s="9"/>
      <c r="K602" s="21"/>
      <c r="L602" s="77"/>
      <c r="M602" s="77"/>
      <c r="N602" s="77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</row>
    <row r="603" spans="1:27" ht="12.75" customHeight="1" x14ac:dyDescent="0.25">
      <c r="A603" s="79"/>
      <c r="B603" s="20"/>
      <c r="C603" s="82"/>
      <c r="D603" s="83"/>
      <c r="E603" s="79"/>
      <c r="F603" s="53"/>
      <c r="G603" s="54"/>
      <c r="H603" s="54"/>
      <c r="I603" s="7"/>
      <c r="J603" s="9"/>
      <c r="K603" s="21"/>
      <c r="L603" s="77"/>
      <c r="M603" s="77"/>
      <c r="N603" s="77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</row>
    <row r="604" spans="1:27" ht="12.75" customHeight="1" x14ac:dyDescent="0.25">
      <c r="A604" s="79"/>
      <c r="B604" s="20"/>
      <c r="C604" s="82"/>
      <c r="D604" s="83"/>
      <c r="E604" s="79"/>
      <c r="F604" s="53"/>
      <c r="G604" s="54"/>
      <c r="H604" s="54"/>
      <c r="I604" s="7"/>
      <c r="J604" s="9"/>
      <c r="K604" s="21"/>
      <c r="L604" s="77"/>
      <c r="M604" s="77"/>
      <c r="N604" s="77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</row>
    <row r="605" spans="1:27" ht="12.75" customHeight="1" x14ac:dyDescent="0.25">
      <c r="A605" s="79"/>
      <c r="B605" s="20"/>
      <c r="C605" s="82"/>
      <c r="D605" s="83"/>
      <c r="E605" s="79"/>
      <c r="F605" s="53"/>
      <c r="G605" s="54"/>
      <c r="H605" s="54"/>
      <c r="I605" s="7"/>
      <c r="J605" s="9"/>
      <c r="K605" s="21"/>
      <c r="L605" s="77"/>
      <c r="M605" s="77"/>
      <c r="N605" s="77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</row>
    <row r="606" spans="1:27" ht="12.75" customHeight="1" x14ac:dyDescent="0.25">
      <c r="A606" s="79"/>
      <c r="B606" s="20"/>
      <c r="C606" s="82"/>
      <c r="D606" s="83"/>
      <c r="E606" s="79"/>
      <c r="F606" s="53"/>
      <c r="G606" s="54"/>
      <c r="H606" s="54"/>
      <c r="I606" s="7"/>
      <c r="J606" s="9"/>
      <c r="K606" s="21"/>
      <c r="L606" s="77"/>
      <c r="M606" s="77"/>
      <c r="N606" s="77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</row>
    <row r="607" spans="1:27" ht="12.75" customHeight="1" x14ac:dyDescent="0.25">
      <c r="A607" s="79"/>
      <c r="B607" s="20"/>
      <c r="C607" s="82"/>
      <c r="D607" s="83"/>
      <c r="E607" s="79"/>
      <c r="F607" s="53"/>
      <c r="G607" s="54"/>
      <c r="H607" s="54"/>
      <c r="I607" s="7"/>
      <c r="J607" s="9"/>
      <c r="K607" s="21"/>
      <c r="L607" s="77"/>
      <c r="M607" s="77"/>
      <c r="N607" s="77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</row>
    <row r="608" spans="1:27" ht="12.75" customHeight="1" x14ac:dyDescent="0.25">
      <c r="A608" s="79"/>
      <c r="B608" s="20"/>
      <c r="C608" s="82"/>
      <c r="D608" s="83"/>
      <c r="E608" s="79"/>
      <c r="F608" s="53"/>
      <c r="G608" s="54"/>
      <c r="H608" s="54"/>
      <c r="I608" s="7"/>
      <c r="J608" s="9"/>
      <c r="K608" s="21"/>
      <c r="L608" s="77"/>
      <c r="M608" s="77"/>
      <c r="N608" s="77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</row>
    <row r="609" spans="1:27" ht="12.75" customHeight="1" x14ac:dyDescent="0.25">
      <c r="A609" s="79"/>
      <c r="B609" s="20"/>
      <c r="C609" s="82"/>
      <c r="D609" s="83"/>
      <c r="E609" s="79"/>
      <c r="F609" s="53"/>
      <c r="G609" s="54"/>
      <c r="H609" s="54"/>
      <c r="I609" s="7"/>
      <c r="J609" s="9"/>
      <c r="K609" s="21"/>
      <c r="L609" s="77"/>
      <c r="M609" s="77"/>
      <c r="N609" s="77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</row>
    <row r="610" spans="1:27" ht="12.75" customHeight="1" x14ac:dyDescent="0.25">
      <c r="A610" s="79"/>
      <c r="B610" s="20"/>
      <c r="C610" s="82"/>
      <c r="D610" s="83"/>
      <c r="E610" s="79"/>
      <c r="F610" s="53"/>
      <c r="G610" s="54"/>
      <c r="H610" s="54"/>
      <c r="I610" s="7"/>
      <c r="J610" s="9"/>
      <c r="K610" s="21"/>
      <c r="L610" s="77"/>
      <c r="M610" s="77"/>
      <c r="N610" s="77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</row>
    <row r="611" spans="1:27" ht="12.75" customHeight="1" x14ac:dyDescent="0.25">
      <c r="A611" s="79"/>
      <c r="B611" s="20"/>
      <c r="C611" s="82"/>
      <c r="D611" s="83"/>
      <c r="E611" s="79"/>
      <c r="F611" s="53"/>
      <c r="G611" s="54"/>
      <c r="H611" s="54"/>
      <c r="I611" s="7"/>
      <c r="J611" s="9"/>
      <c r="K611" s="21"/>
      <c r="L611" s="77"/>
      <c r="M611" s="77"/>
      <c r="N611" s="77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</row>
    <row r="612" spans="1:27" ht="12.75" customHeight="1" x14ac:dyDescent="0.25">
      <c r="A612" s="79"/>
      <c r="B612" s="20"/>
      <c r="C612" s="82"/>
      <c r="D612" s="83"/>
      <c r="E612" s="79"/>
      <c r="F612" s="53"/>
      <c r="G612" s="54"/>
      <c r="H612" s="54"/>
      <c r="I612" s="7"/>
      <c r="J612" s="9"/>
      <c r="K612" s="21"/>
      <c r="L612" s="77"/>
      <c r="M612" s="77"/>
      <c r="N612" s="77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</row>
    <row r="613" spans="1:27" ht="12.75" customHeight="1" x14ac:dyDescent="0.25">
      <c r="A613" s="79"/>
      <c r="B613" s="20"/>
      <c r="C613" s="82"/>
      <c r="D613" s="83"/>
      <c r="E613" s="79"/>
      <c r="F613" s="53"/>
      <c r="G613" s="54"/>
      <c r="H613" s="54"/>
      <c r="I613" s="7"/>
      <c r="J613" s="9"/>
      <c r="K613" s="21"/>
      <c r="L613" s="77"/>
      <c r="M613" s="77"/>
      <c r="N613" s="77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</row>
    <row r="614" spans="1:27" ht="12.75" customHeight="1" x14ac:dyDescent="0.25">
      <c r="A614" s="79"/>
      <c r="B614" s="20"/>
      <c r="C614" s="82"/>
      <c r="D614" s="83"/>
      <c r="E614" s="79"/>
      <c r="F614" s="53"/>
      <c r="G614" s="54"/>
      <c r="H614" s="54"/>
      <c r="I614" s="7"/>
      <c r="J614" s="9"/>
      <c r="K614" s="21"/>
      <c r="L614" s="77"/>
      <c r="M614" s="77"/>
      <c r="N614" s="77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</row>
    <row r="615" spans="1:27" ht="12.75" customHeight="1" x14ac:dyDescent="0.25">
      <c r="A615" s="79"/>
      <c r="B615" s="20"/>
      <c r="C615" s="82"/>
      <c r="D615" s="83"/>
      <c r="E615" s="79"/>
      <c r="F615" s="53"/>
      <c r="G615" s="54"/>
      <c r="H615" s="54"/>
      <c r="I615" s="7"/>
      <c r="J615" s="9"/>
      <c r="K615" s="21"/>
      <c r="L615" s="77"/>
      <c r="M615" s="77"/>
      <c r="N615" s="77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</row>
    <row r="616" spans="1:27" ht="12.75" customHeight="1" x14ac:dyDescent="0.25">
      <c r="A616" s="79"/>
      <c r="B616" s="20"/>
      <c r="C616" s="82"/>
      <c r="D616" s="83"/>
      <c r="E616" s="79"/>
      <c r="F616" s="53"/>
      <c r="G616" s="54"/>
      <c r="H616" s="54"/>
      <c r="I616" s="7"/>
      <c r="J616" s="9"/>
      <c r="K616" s="21"/>
      <c r="L616" s="77"/>
      <c r="M616" s="77"/>
      <c r="N616" s="77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</row>
    <row r="617" spans="1:27" ht="12.75" customHeight="1" x14ac:dyDescent="0.25">
      <c r="A617" s="79"/>
      <c r="B617" s="20"/>
      <c r="C617" s="82"/>
      <c r="D617" s="83"/>
      <c r="E617" s="79"/>
      <c r="F617" s="53"/>
      <c r="G617" s="54"/>
      <c r="H617" s="54"/>
      <c r="I617" s="7"/>
      <c r="J617" s="9"/>
      <c r="K617" s="21"/>
      <c r="L617" s="77"/>
      <c r="M617" s="77"/>
      <c r="N617" s="77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</row>
    <row r="618" spans="1:27" ht="12.75" customHeight="1" x14ac:dyDescent="0.25">
      <c r="A618" s="79"/>
      <c r="B618" s="20"/>
      <c r="C618" s="82"/>
      <c r="D618" s="83"/>
      <c r="E618" s="79"/>
      <c r="F618" s="53"/>
      <c r="G618" s="54"/>
      <c r="H618" s="54"/>
      <c r="I618" s="7"/>
      <c r="J618" s="9"/>
      <c r="K618" s="21"/>
      <c r="L618" s="77"/>
      <c r="M618" s="77"/>
      <c r="N618" s="77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</row>
    <row r="619" spans="1:27" ht="12.75" customHeight="1" x14ac:dyDescent="0.25">
      <c r="A619" s="79"/>
      <c r="B619" s="20"/>
      <c r="C619" s="82"/>
      <c r="D619" s="83"/>
      <c r="E619" s="79"/>
      <c r="F619" s="53"/>
      <c r="G619" s="54"/>
      <c r="H619" s="54"/>
      <c r="I619" s="7"/>
      <c r="J619" s="9"/>
      <c r="K619" s="21"/>
      <c r="L619" s="77"/>
      <c r="M619" s="77"/>
      <c r="N619" s="77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</row>
    <row r="620" spans="1:27" ht="12.75" customHeight="1" x14ac:dyDescent="0.25">
      <c r="A620" s="79"/>
      <c r="B620" s="20"/>
      <c r="C620" s="82"/>
      <c r="D620" s="83"/>
      <c r="E620" s="79"/>
      <c r="F620" s="53"/>
      <c r="G620" s="54"/>
      <c r="H620" s="54"/>
      <c r="I620" s="7"/>
      <c r="J620" s="9"/>
      <c r="K620" s="21"/>
      <c r="L620" s="77"/>
      <c r="M620" s="77"/>
      <c r="N620" s="77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</row>
    <row r="621" spans="1:27" ht="12.75" customHeight="1" x14ac:dyDescent="0.25">
      <c r="A621" s="79"/>
      <c r="B621" s="20"/>
      <c r="C621" s="82"/>
      <c r="D621" s="83"/>
      <c r="E621" s="79"/>
      <c r="F621" s="53"/>
      <c r="G621" s="54"/>
      <c r="H621" s="54"/>
      <c r="I621" s="7"/>
      <c r="J621" s="9"/>
      <c r="K621" s="21"/>
      <c r="L621" s="77"/>
      <c r="M621" s="77"/>
      <c r="N621" s="77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</row>
    <row r="622" spans="1:27" ht="12.75" customHeight="1" x14ac:dyDescent="0.25">
      <c r="A622" s="79"/>
      <c r="B622" s="20"/>
      <c r="C622" s="82"/>
      <c r="D622" s="83"/>
      <c r="E622" s="79"/>
      <c r="F622" s="53"/>
      <c r="G622" s="54"/>
      <c r="H622" s="54"/>
      <c r="I622" s="7"/>
      <c r="J622" s="9"/>
      <c r="K622" s="21"/>
      <c r="L622" s="77"/>
      <c r="M622" s="77"/>
      <c r="N622" s="77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</row>
    <row r="623" spans="1:27" ht="12.75" customHeight="1" x14ac:dyDescent="0.25">
      <c r="A623" s="79"/>
      <c r="B623" s="20"/>
      <c r="C623" s="82"/>
      <c r="D623" s="83"/>
      <c r="E623" s="79"/>
      <c r="F623" s="53"/>
      <c r="G623" s="54"/>
      <c r="H623" s="54"/>
      <c r="I623" s="7"/>
      <c r="J623" s="9"/>
      <c r="K623" s="21"/>
      <c r="L623" s="77"/>
      <c r="M623" s="77"/>
      <c r="N623" s="77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</row>
    <row r="624" spans="1:27" ht="12.75" customHeight="1" x14ac:dyDescent="0.25">
      <c r="A624" s="79"/>
      <c r="B624" s="20"/>
      <c r="C624" s="82"/>
      <c r="D624" s="83"/>
      <c r="E624" s="79"/>
      <c r="F624" s="53"/>
      <c r="G624" s="54"/>
      <c r="H624" s="54"/>
      <c r="I624" s="7"/>
      <c r="J624" s="9"/>
      <c r="K624" s="21"/>
      <c r="L624" s="77"/>
      <c r="M624" s="77"/>
      <c r="N624" s="77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</row>
    <row r="625" spans="1:27" ht="12.75" customHeight="1" x14ac:dyDescent="0.25">
      <c r="A625" s="79"/>
      <c r="B625" s="20"/>
      <c r="C625" s="82"/>
      <c r="D625" s="83"/>
      <c r="E625" s="79"/>
      <c r="F625" s="53"/>
      <c r="G625" s="54"/>
      <c r="H625" s="54"/>
      <c r="I625" s="7"/>
      <c r="J625" s="9"/>
      <c r="K625" s="21"/>
      <c r="L625" s="77"/>
      <c r="M625" s="77"/>
      <c r="N625" s="77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</row>
    <row r="626" spans="1:27" ht="12.75" customHeight="1" x14ac:dyDescent="0.25">
      <c r="A626" s="79"/>
      <c r="B626" s="20"/>
      <c r="C626" s="82"/>
      <c r="D626" s="83"/>
      <c r="E626" s="79"/>
      <c r="F626" s="53"/>
      <c r="G626" s="54"/>
      <c r="H626" s="54"/>
      <c r="I626" s="7"/>
      <c r="J626" s="9"/>
      <c r="K626" s="21"/>
      <c r="L626" s="77"/>
      <c r="M626" s="77"/>
      <c r="N626" s="77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</row>
    <row r="627" spans="1:27" ht="12.75" customHeight="1" x14ac:dyDescent="0.25">
      <c r="A627" s="79"/>
      <c r="B627" s="20"/>
      <c r="C627" s="82"/>
      <c r="D627" s="83"/>
      <c r="E627" s="79"/>
      <c r="F627" s="53"/>
      <c r="G627" s="54"/>
      <c r="H627" s="54"/>
      <c r="I627" s="7"/>
      <c r="J627" s="9"/>
      <c r="K627" s="21"/>
      <c r="L627" s="77"/>
      <c r="M627" s="77"/>
      <c r="N627" s="77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</row>
    <row r="628" spans="1:27" ht="12.75" customHeight="1" x14ac:dyDescent="0.25">
      <c r="A628" s="79"/>
      <c r="B628" s="20"/>
      <c r="C628" s="82"/>
      <c r="D628" s="83"/>
      <c r="E628" s="79"/>
      <c r="F628" s="53"/>
      <c r="G628" s="54"/>
      <c r="H628" s="54"/>
      <c r="I628" s="7"/>
      <c r="J628" s="9"/>
      <c r="K628" s="21"/>
      <c r="L628" s="77"/>
      <c r="M628" s="77"/>
      <c r="N628" s="77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</row>
    <row r="629" spans="1:27" ht="12.75" customHeight="1" x14ac:dyDescent="0.25">
      <c r="A629" s="79"/>
      <c r="B629" s="20"/>
      <c r="C629" s="82"/>
      <c r="D629" s="83"/>
      <c r="E629" s="79"/>
      <c r="F629" s="53"/>
      <c r="G629" s="54"/>
      <c r="H629" s="54"/>
      <c r="I629" s="7"/>
      <c r="J629" s="9"/>
      <c r="K629" s="21"/>
      <c r="L629" s="77"/>
      <c r="M629" s="77"/>
      <c r="N629" s="77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</row>
    <row r="630" spans="1:27" ht="12.75" customHeight="1" x14ac:dyDescent="0.25">
      <c r="A630" s="79"/>
      <c r="B630" s="20"/>
      <c r="C630" s="82"/>
      <c r="D630" s="83"/>
      <c r="E630" s="79"/>
      <c r="F630" s="53"/>
      <c r="G630" s="54"/>
      <c r="H630" s="54"/>
      <c r="I630" s="7"/>
      <c r="J630" s="9"/>
      <c r="K630" s="21"/>
      <c r="L630" s="77"/>
      <c r="M630" s="77"/>
      <c r="N630" s="77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</row>
    <row r="631" spans="1:27" ht="12.75" customHeight="1" x14ac:dyDescent="0.25">
      <c r="A631" s="79"/>
      <c r="B631" s="20"/>
      <c r="C631" s="82"/>
      <c r="D631" s="83"/>
      <c r="E631" s="79"/>
      <c r="F631" s="53"/>
      <c r="G631" s="54"/>
      <c r="H631" s="54"/>
      <c r="I631" s="7"/>
      <c r="J631" s="9"/>
      <c r="K631" s="21"/>
      <c r="L631" s="77"/>
      <c r="M631" s="77"/>
      <c r="N631" s="77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</row>
    <row r="632" spans="1:27" ht="12.75" customHeight="1" x14ac:dyDescent="0.25">
      <c r="A632" s="79"/>
      <c r="B632" s="20"/>
      <c r="C632" s="82"/>
      <c r="D632" s="83"/>
      <c r="E632" s="79"/>
      <c r="F632" s="53"/>
      <c r="G632" s="54"/>
      <c r="H632" s="54"/>
      <c r="I632" s="7"/>
      <c r="J632" s="9"/>
      <c r="K632" s="21"/>
      <c r="L632" s="77"/>
      <c r="M632" s="77"/>
      <c r="N632" s="77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</row>
    <row r="633" spans="1:27" ht="12.75" customHeight="1" x14ac:dyDescent="0.25">
      <c r="A633" s="79"/>
      <c r="B633" s="20"/>
      <c r="C633" s="82"/>
      <c r="D633" s="83"/>
      <c r="E633" s="79"/>
      <c r="F633" s="53"/>
      <c r="G633" s="54"/>
      <c r="H633" s="54"/>
      <c r="I633" s="7"/>
      <c r="J633" s="9"/>
      <c r="K633" s="21"/>
      <c r="L633" s="77"/>
      <c r="M633" s="77"/>
      <c r="N633" s="77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</row>
    <row r="634" spans="1:27" ht="12.75" customHeight="1" x14ac:dyDescent="0.25">
      <c r="A634" s="79"/>
      <c r="B634" s="20"/>
      <c r="C634" s="82"/>
      <c r="D634" s="83"/>
      <c r="E634" s="79"/>
      <c r="F634" s="53"/>
      <c r="G634" s="54"/>
      <c r="H634" s="54"/>
      <c r="I634" s="7"/>
      <c r="J634" s="9"/>
      <c r="K634" s="21"/>
      <c r="L634" s="77"/>
      <c r="M634" s="77"/>
      <c r="N634" s="77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</row>
    <row r="635" spans="1:27" ht="12.75" customHeight="1" x14ac:dyDescent="0.25">
      <c r="A635" s="79"/>
      <c r="B635" s="20"/>
      <c r="C635" s="82"/>
      <c r="D635" s="83"/>
      <c r="E635" s="79"/>
      <c r="F635" s="53"/>
      <c r="G635" s="54"/>
      <c r="H635" s="54"/>
      <c r="I635" s="7"/>
      <c r="J635" s="9"/>
      <c r="K635" s="21"/>
      <c r="L635" s="77"/>
      <c r="M635" s="77"/>
      <c r="N635" s="77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</row>
    <row r="636" spans="1:27" ht="12.75" customHeight="1" x14ac:dyDescent="0.25">
      <c r="A636" s="79"/>
      <c r="B636" s="20"/>
      <c r="C636" s="82"/>
      <c r="D636" s="83"/>
      <c r="E636" s="79"/>
      <c r="F636" s="53"/>
      <c r="G636" s="54"/>
      <c r="H636" s="54"/>
      <c r="I636" s="7"/>
      <c r="J636" s="9"/>
      <c r="K636" s="21"/>
      <c r="L636" s="77"/>
      <c r="M636" s="77"/>
      <c r="N636" s="77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</row>
    <row r="637" spans="1:27" ht="12.75" customHeight="1" x14ac:dyDescent="0.25">
      <c r="A637" s="79"/>
      <c r="B637" s="20"/>
      <c r="C637" s="82"/>
      <c r="D637" s="83"/>
      <c r="E637" s="79"/>
      <c r="F637" s="53"/>
      <c r="G637" s="54"/>
      <c r="H637" s="54"/>
      <c r="I637" s="7"/>
      <c r="J637" s="9"/>
      <c r="K637" s="21"/>
      <c r="L637" s="77"/>
      <c r="M637" s="77"/>
      <c r="N637" s="77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</row>
    <row r="638" spans="1:27" ht="12.75" customHeight="1" x14ac:dyDescent="0.25">
      <c r="A638" s="79"/>
      <c r="B638" s="20"/>
      <c r="C638" s="82"/>
      <c r="D638" s="83"/>
      <c r="E638" s="79"/>
      <c r="F638" s="53"/>
      <c r="G638" s="54"/>
      <c r="H638" s="54"/>
      <c r="I638" s="7"/>
      <c r="J638" s="9"/>
      <c r="K638" s="21"/>
      <c r="L638" s="77"/>
      <c r="M638" s="77"/>
      <c r="N638" s="77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</row>
    <row r="639" spans="1:27" ht="12.75" customHeight="1" x14ac:dyDescent="0.25">
      <c r="A639" s="79"/>
      <c r="B639" s="20"/>
      <c r="C639" s="82"/>
      <c r="D639" s="83"/>
      <c r="E639" s="79"/>
      <c r="F639" s="53"/>
      <c r="G639" s="54"/>
      <c r="H639" s="54"/>
      <c r="I639" s="7"/>
      <c r="J639" s="9"/>
      <c r="K639" s="21"/>
      <c r="L639" s="77"/>
      <c r="M639" s="77"/>
      <c r="N639" s="77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</row>
    <row r="640" spans="1:27" ht="12.75" customHeight="1" x14ac:dyDescent="0.25">
      <c r="A640" s="79"/>
      <c r="B640" s="20"/>
      <c r="C640" s="82"/>
      <c r="D640" s="83"/>
      <c r="E640" s="79"/>
      <c r="F640" s="53"/>
      <c r="G640" s="54"/>
      <c r="H640" s="54"/>
      <c r="I640" s="7"/>
      <c r="J640" s="9"/>
      <c r="K640" s="21"/>
      <c r="L640" s="77"/>
      <c r="M640" s="77"/>
      <c r="N640" s="77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</row>
    <row r="641" spans="1:27" ht="12.75" customHeight="1" x14ac:dyDescent="0.25">
      <c r="A641" s="79"/>
      <c r="B641" s="20"/>
      <c r="C641" s="82"/>
      <c r="D641" s="83"/>
      <c r="E641" s="79"/>
      <c r="F641" s="53"/>
      <c r="G641" s="54"/>
      <c r="H641" s="54"/>
      <c r="I641" s="7"/>
      <c r="J641" s="9"/>
      <c r="K641" s="21"/>
      <c r="L641" s="77"/>
      <c r="M641" s="77"/>
      <c r="N641" s="77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</row>
    <row r="642" spans="1:27" ht="12.75" customHeight="1" x14ac:dyDescent="0.25">
      <c r="A642" s="79"/>
      <c r="B642" s="20"/>
      <c r="C642" s="82"/>
      <c r="D642" s="83"/>
      <c r="E642" s="79"/>
      <c r="F642" s="53"/>
      <c r="G642" s="54"/>
      <c r="H642" s="54"/>
      <c r="I642" s="7"/>
      <c r="J642" s="9"/>
      <c r="K642" s="21"/>
      <c r="L642" s="77"/>
      <c r="M642" s="77"/>
      <c r="N642" s="77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</row>
    <row r="643" spans="1:27" ht="12.75" customHeight="1" x14ac:dyDescent="0.25">
      <c r="A643" s="79"/>
      <c r="B643" s="20"/>
      <c r="C643" s="82"/>
      <c r="D643" s="83"/>
      <c r="E643" s="79"/>
      <c r="F643" s="53"/>
      <c r="G643" s="54"/>
      <c r="H643" s="54"/>
      <c r="I643" s="7"/>
      <c r="J643" s="9"/>
      <c r="K643" s="21"/>
      <c r="L643" s="77"/>
      <c r="M643" s="77"/>
      <c r="N643" s="77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</row>
    <row r="644" spans="1:27" ht="12.75" customHeight="1" x14ac:dyDescent="0.25">
      <c r="A644" s="79"/>
      <c r="B644" s="20"/>
      <c r="C644" s="82"/>
      <c r="D644" s="83"/>
      <c r="E644" s="79"/>
      <c r="F644" s="53"/>
      <c r="G644" s="54"/>
      <c r="H644" s="54"/>
      <c r="I644" s="7"/>
      <c r="J644" s="9"/>
      <c r="K644" s="21"/>
      <c r="L644" s="77"/>
      <c r="M644" s="77"/>
      <c r="N644" s="77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</row>
    <row r="645" spans="1:27" ht="12.75" customHeight="1" x14ac:dyDescent="0.25">
      <c r="A645" s="79"/>
      <c r="B645" s="20"/>
      <c r="C645" s="82"/>
      <c r="D645" s="83"/>
      <c r="E645" s="79"/>
      <c r="F645" s="53"/>
      <c r="G645" s="54"/>
      <c r="H645" s="54"/>
      <c r="I645" s="7"/>
      <c r="J645" s="9"/>
      <c r="K645" s="21"/>
      <c r="L645" s="77"/>
      <c r="M645" s="77"/>
      <c r="N645" s="77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</row>
    <row r="646" spans="1:27" ht="12.75" customHeight="1" x14ac:dyDescent="0.25">
      <c r="A646" s="79"/>
      <c r="B646" s="20"/>
      <c r="C646" s="82"/>
      <c r="D646" s="83"/>
      <c r="E646" s="79"/>
      <c r="F646" s="53"/>
      <c r="G646" s="54"/>
      <c r="H646" s="54"/>
      <c r="I646" s="7"/>
      <c r="J646" s="9"/>
      <c r="K646" s="21"/>
      <c r="L646" s="77"/>
      <c r="M646" s="77"/>
      <c r="N646" s="77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</row>
    <row r="647" spans="1:27" ht="12.75" customHeight="1" x14ac:dyDescent="0.25">
      <c r="A647" s="79"/>
      <c r="B647" s="20"/>
      <c r="C647" s="82"/>
      <c r="D647" s="83"/>
      <c r="E647" s="79"/>
      <c r="F647" s="53"/>
      <c r="G647" s="54"/>
      <c r="H647" s="54"/>
      <c r="I647" s="7"/>
      <c r="J647" s="9"/>
      <c r="K647" s="21"/>
      <c r="L647" s="77"/>
      <c r="M647" s="77"/>
      <c r="N647" s="77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</row>
    <row r="648" spans="1:27" ht="12.75" customHeight="1" x14ac:dyDescent="0.25">
      <c r="A648" s="79"/>
      <c r="B648" s="20"/>
      <c r="C648" s="82"/>
      <c r="D648" s="83"/>
      <c r="E648" s="79"/>
      <c r="F648" s="53"/>
      <c r="G648" s="54"/>
      <c r="H648" s="54"/>
      <c r="I648" s="7"/>
      <c r="J648" s="9"/>
      <c r="K648" s="21"/>
      <c r="L648" s="77"/>
      <c r="M648" s="77"/>
      <c r="N648" s="77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</row>
    <row r="649" spans="1:27" ht="12.75" customHeight="1" x14ac:dyDescent="0.25">
      <c r="A649" s="79"/>
      <c r="B649" s="20"/>
      <c r="C649" s="82"/>
      <c r="D649" s="83"/>
      <c r="E649" s="79"/>
      <c r="F649" s="53"/>
      <c r="G649" s="54"/>
      <c r="H649" s="54"/>
      <c r="I649" s="7"/>
      <c r="J649" s="9"/>
      <c r="K649" s="21"/>
      <c r="L649" s="77"/>
      <c r="M649" s="77"/>
      <c r="N649" s="77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</row>
    <row r="650" spans="1:27" ht="12.75" customHeight="1" x14ac:dyDescent="0.25">
      <c r="A650" s="79"/>
      <c r="B650" s="20"/>
      <c r="C650" s="82"/>
      <c r="D650" s="83"/>
      <c r="E650" s="79"/>
      <c r="F650" s="53"/>
      <c r="G650" s="54"/>
      <c r="H650" s="54"/>
      <c r="I650" s="7"/>
      <c r="J650" s="9"/>
      <c r="K650" s="21"/>
      <c r="L650" s="77"/>
      <c r="M650" s="77"/>
      <c r="N650" s="77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</row>
    <row r="651" spans="1:27" ht="12.75" customHeight="1" x14ac:dyDescent="0.25">
      <c r="A651" s="79"/>
      <c r="B651" s="20"/>
      <c r="C651" s="82"/>
      <c r="D651" s="83"/>
      <c r="E651" s="79"/>
      <c r="F651" s="53"/>
      <c r="G651" s="54"/>
      <c r="H651" s="54"/>
      <c r="I651" s="7"/>
      <c r="J651" s="9"/>
      <c r="K651" s="21"/>
      <c r="L651" s="77"/>
      <c r="M651" s="77"/>
      <c r="N651" s="77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</row>
    <row r="652" spans="1:27" ht="12.75" customHeight="1" x14ac:dyDescent="0.25">
      <c r="A652" s="79"/>
      <c r="B652" s="20"/>
      <c r="C652" s="82"/>
      <c r="D652" s="83"/>
      <c r="E652" s="79"/>
      <c r="F652" s="53"/>
      <c r="G652" s="54"/>
      <c r="H652" s="54"/>
      <c r="I652" s="7"/>
      <c r="J652" s="9"/>
      <c r="K652" s="21"/>
      <c r="L652" s="77"/>
      <c r="M652" s="77"/>
      <c r="N652" s="77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</row>
    <row r="653" spans="1:27" ht="12.75" customHeight="1" x14ac:dyDescent="0.25">
      <c r="A653" s="79"/>
      <c r="B653" s="20"/>
      <c r="C653" s="82"/>
      <c r="D653" s="83"/>
      <c r="E653" s="79"/>
      <c r="F653" s="53"/>
      <c r="G653" s="54"/>
      <c r="H653" s="54"/>
      <c r="I653" s="7"/>
      <c r="J653" s="9"/>
      <c r="K653" s="21"/>
      <c r="L653" s="77"/>
      <c r="M653" s="77"/>
      <c r="N653" s="77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</row>
    <row r="654" spans="1:27" ht="12.75" customHeight="1" x14ac:dyDescent="0.25">
      <c r="A654" s="79"/>
      <c r="B654" s="20"/>
      <c r="C654" s="82"/>
      <c r="D654" s="83"/>
      <c r="E654" s="79"/>
      <c r="F654" s="53"/>
      <c r="G654" s="54"/>
      <c r="H654" s="54"/>
      <c r="I654" s="7"/>
      <c r="J654" s="9"/>
      <c r="K654" s="21"/>
      <c r="L654" s="77"/>
      <c r="M654" s="77"/>
      <c r="N654" s="77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</row>
    <row r="655" spans="1:27" ht="12.75" customHeight="1" x14ac:dyDescent="0.25">
      <c r="A655" s="79"/>
      <c r="B655" s="20"/>
      <c r="C655" s="82"/>
      <c r="D655" s="83"/>
      <c r="E655" s="79"/>
      <c r="F655" s="53"/>
      <c r="G655" s="54"/>
      <c r="H655" s="54"/>
      <c r="I655" s="7"/>
      <c r="J655" s="9"/>
      <c r="K655" s="21"/>
      <c r="L655" s="77"/>
      <c r="M655" s="77"/>
      <c r="N655" s="77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</row>
    <row r="656" spans="1:27" ht="12.75" customHeight="1" x14ac:dyDescent="0.25">
      <c r="A656" s="79"/>
      <c r="B656" s="20"/>
      <c r="C656" s="82"/>
      <c r="D656" s="83"/>
      <c r="E656" s="79"/>
      <c r="F656" s="53"/>
      <c r="G656" s="54"/>
      <c r="H656" s="54"/>
      <c r="I656" s="7"/>
      <c r="J656" s="9"/>
      <c r="K656" s="21"/>
      <c r="L656" s="77"/>
      <c r="M656" s="77"/>
      <c r="N656" s="77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</row>
    <row r="657" spans="1:27" ht="12.75" customHeight="1" x14ac:dyDescent="0.25">
      <c r="A657" s="79"/>
      <c r="B657" s="20"/>
      <c r="C657" s="82"/>
      <c r="D657" s="83"/>
      <c r="E657" s="79"/>
      <c r="F657" s="53"/>
      <c r="G657" s="54"/>
      <c r="H657" s="54"/>
      <c r="I657" s="7"/>
      <c r="J657" s="9"/>
      <c r="K657" s="21"/>
      <c r="L657" s="77"/>
      <c r="M657" s="77"/>
      <c r="N657" s="77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</row>
    <row r="658" spans="1:27" ht="12.75" customHeight="1" x14ac:dyDescent="0.25">
      <c r="A658" s="79"/>
      <c r="B658" s="20"/>
      <c r="C658" s="82"/>
      <c r="D658" s="83"/>
      <c r="E658" s="79"/>
      <c r="F658" s="53"/>
      <c r="G658" s="54"/>
      <c r="H658" s="54"/>
      <c r="I658" s="7"/>
      <c r="J658" s="9"/>
      <c r="K658" s="21"/>
      <c r="L658" s="77"/>
      <c r="M658" s="77"/>
      <c r="N658" s="77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</row>
    <row r="659" spans="1:27" ht="12.75" customHeight="1" x14ac:dyDescent="0.25">
      <c r="A659" s="79"/>
      <c r="B659" s="20"/>
      <c r="C659" s="82"/>
      <c r="D659" s="83"/>
      <c r="E659" s="79"/>
      <c r="F659" s="53"/>
      <c r="G659" s="54"/>
      <c r="H659" s="54"/>
      <c r="I659" s="7"/>
      <c r="J659" s="9"/>
      <c r="K659" s="21"/>
      <c r="L659" s="77"/>
      <c r="M659" s="77"/>
      <c r="N659" s="77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</row>
    <row r="660" spans="1:27" ht="12.75" customHeight="1" x14ac:dyDescent="0.25">
      <c r="A660" s="79"/>
      <c r="B660" s="20"/>
      <c r="C660" s="82"/>
      <c r="D660" s="83"/>
      <c r="E660" s="79"/>
      <c r="F660" s="53"/>
      <c r="G660" s="54"/>
      <c r="H660" s="54"/>
      <c r="I660" s="7"/>
      <c r="J660" s="9"/>
      <c r="K660" s="21"/>
      <c r="L660" s="77"/>
      <c r="M660" s="77"/>
      <c r="N660" s="77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</row>
    <row r="661" spans="1:27" ht="12.75" customHeight="1" x14ac:dyDescent="0.25">
      <c r="A661" s="79"/>
      <c r="B661" s="20"/>
      <c r="C661" s="82"/>
      <c r="D661" s="83"/>
      <c r="E661" s="79"/>
      <c r="F661" s="53"/>
      <c r="G661" s="54"/>
      <c r="H661" s="54"/>
      <c r="I661" s="7"/>
      <c r="J661" s="9"/>
      <c r="K661" s="21"/>
      <c r="L661" s="77"/>
      <c r="M661" s="77"/>
      <c r="N661" s="77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</row>
    <row r="662" spans="1:27" ht="12.75" customHeight="1" x14ac:dyDescent="0.25">
      <c r="A662" s="79"/>
      <c r="B662" s="20"/>
      <c r="C662" s="82"/>
      <c r="D662" s="83"/>
      <c r="E662" s="79"/>
      <c r="F662" s="53"/>
      <c r="G662" s="54"/>
      <c r="H662" s="54"/>
      <c r="I662" s="7"/>
      <c r="J662" s="9"/>
      <c r="K662" s="21"/>
      <c r="L662" s="77"/>
      <c r="M662" s="77"/>
      <c r="N662" s="77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</row>
    <row r="663" spans="1:27" ht="12.75" customHeight="1" x14ac:dyDescent="0.25">
      <c r="A663" s="79"/>
      <c r="B663" s="20"/>
      <c r="C663" s="82"/>
      <c r="D663" s="83"/>
      <c r="E663" s="79"/>
      <c r="F663" s="53"/>
      <c r="G663" s="54"/>
      <c r="H663" s="54"/>
      <c r="I663" s="7"/>
      <c r="J663" s="9"/>
      <c r="K663" s="21"/>
      <c r="L663" s="77"/>
      <c r="M663" s="77"/>
      <c r="N663" s="77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</row>
    <row r="664" spans="1:27" ht="12.75" customHeight="1" x14ac:dyDescent="0.25">
      <c r="A664" s="79"/>
      <c r="B664" s="20"/>
      <c r="C664" s="82"/>
      <c r="D664" s="83"/>
      <c r="E664" s="79"/>
      <c r="F664" s="53"/>
      <c r="G664" s="54"/>
      <c r="H664" s="54"/>
      <c r="I664" s="7"/>
      <c r="J664" s="9"/>
      <c r="K664" s="21"/>
      <c r="L664" s="77"/>
      <c r="M664" s="77"/>
      <c r="N664" s="77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</row>
    <row r="665" spans="1:27" ht="12.75" customHeight="1" x14ac:dyDescent="0.25">
      <c r="A665" s="79"/>
      <c r="B665" s="20"/>
      <c r="C665" s="82"/>
      <c r="D665" s="83"/>
      <c r="E665" s="79"/>
      <c r="F665" s="53"/>
      <c r="G665" s="54"/>
      <c r="H665" s="54"/>
      <c r="I665" s="7"/>
      <c r="J665" s="9"/>
      <c r="K665" s="21"/>
      <c r="L665" s="77"/>
      <c r="M665" s="77"/>
      <c r="N665" s="77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</row>
    <row r="666" spans="1:27" ht="12.75" customHeight="1" x14ac:dyDescent="0.25">
      <c r="A666" s="79"/>
      <c r="B666" s="20"/>
      <c r="C666" s="82"/>
      <c r="D666" s="83"/>
      <c r="E666" s="79"/>
      <c r="F666" s="53"/>
      <c r="G666" s="54"/>
      <c r="H666" s="54"/>
      <c r="I666" s="7"/>
      <c r="J666" s="9"/>
      <c r="K666" s="21"/>
      <c r="L666" s="77"/>
      <c r="M666" s="77"/>
      <c r="N666" s="77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</row>
    <row r="667" spans="1:27" ht="12.75" customHeight="1" x14ac:dyDescent="0.25">
      <c r="A667" s="79"/>
      <c r="B667" s="20"/>
      <c r="C667" s="82"/>
      <c r="D667" s="83"/>
      <c r="E667" s="79"/>
      <c r="F667" s="53"/>
      <c r="G667" s="54"/>
      <c r="H667" s="54"/>
      <c r="I667" s="7"/>
      <c r="J667" s="9"/>
      <c r="K667" s="21"/>
      <c r="L667" s="77"/>
      <c r="M667" s="77"/>
      <c r="N667" s="77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</row>
    <row r="668" spans="1:27" ht="12.75" customHeight="1" x14ac:dyDescent="0.25">
      <c r="A668" s="79"/>
      <c r="B668" s="20"/>
      <c r="C668" s="82"/>
      <c r="D668" s="83"/>
      <c r="E668" s="79"/>
      <c r="F668" s="53"/>
      <c r="G668" s="54"/>
      <c r="H668" s="54"/>
      <c r="I668" s="7"/>
      <c r="J668" s="9"/>
      <c r="K668" s="21"/>
      <c r="L668" s="77"/>
      <c r="M668" s="77"/>
      <c r="N668" s="77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</row>
    <row r="669" spans="1:27" ht="12.75" customHeight="1" x14ac:dyDescent="0.25">
      <c r="A669" s="79"/>
      <c r="B669" s="20"/>
      <c r="C669" s="82"/>
      <c r="D669" s="83"/>
      <c r="E669" s="79"/>
      <c r="F669" s="53"/>
      <c r="G669" s="54"/>
      <c r="H669" s="54"/>
      <c r="I669" s="7"/>
      <c r="J669" s="9"/>
      <c r="K669" s="21"/>
      <c r="L669" s="77"/>
      <c r="M669" s="77"/>
      <c r="N669" s="77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</row>
    <row r="670" spans="1:27" ht="12.75" customHeight="1" x14ac:dyDescent="0.25">
      <c r="A670" s="79"/>
      <c r="B670" s="20"/>
      <c r="C670" s="82"/>
      <c r="D670" s="83"/>
      <c r="E670" s="79"/>
      <c r="F670" s="53"/>
      <c r="G670" s="54"/>
      <c r="H670" s="54"/>
      <c r="I670" s="7"/>
      <c r="J670" s="9"/>
      <c r="K670" s="21"/>
      <c r="L670" s="77"/>
      <c r="M670" s="77"/>
      <c r="N670" s="77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</row>
    <row r="671" spans="1:27" ht="12.75" customHeight="1" x14ac:dyDescent="0.25">
      <c r="A671" s="79"/>
      <c r="B671" s="20"/>
      <c r="C671" s="82"/>
      <c r="D671" s="83"/>
      <c r="E671" s="79"/>
      <c r="F671" s="53"/>
      <c r="G671" s="54"/>
      <c r="H671" s="54"/>
      <c r="I671" s="7"/>
      <c r="J671" s="9"/>
      <c r="K671" s="21"/>
      <c r="L671" s="77"/>
      <c r="M671" s="77"/>
      <c r="N671" s="77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</row>
    <row r="672" spans="1:27" ht="12.75" customHeight="1" x14ac:dyDescent="0.25">
      <c r="A672" s="79"/>
      <c r="B672" s="20"/>
      <c r="C672" s="82"/>
      <c r="D672" s="83"/>
      <c r="E672" s="79"/>
      <c r="F672" s="53"/>
      <c r="G672" s="54"/>
      <c r="H672" s="54"/>
      <c r="I672" s="7"/>
      <c r="J672" s="9"/>
      <c r="K672" s="21"/>
      <c r="L672" s="77"/>
      <c r="M672" s="77"/>
      <c r="N672" s="77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</row>
    <row r="673" spans="1:27" ht="12.75" customHeight="1" x14ac:dyDescent="0.25">
      <c r="A673" s="79"/>
      <c r="B673" s="20"/>
      <c r="C673" s="82"/>
      <c r="D673" s="83"/>
      <c r="E673" s="79"/>
      <c r="F673" s="53"/>
      <c r="G673" s="54"/>
      <c r="H673" s="54"/>
      <c r="I673" s="7"/>
      <c r="J673" s="9"/>
      <c r="K673" s="21"/>
      <c r="L673" s="77"/>
      <c r="M673" s="77"/>
      <c r="N673" s="77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</row>
    <row r="674" spans="1:27" ht="12.75" customHeight="1" x14ac:dyDescent="0.25">
      <c r="A674" s="79"/>
      <c r="B674" s="20"/>
      <c r="C674" s="82"/>
      <c r="D674" s="83"/>
      <c r="E674" s="79"/>
      <c r="F674" s="53"/>
      <c r="G674" s="54"/>
      <c r="H674" s="54"/>
      <c r="I674" s="7"/>
      <c r="J674" s="9"/>
      <c r="K674" s="21"/>
      <c r="L674" s="77"/>
      <c r="M674" s="77"/>
      <c r="N674" s="77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</row>
    <row r="675" spans="1:27" ht="12.75" customHeight="1" x14ac:dyDescent="0.25">
      <c r="A675" s="79"/>
      <c r="B675" s="20"/>
      <c r="C675" s="82"/>
      <c r="D675" s="83"/>
      <c r="E675" s="79"/>
      <c r="F675" s="53"/>
      <c r="G675" s="54"/>
      <c r="H675" s="54"/>
      <c r="I675" s="7"/>
      <c r="J675" s="9"/>
      <c r="K675" s="21"/>
      <c r="L675" s="77"/>
      <c r="M675" s="77"/>
      <c r="N675" s="77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</row>
    <row r="676" spans="1:27" ht="12.75" customHeight="1" x14ac:dyDescent="0.25">
      <c r="A676" s="79"/>
      <c r="B676" s="20"/>
      <c r="C676" s="82"/>
      <c r="D676" s="83"/>
      <c r="E676" s="79"/>
      <c r="F676" s="53"/>
      <c r="G676" s="54"/>
      <c r="H676" s="54"/>
      <c r="I676" s="7"/>
      <c r="J676" s="9"/>
      <c r="K676" s="21"/>
      <c r="L676" s="77"/>
      <c r="M676" s="77"/>
      <c r="N676" s="77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</row>
    <row r="677" spans="1:27" ht="12.75" customHeight="1" x14ac:dyDescent="0.25">
      <c r="A677" s="79"/>
      <c r="B677" s="20"/>
      <c r="C677" s="82"/>
      <c r="D677" s="83"/>
      <c r="E677" s="79"/>
      <c r="F677" s="53"/>
      <c r="G677" s="54"/>
      <c r="H677" s="54"/>
      <c r="I677" s="7"/>
      <c r="J677" s="9"/>
      <c r="K677" s="21"/>
      <c r="L677" s="77"/>
      <c r="M677" s="77"/>
      <c r="N677" s="77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</row>
    <row r="678" spans="1:27" ht="12.75" customHeight="1" x14ac:dyDescent="0.25">
      <c r="A678" s="79"/>
      <c r="B678" s="20"/>
      <c r="C678" s="82"/>
      <c r="D678" s="83"/>
      <c r="E678" s="79"/>
      <c r="F678" s="53"/>
      <c r="G678" s="54"/>
      <c r="H678" s="54"/>
      <c r="I678" s="7"/>
      <c r="J678" s="9"/>
      <c r="K678" s="21"/>
      <c r="L678" s="77"/>
      <c r="M678" s="77"/>
      <c r="N678" s="77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</row>
    <row r="679" spans="1:27" ht="12.75" customHeight="1" x14ac:dyDescent="0.25">
      <c r="A679" s="79"/>
      <c r="B679" s="20"/>
      <c r="C679" s="82"/>
      <c r="D679" s="83"/>
      <c r="E679" s="79"/>
      <c r="F679" s="53"/>
      <c r="G679" s="54"/>
      <c r="H679" s="54"/>
      <c r="I679" s="7"/>
      <c r="J679" s="9"/>
      <c r="K679" s="21"/>
      <c r="L679" s="77"/>
      <c r="M679" s="77"/>
      <c r="N679" s="77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</row>
    <row r="680" spans="1:27" ht="12.75" customHeight="1" x14ac:dyDescent="0.25">
      <c r="A680" s="79"/>
      <c r="B680" s="20"/>
      <c r="C680" s="82"/>
      <c r="D680" s="83"/>
      <c r="E680" s="79"/>
      <c r="F680" s="53"/>
      <c r="G680" s="54"/>
      <c r="H680" s="54"/>
      <c r="I680" s="7"/>
      <c r="J680" s="9"/>
      <c r="K680" s="21"/>
      <c r="L680" s="77"/>
      <c r="M680" s="77"/>
      <c r="N680" s="77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</row>
    <row r="681" spans="1:27" ht="12.75" customHeight="1" x14ac:dyDescent="0.25">
      <c r="A681" s="79"/>
      <c r="B681" s="20"/>
      <c r="C681" s="82"/>
      <c r="D681" s="83"/>
      <c r="E681" s="79"/>
      <c r="F681" s="53"/>
      <c r="G681" s="54"/>
      <c r="H681" s="54"/>
      <c r="I681" s="7"/>
      <c r="J681" s="9"/>
      <c r="K681" s="21"/>
      <c r="L681" s="77"/>
      <c r="M681" s="77"/>
      <c r="N681" s="77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</row>
    <row r="682" spans="1:27" ht="12.75" customHeight="1" x14ac:dyDescent="0.25">
      <c r="A682" s="79"/>
      <c r="B682" s="20"/>
      <c r="C682" s="82"/>
      <c r="D682" s="83"/>
      <c r="E682" s="79"/>
      <c r="F682" s="53"/>
      <c r="G682" s="54"/>
      <c r="H682" s="54"/>
      <c r="I682" s="7"/>
      <c r="J682" s="9"/>
      <c r="K682" s="21"/>
      <c r="L682" s="77"/>
      <c r="M682" s="77"/>
      <c r="N682" s="77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</row>
    <row r="683" spans="1:27" ht="12.75" customHeight="1" x14ac:dyDescent="0.25">
      <c r="A683" s="79"/>
      <c r="B683" s="20"/>
      <c r="C683" s="82"/>
      <c r="D683" s="83"/>
      <c r="E683" s="79"/>
      <c r="F683" s="53"/>
      <c r="G683" s="54"/>
      <c r="H683" s="54"/>
      <c r="I683" s="7"/>
      <c r="J683" s="9"/>
      <c r="K683" s="21"/>
      <c r="L683" s="77"/>
      <c r="M683" s="77"/>
      <c r="N683" s="77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</row>
    <row r="684" spans="1:27" ht="12.75" customHeight="1" x14ac:dyDescent="0.25">
      <c r="A684" s="79"/>
      <c r="B684" s="20"/>
      <c r="C684" s="82"/>
      <c r="D684" s="83"/>
      <c r="E684" s="79"/>
      <c r="F684" s="53"/>
      <c r="G684" s="54"/>
      <c r="H684" s="54"/>
      <c r="I684" s="7"/>
      <c r="J684" s="9"/>
      <c r="K684" s="21"/>
      <c r="L684" s="77"/>
      <c r="M684" s="77"/>
      <c r="N684" s="77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</row>
    <row r="685" spans="1:27" ht="12.75" customHeight="1" x14ac:dyDescent="0.25">
      <c r="A685" s="79"/>
      <c r="B685" s="20"/>
      <c r="C685" s="82"/>
      <c r="D685" s="83"/>
      <c r="E685" s="79"/>
      <c r="F685" s="53"/>
      <c r="G685" s="54"/>
      <c r="H685" s="54"/>
      <c r="I685" s="7"/>
      <c r="J685" s="9"/>
      <c r="K685" s="21"/>
      <c r="L685" s="77"/>
      <c r="M685" s="77"/>
      <c r="N685" s="77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</row>
    <row r="686" spans="1:27" ht="12.75" customHeight="1" x14ac:dyDescent="0.25">
      <c r="A686" s="79"/>
      <c r="B686" s="20"/>
      <c r="C686" s="82"/>
      <c r="D686" s="83"/>
      <c r="E686" s="79"/>
      <c r="F686" s="53"/>
      <c r="G686" s="54"/>
      <c r="H686" s="54"/>
      <c r="I686" s="7"/>
      <c r="J686" s="9"/>
      <c r="K686" s="21"/>
      <c r="L686" s="77"/>
      <c r="M686" s="77"/>
      <c r="N686" s="77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</row>
    <row r="687" spans="1:27" ht="12.75" customHeight="1" x14ac:dyDescent="0.25">
      <c r="A687" s="79"/>
      <c r="B687" s="20"/>
      <c r="C687" s="82"/>
      <c r="D687" s="83"/>
      <c r="E687" s="79"/>
      <c r="F687" s="53"/>
      <c r="G687" s="54"/>
      <c r="H687" s="54"/>
      <c r="I687" s="7"/>
      <c r="J687" s="9"/>
      <c r="K687" s="21"/>
      <c r="L687" s="77"/>
      <c r="M687" s="77"/>
      <c r="N687" s="77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</row>
    <row r="688" spans="1:27" ht="12.75" customHeight="1" x14ac:dyDescent="0.25">
      <c r="A688" s="79"/>
      <c r="B688" s="20"/>
      <c r="C688" s="82"/>
      <c r="D688" s="83"/>
      <c r="E688" s="79"/>
      <c r="F688" s="53"/>
      <c r="G688" s="54"/>
      <c r="H688" s="54"/>
      <c r="I688" s="7"/>
      <c r="J688" s="9"/>
      <c r="K688" s="21"/>
      <c r="L688" s="77"/>
      <c r="M688" s="77"/>
      <c r="N688" s="77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</row>
    <row r="689" spans="1:27" ht="12.75" customHeight="1" x14ac:dyDescent="0.25">
      <c r="A689" s="79"/>
      <c r="B689" s="20"/>
      <c r="C689" s="82"/>
      <c r="D689" s="83"/>
      <c r="E689" s="79"/>
      <c r="F689" s="53"/>
      <c r="G689" s="54"/>
      <c r="H689" s="54"/>
      <c r="I689" s="7"/>
      <c r="J689" s="9"/>
      <c r="K689" s="21"/>
      <c r="L689" s="77"/>
      <c r="M689" s="77"/>
      <c r="N689" s="77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</row>
    <row r="690" spans="1:27" ht="12.75" customHeight="1" x14ac:dyDescent="0.25">
      <c r="A690" s="79"/>
      <c r="B690" s="20"/>
      <c r="C690" s="82"/>
      <c r="D690" s="83"/>
      <c r="E690" s="79"/>
      <c r="F690" s="53"/>
      <c r="G690" s="54"/>
      <c r="H690" s="54"/>
      <c r="I690" s="7"/>
      <c r="J690" s="9"/>
      <c r="K690" s="21"/>
      <c r="L690" s="77"/>
      <c r="M690" s="77"/>
      <c r="N690" s="77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</row>
    <row r="691" spans="1:27" ht="12.75" customHeight="1" x14ac:dyDescent="0.25">
      <c r="A691" s="79"/>
      <c r="B691" s="20"/>
      <c r="C691" s="82"/>
      <c r="D691" s="83"/>
      <c r="E691" s="79"/>
      <c r="F691" s="53"/>
      <c r="G691" s="54"/>
      <c r="H691" s="54"/>
      <c r="I691" s="7"/>
      <c r="J691" s="9"/>
      <c r="K691" s="21"/>
      <c r="L691" s="77"/>
      <c r="M691" s="77"/>
      <c r="N691" s="77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</row>
    <row r="692" spans="1:27" ht="12.75" customHeight="1" x14ac:dyDescent="0.25">
      <c r="A692" s="79"/>
      <c r="B692" s="20"/>
      <c r="C692" s="82"/>
      <c r="D692" s="83"/>
      <c r="E692" s="79"/>
      <c r="F692" s="53"/>
      <c r="G692" s="54"/>
      <c r="H692" s="54"/>
      <c r="I692" s="7"/>
      <c r="J692" s="9"/>
      <c r="K692" s="21"/>
      <c r="L692" s="77"/>
      <c r="M692" s="77"/>
      <c r="N692" s="77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</row>
    <row r="693" spans="1:27" ht="12.75" customHeight="1" x14ac:dyDescent="0.25">
      <c r="A693" s="79"/>
      <c r="B693" s="20"/>
      <c r="C693" s="82"/>
      <c r="D693" s="83"/>
      <c r="E693" s="79"/>
      <c r="F693" s="53"/>
      <c r="G693" s="54"/>
      <c r="H693" s="54"/>
      <c r="I693" s="7"/>
      <c r="J693" s="9"/>
      <c r="K693" s="21"/>
      <c r="L693" s="77"/>
      <c r="M693" s="77"/>
      <c r="N693" s="77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</row>
    <row r="694" spans="1:27" ht="12.75" customHeight="1" x14ac:dyDescent="0.25">
      <c r="A694" s="79"/>
      <c r="B694" s="20"/>
      <c r="C694" s="82"/>
      <c r="D694" s="83"/>
      <c r="E694" s="79"/>
      <c r="F694" s="53"/>
      <c r="G694" s="54"/>
      <c r="H694" s="54"/>
      <c r="I694" s="7"/>
      <c r="J694" s="9"/>
      <c r="K694" s="21"/>
      <c r="L694" s="77"/>
      <c r="M694" s="77"/>
      <c r="N694" s="77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</row>
    <row r="695" spans="1:27" ht="12.75" customHeight="1" x14ac:dyDescent="0.25">
      <c r="A695" s="79"/>
      <c r="B695" s="20"/>
      <c r="C695" s="82"/>
      <c r="D695" s="83"/>
      <c r="E695" s="79"/>
      <c r="F695" s="53"/>
      <c r="G695" s="54"/>
      <c r="H695" s="54"/>
      <c r="I695" s="7"/>
      <c r="J695" s="9"/>
      <c r="K695" s="21"/>
      <c r="L695" s="77"/>
      <c r="M695" s="77"/>
      <c r="N695" s="77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</row>
    <row r="696" spans="1:27" ht="12.75" customHeight="1" x14ac:dyDescent="0.25">
      <c r="A696" s="79"/>
      <c r="B696" s="20"/>
      <c r="C696" s="82"/>
      <c r="D696" s="83"/>
      <c r="E696" s="79"/>
      <c r="F696" s="53"/>
      <c r="G696" s="54"/>
      <c r="H696" s="54"/>
      <c r="I696" s="7"/>
      <c r="J696" s="9"/>
      <c r="K696" s="21"/>
      <c r="L696" s="77"/>
      <c r="M696" s="77"/>
      <c r="N696" s="77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</row>
    <row r="697" spans="1:27" ht="12.75" customHeight="1" x14ac:dyDescent="0.25">
      <c r="A697" s="79"/>
      <c r="B697" s="20"/>
      <c r="C697" s="82"/>
      <c r="D697" s="83"/>
      <c r="E697" s="79"/>
      <c r="F697" s="53"/>
      <c r="G697" s="54"/>
      <c r="H697" s="54"/>
      <c r="I697" s="7"/>
      <c r="J697" s="9"/>
      <c r="K697" s="21"/>
      <c r="L697" s="77"/>
      <c r="M697" s="77"/>
      <c r="N697" s="77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</row>
    <row r="698" spans="1:27" ht="12.75" customHeight="1" x14ac:dyDescent="0.25">
      <c r="A698" s="79"/>
      <c r="B698" s="20"/>
      <c r="C698" s="82"/>
      <c r="D698" s="83"/>
      <c r="E698" s="79"/>
      <c r="F698" s="53"/>
      <c r="G698" s="54"/>
      <c r="H698" s="54"/>
      <c r="I698" s="7"/>
      <c r="J698" s="9"/>
      <c r="K698" s="21"/>
      <c r="L698" s="77"/>
      <c r="M698" s="77"/>
      <c r="N698" s="77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</row>
    <row r="699" spans="1:27" ht="12.75" customHeight="1" x14ac:dyDescent="0.25">
      <c r="A699" s="79"/>
      <c r="B699" s="20"/>
      <c r="C699" s="82"/>
      <c r="D699" s="83"/>
      <c r="E699" s="79"/>
      <c r="F699" s="53"/>
      <c r="G699" s="54"/>
      <c r="H699" s="54"/>
      <c r="I699" s="7"/>
      <c r="J699" s="9"/>
      <c r="K699" s="21"/>
      <c r="L699" s="77"/>
      <c r="M699" s="77"/>
      <c r="N699" s="77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</row>
    <row r="700" spans="1:27" ht="12.75" customHeight="1" x14ac:dyDescent="0.25">
      <c r="A700" s="79"/>
      <c r="B700" s="20"/>
      <c r="C700" s="82"/>
      <c r="D700" s="83"/>
      <c r="E700" s="79"/>
      <c r="F700" s="53"/>
      <c r="G700" s="54"/>
      <c r="H700" s="54"/>
      <c r="I700" s="7"/>
      <c r="J700" s="9"/>
      <c r="K700" s="21"/>
      <c r="L700" s="77"/>
      <c r="M700" s="77"/>
      <c r="N700" s="77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</row>
    <row r="701" spans="1:27" ht="12.75" customHeight="1" x14ac:dyDescent="0.25">
      <c r="A701" s="79"/>
      <c r="B701" s="20"/>
      <c r="C701" s="82"/>
      <c r="D701" s="83"/>
      <c r="E701" s="79"/>
      <c r="F701" s="53"/>
      <c r="G701" s="54"/>
      <c r="H701" s="54"/>
      <c r="I701" s="7"/>
      <c r="J701" s="9"/>
      <c r="K701" s="21"/>
      <c r="L701" s="77"/>
      <c r="M701" s="77"/>
      <c r="N701" s="77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</row>
    <row r="702" spans="1:27" ht="12.75" customHeight="1" x14ac:dyDescent="0.25">
      <c r="A702" s="79"/>
      <c r="B702" s="20"/>
      <c r="C702" s="82"/>
      <c r="D702" s="83"/>
      <c r="E702" s="79"/>
      <c r="F702" s="53"/>
      <c r="G702" s="54"/>
      <c r="H702" s="54"/>
      <c r="I702" s="7"/>
      <c r="J702" s="9"/>
      <c r="K702" s="21"/>
      <c r="L702" s="77"/>
      <c r="M702" s="77"/>
      <c r="N702" s="77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</row>
    <row r="703" spans="1:27" ht="12.75" customHeight="1" x14ac:dyDescent="0.25">
      <c r="A703" s="79"/>
      <c r="B703" s="20"/>
      <c r="C703" s="82"/>
      <c r="D703" s="83"/>
      <c r="E703" s="79"/>
      <c r="F703" s="53"/>
      <c r="G703" s="54"/>
      <c r="H703" s="54"/>
      <c r="I703" s="7"/>
      <c r="J703" s="9"/>
      <c r="K703" s="21"/>
      <c r="L703" s="77"/>
      <c r="M703" s="77"/>
      <c r="N703" s="77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</row>
    <row r="704" spans="1:27" ht="12.75" customHeight="1" x14ac:dyDescent="0.25">
      <c r="A704" s="79"/>
      <c r="B704" s="20"/>
      <c r="C704" s="82"/>
      <c r="D704" s="83"/>
      <c r="E704" s="79"/>
      <c r="F704" s="53"/>
      <c r="G704" s="54"/>
      <c r="H704" s="54"/>
      <c r="I704" s="7"/>
      <c r="J704" s="9"/>
      <c r="K704" s="21"/>
      <c r="L704" s="77"/>
      <c r="M704" s="77"/>
      <c r="N704" s="77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</row>
    <row r="705" spans="1:27" ht="12.75" customHeight="1" x14ac:dyDescent="0.25">
      <c r="A705" s="79"/>
      <c r="B705" s="20"/>
      <c r="C705" s="82"/>
      <c r="D705" s="83"/>
      <c r="E705" s="79"/>
      <c r="F705" s="53"/>
      <c r="G705" s="54"/>
      <c r="H705" s="54"/>
      <c r="I705" s="7"/>
      <c r="J705" s="9"/>
      <c r="K705" s="21"/>
      <c r="L705" s="77"/>
      <c r="M705" s="77"/>
      <c r="N705" s="77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</row>
    <row r="706" spans="1:27" ht="12.75" customHeight="1" x14ac:dyDescent="0.25">
      <c r="A706" s="79"/>
      <c r="B706" s="20"/>
      <c r="C706" s="82"/>
      <c r="D706" s="83"/>
      <c r="E706" s="79"/>
      <c r="F706" s="53"/>
      <c r="G706" s="54"/>
      <c r="H706" s="54"/>
      <c r="I706" s="7"/>
      <c r="J706" s="9"/>
      <c r="K706" s="21"/>
      <c r="L706" s="77"/>
      <c r="M706" s="77"/>
      <c r="N706" s="77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</row>
    <row r="707" spans="1:27" ht="12.75" customHeight="1" x14ac:dyDescent="0.25">
      <c r="A707" s="79"/>
      <c r="B707" s="20"/>
      <c r="C707" s="82"/>
      <c r="D707" s="83"/>
      <c r="E707" s="79"/>
      <c r="F707" s="53"/>
      <c r="G707" s="54"/>
      <c r="H707" s="54"/>
      <c r="I707" s="7"/>
      <c r="J707" s="9"/>
      <c r="K707" s="21"/>
      <c r="L707" s="77"/>
      <c r="M707" s="77"/>
      <c r="N707" s="77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</row>
    <row r="708" spans="1:27" ht="12.75" customHeight="1" x14ac:dyDescent="0.25">
      <c r="A708" s="79"/>
      <c r="B708" s="20"/>
      <c r="C708" s="82"/>
      <c r="D708" s="83"/>
      <c r="E708" s="79"/>
      <c r="F708" s="53"/>
      <c r="G708" s="54"/>
      <c r="H708" s="54"/>
      <c r="I708" s="7"/>
      <c r="J708" s="9"/>
      <c r="K708" s="21"/>
      <c r="L708" s="77"/>
      <c r="M708" s="77"/>
      <c r="N708" s="77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</row>
    <row r="709" spans="1:27" ht="12.75" customHeight="1" x14ac:dyDescent="0.25">
      <c r="A709" s="79"/>
      <c r="B709" s="20"/>
      <c r="C709" s="82"/>
      <c r="D709" s="83"/>
      <c r="E709" s="79"/>
      <c r="F709" s="53"/>
      <c r="G709" s="54"/>
      <c r="H709" s="54"/>
      <c r="I709" s="7"/>
      <c r="J709" s="9"/>
      <c r="K709" s="21"/>
      <c r="L709" s="77"/>
      <c r="M709" s="77"/>
      <c r="N709" s="77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</row>
    <row r="710" spans="1:27" ht="12.75" customHeight="1" x14ac:dyDescent="0.25">
      <c r="A710" s="79"/>
      <c r="B710" s="20"/>
      <c r="C710" s="82"/>
      <c r="D710" s="83"/>
      <c r="E710" s="79"/>
      <c r="F710" s="53"/>
      <c r="G710" s="54"/>
      <c r="H710" s="54"/>
      <c r="I710" s="7"/>
      <c r="J710" s="9"/>
      <c r="K710" s="21"/>
      <c r="L710" s="77"/>
      <c r="M710" s="77"/>
      <c r="N710" s="77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</row>
    <row r="711" spans="1:27" ht="12.75" customHeight="1" x14ac:dyDescent="0.25">
      <c r="A711" s="79"/>
      <c r="B711" s="20"/>
      <c r="C711" s="82"/>
      <c r="D711" s="83"/>
      <c r="E711" s="79"/>
      <c r="F711" s="53"/>
      <c r="G711" s="54"/>
      <c r="H711" s="54"/>
      <c r="I711" s="7"/>
      <c r="J711" s="9"/>
      <c r="K711" s="21"/>
      <c r="L711" s="77"/>
      <c r="M711" s="77"/>
      <c r="N711" s="77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</row>
    <row r="712" spans="1:27" ht="12.75" customHeight="1" x14ac:dyDescent="0.25">
      <c r="A712" s="79"/>
      <c r="B712" s="20"/>
      <c r="C712" s="82"/>
      <c r="D712" s="83"/>
      <c r="E712" s="79"/>
      <c r="F712" s="53"/>
      <c r="G712" s="54"/>
      <c r="H712" s="54"/>
      <c r="I712" s="7"/>
      <c r="J712" s="9"/>
      <c r="K712" s="21"/>
      <c r="L712" s="77"/>
      <c r="M712" s="77"/>
      <c r="N712" s="77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</row>
    <row r="713" spans="1:27" ht="12.75" customHeight="1" x14ac:dyDescent="0.25">
      <c r="A713" s="79"/>
      <c r="B713" s="20"/>
      <c r="C713" s="82"/>
      <c r="D713" s="83"/>
      <c r="E713" s="79"/>
      <c r="F713" s="53"/>
      <c r="G713" s="54"/>
      <c r="H713" s="54"/>
      <c r="I713" s="7"/>
      <c r="J713" s="9"/>
      <c r="K713" s="21"/>
      <c r="L713" s="77"/>
      <c r="M713" s="77"/>
      <c r="N713" s="77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</row>
    <row r="714" spans="1:27" ht="12.75" customHeight="1" x14ac:dyDescent="0.25">
      <c r="A714" s="79"/>
      <c r="B714" s="20"/>
      <c r="C714" s="82"/>
      <c r="D714" s="83"/>
      <c r="E714" s="79"/>
      <c r="F714" s="53"/>
      <c r="G714" s="54"/>
      <c r="H714" s="54"/>
      <c r="I714" s="7"/>
      <c r="J714" s="9"/>
      <c r="K714" s="21"/>
      <c r="L714" s="77"/>
      <c r="M714" s="77"/>
      <c r="N714" s="77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</row>
    <row r="715" spans="1:27" ht="12.75" customHeight="1" x14ac:dyDescent="0.25">
      <c r="A715" s="79"/>
      <c r="B715" s="20"/>
      <c r="C715" s="82"/>
      <c r="D715" s="83"/>
      <c r="E715" s="79"/>
      <c r="F715" s="53"/>
      <c r="G715" s="54"/>
      <c r="H715" s="54"/>
      <c r="I715" s="7"/>
      <c r="J715" s="9"/>
      <c r="K715" s="21"/>
      <c r="L715" s="77"/>
      <c r="M715" s="77"/>
      <c r="N715" s="77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</row>
    <row r="716" spans="1:27" ht="12.75" customHeight="1" x14ac:dyDescent="0.25">
      <c r="A716" s="79"/>
      <c r="B716" s="20"/>
      <c r="C716" s="82"/>
      <c r="D716" s="83"/>
      <c r="E716" s="79"/>
      <c r="F716" s="53"/>
      <c r="G716" s="54"/>
      <c r="H716" s="54"/>
      <c r="I716" s="7"/>
      <c r="J716" s="9"/>
      <c r="K716" s="21"/>
      <c r="L716" s="77"/>
      <c r="M716" s="77"/>
      <c r="N716" s="77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</row>
    <row r="717" spans="1:27" ht="12.75" customHeight="1" x14ac:dyDescent="0.25">
      <c r="A717" s="79"/>
      <c r="B717" s="20"/>
      <c r="C717" s="82"/>
      <c r="D717" s="83"/>
      <c r="E717" s="79"/>
      <c r="F717" s="53"/>
      <c r="G717" s="54"/>
      <c r="H717" s="54"/>
      <c r="I717" s="7"/>
      <c r="J717" s="9"/>
      <c r="K717" s="21"/>
      <c r="L717" s="77"/>
      <c r="M717" s="77"/>
      <c r="N717" s="77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</row>
    <row r="718" spans="1:27" ht="12.75" customHeight="1" x14ac:dyDescent="0.25">
      <c r="A718" s="79"/>
      <c r="B718" s="20"/>
      <c r="C718" s="82"/>
      <c r="D718" s="83"/>
      <c r="E718" s="79"/>
      <c r="F718" s="53"/>
      <c r="G718" s="54"/>
      <c r="H718" s="54"/>
      <c r="I718" s="7"/>
      <c r="J718" s="9"/>
      <c r="K718" s="21"/>
      <c r="L718" s="77"/>
      <c r="M718" s="77"/>
      <c r="N718" s="77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</row>
    <row r="719" spans="1:27" ht="12.75" customHeight="1" x14ac:dyDescent="0.25">
      <c r="A719" s="79"/>
      <c r="B719" s="20"/>
      <c r="C719" s="82"/>
      <c r="D719" s="83"/>
      <c r="E719" s="79"/>
      <c r="F719" s="53"/>
      <c r="G719" s="54"/>
      <c r="H719" s="54"/>
      <c r="I719" s="7"/>
      <c r="J719" s="9"/>
      <c r="K719" s="21"/>
      <c r="L719" s="77"/>
      <c r="M719" s="77"/>
      <c r="N719" s="77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</row>
    <row r="720" spans="1:27" ht="12.75" customHeight="1" x14ac:dyDescent="0.25">
      <c r="A720" s="79"/>
      <c r="B720" s="20"/>
      <c r="C720" s="82"/>
      <c r="D720" s="83"/>
      <c r="E720" s="79"/>
      <c r="F720" s="53"/>
      <c r="G720" s="54"/>
      <c r="H720" s="54"/>
      <c r="I720" s="7"/>
      <c r="J720" s="9"/>
      <c r="K720" s="21"/>
      <c r="L720" s="77"/>
      <c r="M720" s="77"/>
      <c r="N720" s="77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</row>
    <row r="721" spans="1:27" ht="12.75" customHeight="1" x14ac:dyDescent="0.25">
      <c r="A721" s="79"/>
      <c r="B721" s="20"/>
      <c r="C721" s="82"/>
      <c r="D721" s="83"/>
      <c r="E721" s="79"/>
      <c r="F721" s="53"/>
      <c r="G721" s="54"/>
      <c r="H721" s="54"/>
      <c r="I721" s="7"/>
      <c r="J721" s="9"/>
      <c r="K721" s="21"/>
      <c r="L721" s="77"/>
      <c r="M721" s="77"/>
      <c r="N721" s="77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</row>
    <row r="722" spans="1:27" ht="12.75" customHeight="1" x14ac:dyDescent="0.25">
      <c r="A722" s="79"/>
      <c r="B722" s="20"/>
      <c r="C722" s="82"/>
      <c r="D722" s="83"/>
      <c r="E722" s="79"/>
      <c r="F722" s="53"/>
      <c r="G722" s="54"/>
      <c r="H722" s="54"/>
      <c r="I722" s="7"/>
      <c r="J722" s="9"/>
      <c r="K722" s="21"/>
      <c r="L722" s="77"/>
      <c r="M722" s="77"/>
      <c r="N722" s="77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</row>
    <row r="723" spans="1:27" ht="12.75" customHeight="1" x14ac:dyDescent="0.25">
      <c r="A723" s="79"/>
      <c r="B723" s="20"/>
      <c r="C723" s="82"/>
      <c r="D723" s="83"/>
      <c r="E723" s="79"/>
      <c r="F723" s="53"/>
      <c r="G723" s="54"/>
      <c r="H723" s="54"/>
      <c r="I723" s="7"/>
      <c r="J723" s="9"/>
      <c r="K723" s="21"/>
      <c r="L723" s="77"/>
      <c r="M723" s="77"/>
      <c r="N723" s="77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</row>
    <row r="724" spans="1:27" ht="12.75" customHeight="1" x14ac:dyDescent="0.25">
      <c r="A724" s="79"/>
      <c r="B724" s="20"/>
      <c r="C724" s="82"/>
      <c r="D724" s="83"/>
      <c r="E724" s="79"/>
      <c r="F724" s="53"/>
      <c r="G724" s="54"/>
      <c r="H724" s="54"/>
      <c r="I724" s="7"/>
      <c r="J724" s="9"/>
      <c r="K724" s="21"/>
      <c r="L724" s="77"/>
      <c r="M724" s="77"/>
      <c r="N724" s="77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</row>
    <row r="725" spans="1:27" ht="12.75" customHeight="1" x14ac:dyDescent="0.25">
      <c r="A725" s="79"/>
      <c r="B725" s="20"/>
      <c r="C725" s="82"/>
      <c r="D725" s="83"/>
      <c r="E725" s="79"/>
      <c r="F725" s="53"/>
      <c r="G725" s="54"/>
      <c r="H725" s="54"/>
      <c r="I725" s="7"/>
      <c r="J725" s="9"/>
      <c r="K725" s="21"/>
      <c r="L725" s="77"/>
      <c r="M725" s="77"/>
      <c r="N725" s="77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</row>
    <row r="726" spans="1:27" ht="12.75" customHeight="1" x14ac:dyDescent="0.25">
      <c r="A726" s="79"/>
      <c r="B726" s="20"/>
      <c r="C726" s="82"/>
      <c r="D726" s="83"/>
      <c r="E726" s="79"/>
      <c r="F726" s="53"/>
      <c r="G726" s="54"/>
      <c r="H726" s="54"/>
      <c r="I726" s="7"/>
      <c r="J726" s="9"/>
      <c r="K726" s="21"/>
      <c r="L726" s="77"/>
      <c r="M726" s="77"/>
      <c r="N726" s="77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</row>
    <row r="727" spans="1:27" ht="12.75" customHeight="1" x14ac:dyDescent="0.25">
      <c r="A727" s="79"/>
      <c r="B727" s="20"/>
      <c r="C727" s="82"/>
      <c r="D727" s="83"/>
      <c r="E727" s="79"/>
      <c r="F727" s="53"/>
      <c r="G727" s="54"/>
      <c r="H727" s="54"/>
      <c r="I727" s="7"/>
      <c r="J727" s="9"/>
      <c r="K727" s="21"/>
      <c r="L727" s="77"/>
      <c r="M727" s="77"/>
      <c r="N727" s="77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</row>
    <row r="728" spans="1:27" ht="12.75" customHeight="1" x14ac:dyDescent="0.25">
      <c r="A728" s="79"/>
      <c r="B728" s="20"/>
      <c r="C728" s="82"/>
      <c r="D728" s="83"/>
      <c r="E728" s="79"/>
      <c r="F728" s="53"/>
      <c r="G728" s="54"/>
      <c r="H728" s="54"/>
      <c r="I728" s="7"/>
      <c r="J728" s="9"/>
      <c r="K728" s="21"/>
      <c r="L728" s="77"/>
      <c r="M728" s="77"/>
      <c r="N728" s="77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</row>
    <row r="729" spans="1:27" ht="12.75" customHeight="1" x14ac:dyDescent="0.25">
      <c r="A729" s="79"/>
      <c r="B729" s="20"/>
      <c r="C729" s="82"/>
      <c r="D729" s="83"/>
      <c r="E729" s="79"/>
      <c r="F729" s="53"/>
      <c r="G729" s="54"/>
      <c r="H729" s="54"/>
      <c r="I729" s="7"/>
      <c r="J729" s="9"/>
      <c r="K729" s="21"/>
      <c r="L729" s="77"/>
      <c r="M729" s="77"/>
      <c r="N729" s="77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</row>
    <row r="730" spans="1:27" ht="12.75" customHeight="1" x14ac:dyDescent="0.25">
      <c r="A730" s="79"/>
      <c r="B730" s="20"/>
      <c r="C730" s="82"/>
      <c r="D730" s="83"/>
      <c r="E730" s="79"/>
      <c r="F730" s="53"/>
      <c r="G730" s="54"/>
      <c r="H730" s="54"/>
      <c r="I730" s="7"/>
      <c r="J730" s="9"/>
      <c r="K730" s="21"/>
      <c r="L730" s="77"/>
      <c r="M730" s="77"/>
      <c r="N730" s="77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</row>
    <row r="731" spans="1:27" ht="12.75" customHeight="1" x14ac:dyDescent="0.25">
      <c r="A731" s="79"/>
      <c r="B731" s="20"/>
      <c r="C731" s="82"/>
      <c r="D731" s="83"/>
      <c r="E731" s="79"/>
      <c r="F731" s="53"/>
      <c r="G731" s="54"/>
      <c r="H731" s="54"/>
      <c r="I731" s="7"/>
      <c r="J731" s="9"/>
      <c r="K731" s="21"/>
      <c r="L731" s="77"/>
      <c r="M731" s="77"/>
      <c r="N731" s="77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</row>
    <row r="732" spans="1:27" ht="12.75" customHeight="1" x14ac:dyDescent="0.25">
      <c r="A732" s="79"/>
      <c r="B732" s="20"/>
      <c r="C732" s="82"/>
      <c r="D732" s="83"/>
      <c r="E732" s="79"/>
      <c r="F732" s="53"/>
      <c r="G732" s="54"/>
      <c r="H732" s="54"/>
      <c r="I732" s="7"/>
      <c r="J732" s="9"/>
      <c r="K732" s="21"/>
      <c r="L732" s="77"/>
      <c r="M732" s="77"/>
      <c r="N732" s="77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</row>
    <row r="733" spans="1:27" ht="12.75" customHeight="1" x14ac:dyDescent="0.25">
      <c r="A733" s="79"/>
      <c r="B733" s="20"/>
      <c r="C733" s="82"/>
      <c r="D733" s="83"/>
      <c r="E733" s="79"/>
      <c r="F733" s="53"/>
      <c r="G733" s="54"/>
      <c r="H733" s="54"/>
      <c r="I733" s="7"/>
      <c r="J733" s="9"/>
      <c r="K733" s="21"/>
      <c r="L733" s="77"/>
      <c r="M733" s="77"/>
      <c r="N733" s="77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</row>
    <row r="734" spans="1:27" ht="12.75" customHeight="1" x14ac:dyDescent="0.25">
      <c r="A734" s="79"/>
      <c r="B734" s="20"/>
      <c r="C734" s="82"/>
      <c r="D734" s="83"/>
      <c r="E734" s="79"/>
      <c r="F734" s="53"/>
      <c r="G734" s="54"/>
      <c r="H734" s="54"/>
      <c r="I734" s="7"/>
      <c r="J734" s="9"/>
      <c r="K734" s="21"/>
      <c r="L734" s="77"/>
      <c r="M734" s="77"/>
      <c r="N734" s="77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</row>
    <row r="735" spans="1:27" ht="12.75" customHeight="1" x14ac:dyDescent="0.25">
      <c r="A735" s="79"/>
      <c r="B735" s="20"/>
      <c r="C735" s="82"/>
      <c r="D735" s="83"/>
      <c r="E735" s="79"/>
      <c r="F735" s="53"/>
      <c r="G735" s="54"/>
      <c r="H735" s="54"/>
      <c r="I735" s="7"/>
      <c r="J735" s="9"/>
      <c r="K735" s="21"/>
      <c r="L735" s="77"/>
      <c r="M735" s="77"/>
      <c r="N735" s="77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</row>
    <row r="736" spans="1:27" ht="12.75" customHeight="1" x14ac:dyDescent="0.25">
      <c r="A736" s="79"/>
      <c r="B736" s="20"/>
      <c r="C736" s="82"/>
      <c r="D736" s="83"/>
      <c r="E736" s="79"/>
      <c r="F736" s="53"/>
      <c r="G736" s="54"/>
      <c r="H736" s="54"/>
      <c r="I736" s="7"/>
      <c r="J736" s="9"/>
      <c r="K736" s="21"/>
      <c r="L736" s="77"/>
      <c r="M736" s="77"/>
      <c r="N736" s="77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</row>
    <row r="737" spans="1:27" ht="12.75" customHeight="1" x14ac:dyDescent="0.25">
      <c r="A737" s="79"/>
      <c r="B737" s="20"/>
      <c r="C737" s="82"/>
      <c r="D737" s="83"/>
      <c r="E737" s="79"/>
      <c r="F737" s="53"/>
      <c r="G737" s="54"/>
      <c r="H737" s="54"/>
      <c r="I737" s="7"/>
      <c r="J737" s="9"/>
      <c r="K737" s="21"/>
      <c r="L737" s="77"/>
      <c r="M737" s="77"/>
      <c r="N737" s="77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</row>
    <row r="738" spans="1:27" ht="12.75" customHeight="1" x14ac:dyDescent="0.25">
      <c r="A738" s="79"/>
      <c r="B738" s="20"/>
      <c r="C738" s="82"/>
      <c r="D738" s="83"/>
      <c r="E738" s="79"/>
      <c r="F738" s="53"/>
      <c r="G738" s="54"/>
      <c r="H738" s="54"/>
      <c r="I738" s="7"/>
      <c r="J738" s="9"/>
      <c r="K738" s="21"/>
      <c r="L738" s="77"/>
      <c r="M738" s="77"/>
      <c r="N738" s="77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</row>
    <row r="739" spans="1:27" ht="12.75" customHeight="1" x14ac:dyDescent="0.25">
      <c r="A739" s="79"/>
      <c r="B739" s="20"/>
      <c r="C739" s="82"/>
      <c r="D739" s="83"/>
      <c r="E739" s="79"/>
      <c r="F739" s="53"/>
      <c r="G739" s="54"/>
      <c r="H739" s="54"/>
      <c r="I739" s="7"/>
      <c r="J739" s="9"/>
      <c r="K739" s="21"/>
      <c r="L739" s="77"/>
      <c r="M739" s="77"/>
      <c r="N739" s="77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</row>
    <row r="740" spans="1:27" ht="12.75" customHeight="1" x14ac:dyDescent="0.25">
      <c r="A740" s="79"/>
      <c r="B740" s="20"/>
      <c r="C740" s="82"/>
      <c r="D740" s="83"/>
      <c r="E740" s="79"/>
      <c r="F740" s="53"/>
      <c r="G740" s="54"/>
      <c r="H740" s="54"/>
      <c r="I740" s="7"/>
      <c r="J740" s="9"/>
      <c r="K740" s="21"/>
      <c r="L740" s="77"/>
      <c r="M740" s="77"/>
      <c r="N740" s="77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</row>
    <row r="741" spans="1:27" ht="12.75" customHeight="1" x14ac:dyDescent="0.25">
      <c r="A741" s="79"/>
      <c r="B741" s="20"/>
      <c r="C741" s="82"/>
      <c r="D741" s="83"/>
      <c r="E741" s="79"/>
      <c r="F741" s="53"/>
      <c r="G741" s="54"/>
      <c r="H741" s="54"/>
      <c r="I741" s="7"/>
      <c r="J741" s="9"/>
      <c r="K741" s="21"/>
      <c r="L741" s="77"/>
      <c r="M741" s="77"/>
      <c r="N741" s="77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</row>
    <row r="742" spans="1:27" ht="12.75" customHeight="1" x14ac:dyDescent="0.25">
      <c r="A742" s="79"/>
      <c r="B742" s="20"/>
      <c r="C742" s="82"/>
      <c r="D742" s="83"/>
      <c r="E742" s="79"/>
      <c r="F742" s="53"/>
      <c r="G742" s="54"/>
      <c r="H742" s="54"/>
      <c r="I742" s="7"/>
      <c r="J742" s="9"/>
      <c r="K742" s="21"/>
      <c r="L742" s="77"/>
      <c r="M742" s="77"/>
      <c r="N742" s="77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</row>
    <row r="743" spans="1:27" ht="12.75" customHeight="1" x14ac:dyDescent="0.25">
      <c r="A743" s="79"/>
      <c r="B743" s="20"/>
      <c r="C743" s="82"/>
      <c r="D743" s="83"/>
      <c r="E743" s="79"/>
      <c r="F743" s="53"/>
      <c r="G743" s="54"/>
      <c r="H743" s="54"/>
      <c r="I743" s="7"/>
      <c r="J743" s="9"/>
      <c r="K743" s="21"/>
      <c r="L743" s="77"/>
      <c r="M743" s="77"/>
      <c r="N743" s="77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</row>
    <row r="744" spans="1:27" ht="12.75" customHeight="1" x14ac:dyDescent="0.25">
      <c r="A744" s="79"/>
      <c r="B744" s="20"/>
      <c r="C744" s="82"/>
      <c r="D744" s="83"/>
      <c r="E744" s="79"/>
      <c r="F744" s="53"/>
      <c r="G744" s="54"/>
      <c r="H744" s="54"/>
      <c r="I744" s="7"/>
      <c r="J744" s="9"/>
      <c r="K744" s="21"/>
      <c r="L744" s="77"/>
      <c r="M744" s="77"/>
      <c r="N744" s="77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</row>
    <row r="745" spans="1:27" ht="12.75" customHeight="1" x14ac:dyDescent="0.25">
      <c r="A745" s="79"/>
      <c r="B745" s="20"/>
      <c r="C745" s="82"/>
      <c r="D745" s="83"/>
      <c r="E745" s="79"/>
      <c r="F745" s="53"/>
      <c r="G745" s="54"/>
      <c r="H745" s="54"/>
      <c r="I745" s="7"/>
      <c r="J745" s="9"/>
      <c r="K745" s="21"/>
      <c r="L745" s="77"/>
      <c r="M745" s="77"/>
      <c r="N745" s="77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</row>
    <row r="746" spans="1:27" ht="12.75" customHeight="1" x14ac:dyDescent="0.25">
      <c r="A746" s="79"/>
      <c r="B746" s="20"/>
      <c r="C746" s="82"/>
      <c r="D746" s="83"/>
      <c r="E746" s="79"/>
      <c r="F746" s="53"/>
      <c r="G746" s="54"/>
      <c r="H746" s="54"/>
      <c r="I746" s="7"/>
      <c r="J746" s="9"/>
      <c r="K746" s="21"/>
      <c r="L746" s="77"/>
      <c r="M746" s="77"/>
      <c r="N746" s="77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</row>
    <row r="747" spans="1:27" ht="12.75" customHeight="1" x14ac:dyDescent="0.25">
      <c r="A747" s="79"/>
      <c r="B747" s="20"/>
      <c r="C747" s="82"/>
      <c r="D747" s="83"/>
      <c r="E747" s="79"/>
      <c r="F747" s="53"/>
      <c r="G747" s="54"/>
      <c r="H747" s="54"/>
      <c r="I747" s="7"/>
      <c r="J747" s="9"/>
      <c r="K747" s="21"/>
      <c r="L747" s="77"/>
      <c r="M747" s="77"/>
      <c r="N747" s="77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</row>
    <row r="748" spans="1:27" ht="12.75" customHeight="1" x14ac:dyDescent="0.25">
      <c r="A748" s="79"/>
      <c r="B748" s="20"/>
      <c r="C748" s="82"/>
      <c r="D748" s="83"/>
      <c r="E748" s="79"/>
      <c r="F748" s="53"/>
      <c r="G748" s="54"/>
      <c r="H748" s="54"/>
      <c r="I748" s="7"/>
      <c r="J748" s="9"/>
      <c r="K748" s="21"/>
      <c r="L748" s="77"/>
      <c r="M748" s="77"/>
      <c r="N748" s="77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</row>
    <row r="749" spans="1:27" ht="12.75" customHeight="1" x14ac:dyDescent="0.25">
      <c r="A749" s="79"/>
      <c r="B749" s="20"/>
      <c r="C749" s="82"/>
      <c r="D749" s="83"/>
      <c r="E749" s="79"/>
      <c r="F749" s="53"/>
      <c r="G749" s="54"/>
      <c r="H749" s="54"/>
      <c r="I749" s="7"/>
      <c r="J749" s="9"/>
      <c r="K749" s="21"/>
      <c r="L749" s="77"/>
      <c r="M749" s="77"/>
      <c r="N749" s="77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</row>
    <row r="750" spans="1:27" ht="12.75" customHeight="1" x14ac:dyDescent="0.25">
      <c r="A750" s="79"/>
      <c r="B750" s="20"/>
      <c r="C750" s="82"/>
      <c r="D750" s="83"/>
      <c r="E750" s="79"/>
      <c r="F750" s="53"/>
      <c r="G750" s="54"/>
      <c r="H750" s="54"/>
      <c r="I750" s="7"/>
      <c r="J750" s="9"/>
      <c r="K750" s="21"/>
      <c r="L750" s="77"/>
      <c r="M750" s="77"/>
      <c r="N750" s="77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</row>
    <row r="751" spans="1:27" ht="12.75" customHeight="1" x14ac:dyDescent="0.25">
      <c r="A751" s="79"/>
      <c r="B751" s="20"/>
      <c r="C751" s="82"/>
      <c r="D751" s="83"/>
      <c r="E751" s="79"/>
      <c r="F751" s="53"/>
      <c r="G751" s="54"/>
      <c r="H751" s="54"/>
      <c r="I751" s="7"/>
      <c r="J751" s="9"/>
      <c r="K751" s="21"/>
      <c r="L751" s="77"/>
      <c r="M751" s="77"/>
      <c r="N751" s="77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</row>
    <row r="752" spans="1:27" ht="12.75" customHeight="1" x14ac:dyDescent="0.25">
      <c r="A752" s="79"/>
      <c r="B752" s="20"/>
      <c r="C752" s="82"/>
      <c r="D752" s="83"/>
      <c r="E752" s="79"/>
      <c r="F752" s="53"/>
      <c r="G752" s="54"/>
      <c r="H752" s="54"/>
      <c r="I752" s="7"/>
      <c r="J752" s="9"/>
      <c r="K752" s="21"/>
      <c r="L752" s="77"/>
      <c r="M752" s="77"/>
      <c r="N752" s="77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</row>
    <row r="753" spans="1:27" ht="12.75" customHeight="1" x14ac:dyDescent="0.25">
      <c r="A753" s="79"/>
      <c r="B753" s="20"/>
      <c r="C753" s="82"/>
      <c r="D753" s="83"/>
      <c r="E753" s="79"/>
      <c r="F753" s="53"/>
      <c r="G753" s="54"/>
      <c r="H753" s="54"/>
      <c r="I753" s="7"/>
      <c r="J753" s="9"/>
      <c r="K753" s="21"/>
      <c r="L753" s="77"/>
      <c r="M753" s="77"/>
      <c r="N753" s="77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</row>
    <row r="754" spans="1:27" ht="12.75" customHeight="1" x14ac:dyDescent="0.25">
      <c r="A754" s="79"/>
      <c r="B754" s="20"/>
      <c r="C754" s="82"/>
      <c r="D754" s="83"/>
      <c r="E754" s="79"/>
      <c r="F754" s="53"/>
      <c r="G754" s="54"/>
      <c r="H754" s="54"/>
      <c r="I754" s="7"/>
      <c r="J754" s="9"/>
      <c r="K754" s="21"/>
      <c r="L754" s="77"/>
      <c r="M754" s="77"/>
      <c r="N754" s="77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</row>
    <row r="755" spans="1:27" ht="12.75" customHeight="1" x14ac:dyDescent="0.25">
      <c r="A755" s="79"/>
      <c r="B755" s="20"/>
      <c r="C755" s="82"/>
      <c r="D755" s="83"/>
      <c r="E755" s="79"/>
      <c r="F755" s="53"/>
      <c r="G755" s="54"/>
      <c r="H755" s="54"/>
      <c r="I755" s="7"/>
      <c r="J755" s="9"/>
      <c r="K755" s="21"/>
      <c r="L755" s="77"/>
      <c r="M755" s="77"/>
      <c r="N755" s="77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</row>
    <row r="756" spans="1:27" ht="12.75" customHeight="1" x14ac:dyDescent="0.25">
      <c r="A756" s="79"/>
      <c r="B756" s="20"/>
      <c r="C756" s="82"/>
      <c r="D756" s="83"/>
      <c r="E756" s="79"/>
      <c r="F756" s="53"/>
      <c r="G756" s="54"/>
      <c r="H756" s="54"/>
      <c r="I756" s="7"/>
      <c r="J756" s="9"/>
      <c r="K756" s="21"/>
      <c r="L756" s="77"/>
      <c r="M756" s="77"/>
      <c r="N756" s="77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</row>
    <row r="757" spans="1:27" ht="12.75" customHeight="1" x14ac:dyDescent="0.25">
      <c r="A757" s="79"/>
      <c r="B757" s="20"/>
      <c r="C757" s="82"/>
      <c r="D757" s="83"/>
      <c r="E757" s="79"/>
      <c r="F757" s="53"/>
      <c r="G757" s="54"/>
      <c r="H757" s="54"/>
      <c r="I757" s="7"/>
      <c r="J757" s="9"/>
      <c r="K757" s="21"/>
      <c r="L757" s="77"/>
      <c r="M757" s="77"/>
      <c r="N757" s="77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</row>
    <row r="758" spans="1:27" ht="12.75" customHeight="1" x14ac:dyDescent="0.25">
      <c r="A758" s="79"/>
      <c r="B758" s="20"/>
      <c r="C758" s="82"/>
      <c r="D758" s="83"/>
      <c r="E758" s="79"/>
      <c r="F758" s="53"/>
      <c r="G758" s="54"/>
      <c r="H758" s="54"/>
      <c r="I758" s="7"/>
      <c r="J758" s="9"/>
      <c r="K758" s="21"/>
      <c r="L758" s="77"/>
      <c r="M758" s="77"/>
      <c r="N758" s="77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</row>
    <row r="759" spans="1:27" ht="12.75" customHeight="1" x14ac:dyDescent="0.25">
      <c r="A759" s="79"/>
      <c r="B759" s="20"/>
      <c r="C759" s="82"/>
      <c r="D759" s="83"/>
      <c r="E759" s="79"/>
      <c r="F759" s="53"/>
      <c r="G759" s="54"/>
      <c r="H759" s="54"/>
      <c r="I759" s="7"/>
      <c r="J759" s="9"/>
      <c r="K759" s="21"/>
      <c r="L759" s="77"/>
      <c r="M759" s="77"/>
      <c r="N759" s="77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</row>
    <row r="760" spans="1:27" ht="12.75" customHeight="1" x14ac:dyDescent="0.25">
      <c r="A760" s="79"/>
      <c r="B760" s="20"/>
      <c r="C760" s="82"/>
      <c r="D760" s="83"/>
      <c r="E760" s="79"/>
      <c r="F760" s="53"/>
      <c r="G760" s="54"/>
      <c r="H760" s="54"/>
      <c r="I760" s="7"/>
      <c r="J760" s="9"/>
      <c r="K760" s="21"/>
      <c r="L760" s="77"/>
      <c r="M760" s="77"/>
      <c r="N760" s="77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</row>
    <row r="761" spans="1:27" ht="12.75" customHeight="1" x14ac:dyDescent="0.25">
      <c r="A761" s="79"/>
      <c r="B761" s="20"/>
      <c r="C761" s="82"/>
      <c r="D761" s="83"/>
      <c r="E761" s="79"/>
      <c r="F761" s="53"/>
      <c r="G761" s="54"/>
      <c r="H761" s="54"/>
      <c r="I761" s="7"/>
      <c r="J761" s="9"/>
      <c r="K761" s="21"/>
      <c r="L761" s="77"/>
      <c r="M761" s="77"/>
      <c r="N761" s="77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</row>
    <row r="762" spans="1:27" ht="12.75" customHeight="1" x14ac:dyDescent="0.25">
      <c r="A762" s="79"/>
      <c r="B762" s="20"/>
      <c r="C762" s="82"/>
      <c r="D762" s="83"/>
      <c r="E762" s="79"/>
      <c r="F762" s="53"/>
      <c r="G762" s="54"/>
      <c r="H762" s="54"/>
      <c r="I762" s="7"/>
      <c r="J762" s="9"/>
      <c r="K762" s="21"/>
      <c r="L762" s="77"/>
      <c r="M762" s="77"/>
      <c r="N762" s="77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</row>
    <row r="763" spans="1:27" ht="12.75" customHeight="1" x14ac:dyDescent="0.25">
      <c r="A763" s="79"/>
      <c r="B763" s="20"/>
      <c r="C763" s="82"/>
      <c r="D763" s="83"/>
      <c r="E763" s="79"/>
      <c r="F763" s="53"/>
      <c r="G763" s="54"/>
      <c r="H763" s="54"/>
      <c r="I763" s="7"/>
      <c r="J763" s="9"/>
      <c r="K763" s="21"/>
      <c r="L763" s="77"/>
      <c r="M763" s="77"/>
      <c r="N763" s="77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</row>
    <row r="764" spans="1:27" ht="12.75" customHeight="1" x14ac:dyDescent="0.25">
      <c r="A764" s="79"/>
      <c r="B764" s="20"/>
      <c r="C764" s="82"/>
      <c r="D764" s="83"/>
      <c r="E764" s="79"/>
      <c r="F764" s="53"/>
      <c r="G764" s="54"/>
      <c r="H764" s="54"/>
      <c r="I764" s="7"/>
      <c r="J764" s="9"/>
      <c r="K764" s="21"/>
      <c r="L764" s="77"/>
      <c r="M764" s="77"/>
      <c r="N764" s="77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</row>
    <row r="765" spans="1:27" ht="12.75" customHeight="1" x14ac:dyDescent="0.25">
      <c r="A765" s="79"/>
      <c r="B765" s="20"/>
      <c r="C765" s="82"/>
      <c r="D765" s="83"/>
      <c r="E765" s="79"/>
      <c r="F765" s="53"/>
      <c r="G765" s="54"/>
      <c r="H765" s="54"/>
      <c r="I765" s="7"/>
      <c r="J765" s="9"/>
      <c r="K765" s="21"/>
      <c r="L765" s="77"/>
      <c r="M765" s="77"/>
      <c r="N765" s="77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</row>
    <row r="766" spans="1:27" ht="12.75" customHeight="1" x14ac:dyDescent="0.25">
      <c r="A766" s="79"/>
      <c r="B766" s="20"/>
      <c r="C766" s="82"/>
      <c r="D766" s="83"/>
      <c r="E766" s="79"/>
      <c r="F766" s="53"/>
      <c r="G766" s="54"/>
      <c r="H766" s="54"/>
      <c r="I766" s="7"/>
      <c r="J766" s="9"/>
      <c r="K766" s="21"/>
      <c r="L766" s="77"/>
      <c r="M766" s="77"/>
      <c r="N766" s="77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</row>
    <row r="767" spans="1:27" ht="12.75" customHeight="1" x14ac:dyDescent="0.25">
      <c r="A767" s="79"/>
      <c r="B767" s="20"/>
      <c r="C767" s="82"/>
      <c r="D767" s="83"/>
      <c r="E767" s="79"/>
      <c r="F767" s="53"/>
      <c r="G767" s="54"/>
      <c r="H767" s="54"/>
      <c r="I767" s="7"/>
      <c r="J767" s="9"/>
      <c r="K767" s="21"/>
      <c r="L767" s="77"/>
      <c r="M767" s="77"/>
      <c r="N767" s="77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</row>
    <row r="768" spans="1:27" ht="12.75" customHeight="1" x14ac:dyDescent="0.25">
      <c r="A768" s="79"/>
      <c r="B768" s="20"/>
      <c r="C768" s="82"/>
      <c r="D768" s="83"/>
      <c r="E768" s="79"/>
      <c r="F768" s="53"/>
      <c r="G768" s="54"/>
      <c r="H768" s="54"/>
      <c r="I768" s="7"/>
      <c r="J768" s="9"/>
      <c r="K768" s="21"/>
      <c r="L768" s="77"/>
      <c r="M768" s="77"/>
      <c r="N768" s="77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</row>
    <row r="769" spans="1:27" ht="12.75" customHeight="1" x14ac:dyDescent="0.25">
      <c r="A769" s="79"/>
      <c r="B769" s="20"/>
      <c r="C769" s="82"/>
      <c r="D769" s="83"/>
      <c r="E769" s="79"/>
      <c r="F769" s="53"/>
      <c r="G769" s="54"/>
      <c r="H769" s="54"/>
      <c r="I769" s="7"/>
      <c r="J769" s="9"/>
      <c r="K769" s="21"/>
      <c r="L769" s="77"/>
      <c r="M769" s="77"/>
      <c r="N769" s="77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</row>
    <row r="770" spans="1:27" ht="12.75" customHeight="1" x14ac:dyDescent="0.25">
      <c r="A770" s="79"/>
      <c r="B770" s="20"/>
      <c r="C770" s="82"/>
      <c r="D770" s="83"/>
      <c r="E770" s="79"/>
      <c r="F770" s="53"/>
      <c r="G770" s="54"/>
      <c r="H770" s="54"/>
      <c r="I770" s="7"/>
      <c r="J770" s="9"/>
      <c r="K770" s="21"/>
      <c r="L770" s="77"/>
      <c r="M770" s="77"/>
      <c r="N770" s="77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</row>
    <row r="771" spans="1:27" ht="12.75" customHeight="1" x14ac:dyDescent="0.25">
      <c r="A771" s="79"/>
      <c r="B771" s="20"/>
      <c r="C771" s="82"/>
      <c r="D771" s="83"/>
      <c r="E771" s="79"/>
      <c r="F771" s="53"/>
      <c r="G771" s="54"/>
      <c r="H771" s="54"/>
      <c r="I771" s="7"/>
      <c r="J771" s="9"/>
      <c r="K771" s="21"/>
      <c r="L771" s="77"/>
      <c r="M771" s="77"/>
      <c r="N771" s="77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</row>
    <row r="772" spans="1:27" ht="12.75" customHeight="1" x14ac:dyDescent="0.25">
      <c r="A772" s="79"/>
      <c r="B772" s="20"/>
      <c r="C772" s="82"/>
      <c r="D772" s="83"/>
      <c r="E772" s="79"/>
      <c r="F772" s="53"/>
      <c r="G772" s="54"/>
      <c r="H772" s="54"/>
      <c r="I772" s="7"/>
      <c r="J772" s="9"/>
      <c r="K772" s="21"/>
      <c r="L772" s="77"/>
      <c r="M772" s="77"/>
      <c r="N772" s="77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</row>
    <row r="773" spans="1:27" ht="12.75" customHeight="1" x14ac:dyDescent="0.25">
      <c r="A773" s="79"/>
      <c r="B773" s="20"/>
      <c r="C773" s="82"/>
      <c r="D773" s="83"/>
      <c r="E773" s="79"/>
      <c r="F773" s="53"/>
      <c r="G773" s="54"/>
      <c r="H773" s="54"/>
      <c r="I773" s="7"/>
      <c r="J773" s="9"/>
      <c r="K773" s="21"/>
      <c r="L773" s="77"/>
      <c r="M773" s="77"/>
      <c r="N773" s="77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</row>
    <row r="774" spans="1:27" ht="12.75" customHeight="1" x14ac:dyDescent="0.25">
      <c r="A774" s="79"/>
      <c r="B774" s="20"/>
      <c r="C774" s="82"/>
      <c r="D774" s="83"/>
      <c r="E774" s="79"/>
      <c r="F774" s="53"/>
      <c r="G774" s="54"/>
      <c r="H774" s="54"/>
      <c r="I774" s="7"/>
      <c r="J774" s="9"/>
      <c r="K774" s="21"/>
      <c r="L774" s="77"/>
      <c r="M774" s="77"/>
      <c r="N774" s="77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</row>
    <row r="775" spans="1:27" ht="12.75" customHeight="1" x14ac:dyDescent="0.25">
      <c r="A775" s="79"/>
      <c r="B775" s="20"/>
      <c r="C775" s="82"/>
      <c r="D775" s="83"/>
      <c r="E775" s="79"/>
      <c r="F775" s="53"/>
      <c r="G775" s="54"/>
      <c r="H775" s="54"/>
      <c r="I775" s="7"/>
      <c r="J775" s="9"/>
      <c r="K775" s="21"/>
      <c r="L775" s="77"/>
      <c r="M775" s="77"/>
      <c r="N775" s="77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</row>
    <row r="776" spans="1:27" ht="12.75" customHeight="1" x14ac:dyDescent="0.25">
      <c r="A776" s="79"/>
      <c r="B776" s="20"/>
      <c r="C776" s="82"/>
      <c r="D776" s="83"/>
      <c r="E776" s="79"/>
      <c r="F776" s="53"/>
      <c r="G776" s="54"/>
      <c r="H776" s="54"/>
      <c r="I776" s="7"/>
      <c r="J776" s="9"/>
      <c r="K776" s="21"/>
      <c r="L776" s="77"/>
      <c r="M776" s="77"/>
      <c r="N776" s="77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</row>
    <row r="777" spans="1:27" ht="12.75" customHeight="1" x14ac:dyDescent="0.25">
      <c r="A777" s="79"/>
      <c r="B777" s="20"/>
      <c r="C777" s="82"/>
      <c r="D777" s="83"/>
      <c r="E777" s="79"/>
      <c r="F777" s="53"/>
      <c r="G777" s="54"/>
      <c r="H777" s="54"/>
      <c r="I777" s="7"/>
      <c r="J777" s="9"/>
      <c r="K777" s="21"/>
      <c r="L777" s="77"/>
      <c r="M777" s="77"/>
      <c r="N777" s="77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</row>
    <row r="778" spans="1:27" ht="12.75" customHeight="1" x14ac:dyDescent="0.25">
      <c r="A778" s="79"/>
      <c r="B778" s="20"/>
      <c r="C778" s="82"/>
      <c r="D778" s="83"/>
      <c r="E778" s="79"/>
      <c r="F778" s="53"/>
      <c r="G778" s="54"/>
      <c r="H778" s="54"/>
      <c r="I778" s="7"/>
      <c r="J778" s="9"/>
      <c r="K778" s="21"/>
      <c r="L778" s="77"/>
      <c r="M778" s="77"/>
      <c r="N778" s="77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</row>
    <row r="779" spans="1:27" ht="12.75" customHeight="1" x14ac:dyDescent="0.25">
      <c r="A779" s="79"/>
      <c r="B779" s="20"/>
      <c r="C779" s="82"/>
      <c r="D779" s="83"/>
      <c r="E779" s="79"/>
      <c r="F779" s="53"/>
      <c r="G779" s="54"/>
      <c r="H779" s="54"/>
      <c r="I779" s="7"/>
      <c r="J779" s="9"/>
      <c r="K779" s="21"/>
      <c r="L779" s="77"/>
      <c r="M779" s="77"/>
      <c r="N779" s="77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</row>
    <row r="780" spans="1:27" ht="12.75" customHeight="1" x14ac:dyDescent="0.25">
      <c r="A780" s="79"/>
      <c r="B780" s="20"/>
      <c r="C780" s="82"/>
      <c r="D780" s="83"/>
      <c r="E780" s="79"/>
      <c r="F780" s="53"/>
      <c r="G780" s="54"/>
      <c r="H780" s="54"/>
      <c r="I780" s="7"/>
      <c r="J780" s="9"/>
      <c r="K780" s="21"/>
      <c r="L780" s="77"/>
      <c r="M780" s="77"/>
      <c r="N780" s="77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</row>
    <row r="781" spans="1:27" ht="12.75" customHeight="1" x14ac:dyDescent="0.25">
      <c r="A781" s="79"/>
      <c r="B781" s="20"/>
      <c r="C781" s="82"/>
      <c r="D781" s="83"/>
      <c r="E781" s="79"/>
      <c r="F781" s="53"/>
      <c r="G781" s="54"/>
      <c r="H781" s="54"/>
      <c r="I781" s="7"/>
      <c r="J781" s="9"/>
      <c r="K781" s="21"/>
      <c r="L781" s="77"/>
      <c r="M781" s="77"/>
      <c r="N781" s="77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</row>
    <row r="782" spans="1:27" ht="12.75" customHeight="1" x14ac:dyDescent="0.25">
      <c r="A782" s="79"/>
      <c r="B782" s="20"/>
      <c r="C782" s="82"/>
      <c r="D782" s="83"/>
      <c r="E782" s="79"/>
      <c r="F782" s="53"/>
      <c r="G782" s="54"/>
      <c r="H782" s="54"/>
      <c r="I782" s="7"/>
      <c r="J782" s="9"/>
      <c r="K782" s="21"/>
      <c r="L782" s="77"/>
      <c r="M782" s="77"/>
      <c r="N782" s="77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</row>
    <row r="783" spans="1:27" ht="12.75" customHeight="1" x14ac:dyDescent="0.25">
      <c r="A783" s="79"/>
      <c r="B783" s="20"/>
      <c r="C783" s="82"/>
      <c r="D783" s="83"/>
      <c r="E783" s="79"/>
      <c r="F783" s="53"/>
      <c r="G783" s="54"/>
      <c r="H783" s="54"/>
      <c r="I783" s="7"/>
      <c r="J783" s="9"/>
      <c r="K783" s="21"/>
      <c r="L783" s="77"/>
      <c r="M783" s="77"/>
      <c r="N783" s="77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</row>
    <row r="784" spans="1:27" ht="12.75" customHeight="1" x14ac:dyDescent="0.25">
      <c r="A784" s="79"/>
      <c r="B784" s="20"/>
      <c r="C784" s="82"/>
      <c r="D784" s="83"/>
      <c r="E784" s="79"/>
      <c r="F784" s="53"/>
      <c r="G784" s="54"/>
      <c r="H784" s="54"/>
      <c r="I784" s="7"/>
      <c r="J784" s="9"/>
      <c r="K784" s="21"/>
      <c r="L784" s="77"/>
      <c r="M784" s="77"/>
      <c r="N784" s="77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</row>
    <row r="785" spans="1:27" ht="12.75" customHeight="1" x14ac:dyDescent="0.25">
      <c r="A785" s="79"/>
      <c r="B785" s="20"/>
      <c r="C785" s="82"/>
      <c r="D785" s="83"/>
      <c r="E785" s="79"/>
      <c r="F785" s="53"/>
      <c r="G785" s="54"/>
      <c r="H785" s="54"/>
      <c r="I785" s="7"/>
      <c r="J785" s="9"/>
      <c r="K785" s="21"/>
      <c r="L785" s="77"/>
      <c r="M785" s="77"/>
      <c r="N785" s="77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</row>
    <row r="786" spans="1:27" ht="12.75" customHeight="1" x14ac:dyDescent="0.25">
      <c r="A786" s="79"/>
      <c r="B786" s="20"/>
      <c r="C786" s="82"/>
      <c r="D786" s="83"/>
      <c r="E786" s="79"/>
      <c r="F786" s="53"/>
      <c r="G786" s="54"/>
      <c r="H786" s="54"/>
      <c r="I786" s="7"/>
      <c r="J786" s="9"/>
      <c r="K786" s="21"/>
      <c r="L786" s="77"/>
      <c r="M786" s="77"/>
      <c r="N786" s="77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</row>
    <row r="787" spans="1:27" ht="12.75" customHeight="1" x14ac:dyDescent="0.25">
      <c r="A787" s="79"/>
      <c r="B787" s="20"/>
      <c r="C787" s="82"/>
      <c r="D787" s="83"/>
      <c r="E787" s="79"/>
      <c r="F787" s="53"/>
      <c r="G787" s="54"/>
      <c r="H787" s="54"/>
      <c r="I787" s="7"/>
      <c r="J787" s="9"/>
      <c r="K787" s="21"/>
      <c r="L787" s="77"/>
      <c r="M787" s="77"/>
      <c r="N787" s="77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</row>
    <row r="788" spans="1:27" ht="12.75" customHeight="1" x14ac:dyDescent="0.25">
      <c r="A788" s="79"/>
      <c r="B788" s="20"/>
      <c r="C788" s="82"/>
      <c r="D788" s="83"/>
      <c r="E788" s="79"/>
      <c r="F788" s="53"/>
      <c r="G788" s="54"/>
      <c r="H788" s="54"/>
      <c r="I788" s="7"/>
      <c r="J788" s="9"/>
      <c r="K788" s="21"/>
      <c r="L788" s="77"/>
      <c r="M788" s="77"/>
      <c r="N788" s="77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</row>
    <row r="789" spans="1:27" ht="12.75" customHeight="1" x14ac:dyDescent="0.25">
      <c r="A789" s="79"/>
      <c r="B789" s="20"/>
      <c r="C789" s="82"/>
      <c r="D789" s="83"/>
      <c r="E789" s="79"/>
      <c r="F789" s="53"/>
      <c r="G789" s="54"/>
      <c r="H789" s="54"/>
      <c r="I789" s="7"/>
      <c r="J789" s="9"/>
      <c r="K789" s="21"/>
      <c r="L789" s="77"/>
      <c r="M789" s="77"/>
      <c r="N789" s="77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</row>
    <row r="790" spans="1:27" ht="12.75" customHeight="1" x14ac:dyDescent="0.25">
      <c r="A790" s="79"/>
      <c r="B790" s="20"/>
      <c r="C790" s="82"/>
      <c r="D790" s="83"/>
      <c r="E790" s="79"/>
      <c r="F790" s="53"/>
      <c r="G790" s="54"/>
      <c r="H790" s="54"/>
      <c r="I790" s="7"/>
      <c r="J790" s="9"/>
      <c r="K790" s="21"/>
      <c r="L790" s="77"/>
      <c r="M790" s="77"/>
      <c r="N790" s="77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</row>
    <row r="791" spans="1:27" ht="12.75" customHeight="1" x14ac:dyDescent="0.25">
      <c r="A791" s="79"/>
      <c r="B791" s="20"/>
      <c r="C791" s="82"/>
      <c r="D791" s="83"/>
      <c r="E791" s="79"/>
      <c r="F791" s="53"/>
      <c r="G791" s="54"/>
      <c r="H791" s="54"/>
      <c r="I791" s="7"/>
      <c r="J791" s="9"/>
      <c r="K791" s="21"/>
      <c r="L791" s="77"/>
      <c r="M791" s="77"/>
      <c r="N791" s="77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</row>
    <row r="792" spans="1:27" ht="12.75" customHeight="1" x14ac:dyDescent="0.25">
      <c r="A792" s="79"/>
      <c r="B792" s="20"/>
      <c r="C792" s="82"/>
      <c r="D792" s="83"/>
      <c r="E792" s="79"/>
      <c r="F792" s="53"/>
      <c r="G792" s="54"/>
      <c r="H792" s="54"/>
      <c r="I792" s="7"/>
      <c r="J792" s="9"/>
      <c r="K792" s="21"/>
      <c r="L792" s="77"/>
      <c r="M792" s="77"/>
      <c r="N792" s="77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</row>
    <row r="793" spans="1:27" ht="12.75" customHeight="1" x14ac:dyDescent="0.25">
      <c r="A793" s="79"/>
      <c r="B793" s="20"/>
      <c r="C793" s="82"/>
      <c r="D793" s="83"/>
      <c r="E793" s="79"/>
      <c r="F793" s="53"/>
      <c r="G793" s="54"/>
      <c r="H793" s="54"/>
      <c r="I793" s="7"/>
      <c r="J793" s="9"/>
      <c r="K793" s="21"/>
      <c r="L793" s="77"/>
      <c r="M793" s="77"/>
      <c r="N793" s="77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</row>
    <row r="794" spans="1:27" ht="12.75" customHeight="1" x14ac:dyDescent="0.25">
      <c r="A794" s="79"/>
      <c r="B794" s="20"/>
      <c r="C794" s="82"/>
      <c r="D794" s="83"/>
      <c r="E794" s="79"/>
      <c r="F794" s="53"/>
      <c r="G794" s="54"/>
      <c r="H794" s="54"/>
      <c r="I794" s="7"/>
      <c r="J794" s="9"/>
      <c r="K794" s="21"/>
      <c r="L794" s="77"/>
      <c r="M794" s="77"/>
      <c r="N794" s="77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</row>
    <row r="795" spans="1:27" ht="12.75" customHeight="1" x14ac:dyDescent="0.25">
      <c r="A795" s="79"/>
      <c r="B795" s="20"/>
      <c r="C795" s="82"/>
      <c r="D795" s="83"/>
      <c r="E795" s="79"/>
      <c r="F795" s="53"/>
      <c r="G795" s="54"/>
      <c r="H795" s="54"/>
      <c r="I795" s="7"/>
      <c r="J795" s="9"/>
      <c r="K795" s="21"/>
      <c r="L795" s="77"/>
      <c r="M795" s="77"/>
      <c r="N795" s="77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</row>
    <row r="796" spans="1:27" ht="12.75" customHeight="1" x14ac:dyDescent="0.25">
      <c r="A796" s="79"/>
      <c r="B796" s="20"/>
      <c r="C796" s="82"/>
      <c r="D796" s="83"/>
      <c r="E796" s="79"/>
      <c r="F796" s="53"/>
      <c r="G796" s="54"/>
      <c r="H796" s="54"/>
      <c r="I796" s="7"/>
      <c r="J796" s="9"/>
      <c r="K796" s="21"/>
      <c r="L796" s="77"/>
      <c r="M796" s="77"/>
      <c r="N796" s="77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</row>
    <row r="797" spans="1:27" ht="12.75" customHeight="1" x14ac:dyDescent="0.25">
      <c r="A797" s="79"/>
      <c r="B797" s="20"/>
      <c r="C797" s="82"/>
      <c r="D797" s="83"/>
      <c r="E797" s="79"/>
      <c r="F797" s="53"/>
      <c r="G797" s="54"/>
      <c r="H797" s="54"/>
      <c r="I797" s="7"/>
      <c r="J797" s="9"/>
      <c r="K797" s="21"/>
      <c r="L797" s="77"/>
      <c r="M797" s="77"/>
      <c r="N797" s="77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</row>
    <row r="798" spans="1:27" ht="12.75" customHeight="1" x14ac:dyDescent="0.25">
      <c r="A798" s="79"/>
      <c r="B798" s="20"/>
      <c r="C798" s="82"/>
      <c r="D798" s="83"/>
      <c r="E798" s="79"/>
      <c r="F798" s="53"/>
      <c r="G798" s="54"/>
      <c r="H798" s="54"/>
      <c r="I798" s="7"/>
      <c r="J798" s="9"/>
      <c r="K798" s="21"/>
      <c r="L798" s="77"/>
      <c r="M798" s="77"/>
      <c r="N798" s="77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</row>
    <row r="799" spans="1:27" ht="12.75" customHeight="1" x14ac:dyDescent="0.25">
      <c r="A799" s="79"/>
      <c r="B799" s="20"/>
      <c r="C799" s="82"/>
      <c r="D799" s="83"/>
      <c r="E799" s="79"/>
      <c r="F799" s="53"/>
      <c r="G799" s="54"/>
      <c r="H799" s="54"/>
      <c r="I799" s="7"/>
      <c r="J799" s="9"/>
      <c r="K799" s="21"/>
      <c r="L799" s="77"/>
      <c r="M799" s="77"/>
      <c r="N799" s="77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</row>
    <row r="800" spans="1:27" ht="12.75" customHeight="1" x14ac:dyDescent="0.25">
      <c r="A800" s="79"/>
      <c r="B800" s="20"/>
      <c r="C800" s="82"/>
      <c r="D800" s="83"/>
      <c r="E800" s="79"/>
      <c r="F800" s="53"/>
      <c r="G800" s="54"/>
      <c r="H800" s="54"/>
      <c r="I800" s="7"/>
      <c r="J800" s="9"/>
      <c r="K800" s="21"/>
      <c r="L800" s="77"/>
      <c r="M800" s="77"/>
      <c r="N800" s="77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</row>
    <row r="801" spans="1:27" ht="12.75" customHeight="1" x14ac:dyDescent="0.25">
      <c r="A801" s="79"/>
      <c r="B801" s="20"/>
      <c r="C801" s="82"/>
      <c r="D801" s="83"/>
      <c r="E801" s="79"/>
      <c r="F801" s="53"/>
      <c r="G801" s="54"/>
      <c r="H801" s="54"/>
      <c r="I801" s="7"/>
      <c r="J801" s="9"/>
      <c r="K801" s="21"/>
      <c r="L801" s="77"/>
      <c r="M801" s="77"/>
      <c r="N801" s="77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</row>
    <row r="802" spans="1:27" ht="12.75" customHeight="1" x14ac:dyDescent="0.25">
      <c r="A802" s="79"/>
      <c r="B802" s="20"/>
      <c r="C802" s="82"/>
      <c r="D802" s="83"/>
      <c r="E802" s="79"/>
      <c r="F802" s="53"/>
      <c r="G802" s="54"/>
      <c r="H802" s="54"/>
      <c r="I802" s="7"/>
      <c r="J802" s="9"/>
      <c r="K802" s="21"/>
      <c r="L802" s="77"/>
      <c r="M802" s="77"/>
      <c r="N802" s="77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</row>
    <row r="803" spans="1:27" ht="12.75" customHeight="1" x14ac:dyDescent="0.25">
      <c r="A803" s="79"/>
      <c r="B803" s="20"/>
      <c r="C803" s="82"/>
      <c r="D803" s="83"/>
      <c r="E803" s="79"/>
      <c r="F803" s="53"/>
      <c r="G803" s="54"/>
      <c r="H803" s="54"/>
      <c r="I803" s="7"/>
      <c r="J803" s="9"/>
      <c r="K803" s="21"/>
      <c r="L803" s="77"/>
      <c r="M803" s="77"/>
      <c r="N803" s="77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</row>
    <row r="804" spans="1:27" ht="12.75" customHeight="1" x14ac:dyDescent="0.25">
      <c r="A804" s="79"/>
      <c r="B804" s="20"/>
      <c r="C804" s="82"/>
      <c r="D804" s="83"/>
      <c r="E804" s="79"/>
      <c r="F804" s="53"/>
      <c r="G804" s="54"/>
      <c r="H804" s="54"/>
      <c r="I804" s="7"/>
      <c r="J804" s="9"/>
      <c r="K804" s="21"/>
      <c r="L804" s="77"/>
      <c r="M804" s="77"/>
      <c r="N804" s="77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</row>
    <row r="805" spans="1:27" ht="12.75" customHeight="1" x14ac:dyDescent="0.25">
      <c r="A805" s="79"/>
      <c r="B805" s="20"/>
      <c r="C805" s="82"/>
      <c r="D805" s="83"/>
      <c r="E805" s="79"/>
      <c r="F805" s="53"/>
      <c r="G805" s="54"/>
      <c r="H805" s="54"/>
      <c r="I805" s="7"/>
      <c r="J805" s="9"/>
      <c r="K805" s="21"/>
      <c r="L805" s="77"/>
      <c r="M805" s="77"/>
      <c r="N805" s="77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</row>
    <row r="806" spans="1:27" ht="12.75" customHeight="1" x14ac:dyDescent="0.25">
      <c r="A806" s="79"/>
      <c r="B806" s="20"/>
      <c r="C806" s="82"/>
      <c r="D806" s="83"/>
      <c r="E806" s="79"/>
      <c r="F806" s="53"/>
      <c r="G806" s="54"/>
      <c r="H806" s="54"/>
      <c r="I806" s="7"/>
      <c r="J806" s="9"/>
      <c r="K806" s="21"/>
      <c r="L806" s="77"/>
      <c r="M806" s="77"/>
      <c r="N806" s="77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</row>
    <row r="807" spans="1:27" ht="12.75" customHeight="1" x14ac:dyDescent="0.25">
      <c r="A807" s="79"/>
      <c r="B807" s="20"/>
      <c r="C807" s="82"/>
      <c r="D807" s="83"/>
      <c r="E807" s="79"/>
      <c r="F807" s="53"/>
      <c r="G807" s="54"/>
      <c r="H807" s="54"/>
      <c r="I807" s="7"/>
      <c r="J807" s="9"/>
      <c r="K807" s="21"/>
      <c r="L807" s="77"/>
      <c r="M807" s="77"/>
      <c r="N807" s="77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</row>
    <row r="808" spans="1:27" ht="12.75" customHeight="1" x14ac:dyDescent="0.25">
      <c r="A808" s="79"/>
      <c r="B808" s="20"/>
      <c r="C808" s="82"/>
      <c r="D808" s="83"/>
      <c r="E808" s="79"/>
      <c r="F808" s="53"/>
      <c r="G808" s="54"/>
      <c r="H808" s="54"/>
      <c r="I808" s="7"/>
      <c r="J808" s="9"/>
      <c r="K808" s="21"/>
      <c r="L808" s="77"/>
      <c r="M808" s="77"/>
      <c r="N808" s="77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</row>
    <row r="809" spans="1:27" ht="12.75" customHeight="1" x14ac:dyDescent="0.25">
      <c r="A809" s="79"/>
      <c r="B809" s="20"/>
      <c r="C809" s="82"/>
      <c r="D809" s="83"/>
      <c r="E809" s="79"/>
      <c r="F809" s="53"/>
      <c r="G809" s="54"/>
      <c r="H809" s="54"/>
      <c r="I809" s="7"/>
      <c r="J809" s="9"/>
      <c r="K809" s="21"/>
      <c r="L809" s="77"/>
      <c r="M809" s="77"/>
      <c r="N809" s="77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</row>
    <row r="810" spans="1:27" ht="12.75" customHeight="1" x14ac:dyDescent="0.25">
      <c r="A810" s="79"/>
      <c r="B810" s="20"/>
      <c r="C810" s="82"/>
      <c r="D810" s="83"/>
      <c r="E810" s="79"/>
      <c r="F810" s="53"/>
      <c r="G810" s="54"/>
      <c r="H810" s="54"/>
      <c r="I810" s="7"/>
      <c r="J810" s="9"/>
      <c r="K810" s="21"/>
      <c r="L810" s="77"/>
      <c r="M810" s="77"/>
      <c r="N810" s="77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</row>
    <row r="811" spans="1:27" ht="12.75" customHeight="1" x14ac:dyDescent="0.25">
      <c r="A811" s="79"/>
      <c r="B811" s="20"/>
      <c r="C811" s="82"/>
      <c r="D811" s="83"/>
      <c r="E811" s="79"/>
      <c r="F811" s="53"/>
      <c r="G811" s="54"/>
      <c r="H811" s="54"/>
      <c r="I811" s="7"/>
      <c r="J811" s="9"/>
      <c r="K811" s="21"/>
      <c r="L811" s="77"/>
      <c r="M811" s="77"/>
      <c r="N811" s="77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</row>
    <row r="812" spans="1:27" ht="12.75" customHeight="1" x14ac:dyDescent="0.25">
      <c r="A812" s="79"/>
      <c r="B812" s="20"/>
      <c r="C812" s="82"/>
      <c r="D812" s="83"/>
      <c r="E812" s="79"/>
      <c r="F812" s="53"/>
      <c r="G812" s="54"/>
      <c r="H812" s="54"/>
      <c r="I812" s="7"/>
      <c r="J812" s="9"/>
      <c r="K812" s="21"/>
      <c r="L812" s="77"/>
      <c r="M812" s="77"/>
      <c r="N812" s="77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</row>
    <row r="813" spans="1:27" ht="12.75" customHeight="1" x14ac:dyDescent="0.25">
      <c r="A813" s="79"/>
      <c r="B813" s="20"/>
      <c r="C813" s="82"/>
      <c r="D813" s="83"/>
      <c r="E813" s="79"/>
      <c r="F813" s="53"/>
      <c r="G813" s="54"/>
      <c r="H813" s="54"/>
      <c r="I813" s="7"/>
      <c r="J813" s="9"/>
      <c r="K813" s="21"/>
      <c r="L813" s="77"/>
      <c r="M813" s="77"/>
      <c r="N813" s="77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</row>
    <row r="814" spans="1:27" ht="12.75" customHeight="1" x14ac:dyDescent="0.25">
      <c r="A814" s="79"/>
      <c r="B814" s="20"/>
      <c r="C814" s="82"/>
      <c r="D814" s="83"/>
      <c r="E814" s="79"/>
      <c r="F814" s="53"/>
      <c r="G814" s="54"/>
      <c r="H814" s="54"/>
      <c r="I814" s="7"/>
      <c r="J814" s="9"/>
      <c r="K814" s="21"/>
      <c r="L814" s="77"/>
      <c r="M814" s="77"/>
      <c r="N814" s="77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</row>
    <row r="815" spans="1:27" ht="12.75" customHeight="1" x14ac:dyDescent="0.25">
      <c r="A815" s="79"/>
      <c r="B815" s="20"/>
      <c r="C815" s="82"/>
      <c r="D815" s="83"/>
      <c r="E815" s="79"/>
      <c r="F815" s="53"/>
      <c r="G815" s="54"/>
      <c r="H815" s="54"/>
      <c r="I815" s="7"/>
      <c r="J815" s="9"/>
      <c r="K815" s="21"/>
      <c r="L815" s="77"/>
      <c r="M815" s="77"/>
      <c r="N815" s="77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</row>
    <row r="816" spans="1:27" ht="12.75" customHeight="1" x14ac:dyDescent="0.25">
      <c r="A816" s="79"/>
      <c r="B816" s="20"/>
      <c r="C816" s="82"/>
      <c r="D816" s="83"/>
      <c r="E816" s="79"/>
      <c r="F816" s="53"/>
      <c r="G816" s="54"/>
      <c r="H816" s="54"/>
      <c r="I816" s="7"/>
      <c r="J816" s="9"/>
      <c r="K816" s="21"/>
      <c r="L816" s="77"/>
      <c r="M816" s="77"/>
      <c r="N816" s="77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</row>
    <row r="817" spans="1:27" ht="12.75" customHeight="1" x14ac:dyDescent="0.25">
      <c r="A817" s="79"/>
      <c r="B817" s="20"/>
      <c r="C817" s="82"/>
      <c r="D817" s="83"/>
      <c r="E817" s="79"/>
      <c r="F817" s="53"/>
      <c r="G817" s="54"/>
      <c r="H817" s="54"/>
      <c r="I817" s="7"/>
      <c r="J817" s="9"/>
      <c r="K817" s="21"/>
      <c r="L817" s="77"/>
      <c r="M817" s="77"/>
      <c r="N817" s="77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</row>
    <row r="818" spans="1:27" ht="12.75" customHeight="1" x14ac:dyDescent="0.25">
      <c r="A818" s="79"/>
      <c r="B818" s="20"/>
      <c r="C818" s="82"/>
      <c r="D818" s="83"/>
      <c r="E818" s="79"/>
      <c r="F818" s="53"/>
      <c r="G818" s="54"/>
      <c r="H818" s="54"/>
      <c r="I818" s="7"/>
      <c r="J818" s="9"/>
      <c r="K818" s="21"/>
      <c r="L818" s="77"/>
      <c r="M818" s="77"/>
      <c r="N818" s="77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</row>
    <row r="819" spans="1:27" ht="12.75" customHeight="1" x14ac:dyDescent="0.25">
      <c r="A819" s="79"/>
      <c r="B819" s="20"/>
      <c r="C819" s="82"/>
      <c r="D819" s="83"/>
      <c r="E819" s="79"/>
      <c r="F819" s="53"/>
      <c r="G819" s="54"/>
      <c r="H819" s="54"/>
      <c r="I819" s="7"/>
      <c r="J819" s="9"/>
      <c r="K819" s="21"/>
      <c r="L819" s="77"/>
      <c r="M819" s="77"/>
      <c r="N819" s="77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</row>
    <row r="820" spans="1:27" ht="12.75" customHeight="1" x14ac:dyDescent="0.25">
      <c r="A820" s="79"/>
      <c r="B820" s="20"/>
      <c r="C820" s="82"/>
      <c r="D820" s="83"/>
      <c r="E820" s="79"/>
      <c r="F820" s="53"/>
      <c r="G820" s="54"/>
      <c r="H820" s="54"/>
      <c r="I820" s="7"/>
      <c r="J820" s="9"/>
      <c r="K820" s="21"/>
      <c r="L820" s="77"/>
      <c r="M820" s="77"/>
      <c r="N820" s="77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</row>
    <row r="821" spans="1:27" ht="12.75" customHeight="1" x14ac:dyDescent="0.25">
      <c r="A821" s="79"/>
      <c r="B821" s="20"/>
      <c r="C821" s="82"/>
      <c r="D821" s="83"/>
      <c r="E821" s="79"/>
      <c r="F821" s="53"/>
      <c r="G821" s="54"/>
      <c r="H821" s="54"/>
      <c r="I821" s="7"/>
      <c r="J821" s="9"/>
      <c r="K821" s="21"/>
      <c r="L821" s="77"/>
      <c r="M821" s="77"/>
      <c r="N821" s="77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</row>
    <row r="822" spans="1:27" ht="12.75" customHeight="1" x14ac:dyDescent="0.25">
      <c r="A822" s="79"/>
      <c r="B822" s="20"/>
      <c r="C822" s="82"/>
      <c r="D822" s="83"/>
      <c r="E822" s="79"/>
      <c r="F822" s="53"/>
      <c r="G822" s="54"/>
      <c r="H822" s="54"/>
      <c r="I822" s="7"/>
      <c r="J822" s="9"/>
      <c r="K822" s="21"/>
      <c r="L822" s="77"/>
      <c r="M822" s="77"/>
      <c r="N822" s="77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</row>
    <row r="823" spans="1:27" ht="12.75" customHeight="1" x14ac:dyDescent="0.25">
      <c r="A823" s="79"/>
      <c r="B823" s="20"/>
      <c r="C823" s="82"/>
      <c r="D823" s="83"/>
      <c r="E823" s="79"/>
      <c r="F823" s="53"/>
      <c r="G823" s="54"/>
      <c r="H823" s="54"/>
      <c r="I823" s="7"/>
      <c r="J823" s="9"/>
      <c r="K823" s="21"/>
      <c r="L823" s="77"/>
      <c r="M823" s="77"/>
      <c r="N823" s="77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</row>
    <row r="824" spans="1:27" ht="12.75" customHeight="1" x14ac:dyDescent="0.25">
      <c r="A824" s="79"/>
      <c r="B824" s="20"/>
      <c r="C824" s="82"/>
      <c r="D824" s="83"/>
      <c r="E824" s="79"/>
      <c r="F824" s="53"/>
      <c r="G824" s="54"/>
      <c r="H824" s="54"/>
      <c r="I824" s="7"/>
      <c r="J824" s="9"/>
      <c r="K824" s="21"/>
      <c r="L824" s="77"/>
      <c r="M824" s="77"/>
      <c r="N824" s="77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</row>
    <row r="825" spans="1:27" ht="12.75" customHeight="1" x14ac:dyDescent="0.25">
      <c r="A825" s="79"/>
      <c r="B825" s="20"/>
      <c r="C825" s="82"/>
      <c r="D825" s="83"/>
      <c r="E825" s="79"/>
      <c r="F825" s="53"/>
      <c r="G825" s="54"/>
      <c r="H825" s="54"/>
      <c r="I825" s="7"/>
      <c r="J825" s="9"/>
      <c r="K825" s="21"/>
      <c r="L825" s="77"/>
      <c r="M825" s="77"/>
      <c r="N825" s="77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</row>
    <row r="826" spans="1:27" ht="12.75" customHeight="1" x14ac:dyDescent="0.25">
      <c r="A826" s="79"/>
      <c r="B826" s="20"/>
      <c r="C826" s="82"/>
      <c r="D826" s="83"/>
      <c r="E826" s="79"/>
      <c r="F826" s="53"/>
      <c r="G826" s="54"/>
      <c r="H826" s="54"/>
      <c r="I826" s="7"/>
      <c r="J826" s="9"/>
      <c r="K826" s="21"/>
      <c r="L826" s="77"/>
      <c r="M826" s="77"/>
      <c r="N826" s="77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</row>
    <row r="827" spans="1:27" ht="12.75" customHeight="1" x14ac:dyDescent="0.25">
      <c r="A827" s="79"/>
      <c r="B827" s="20"/>
      <c r="C827" s="82"/>
      <c r="D827" s="83"/>
      <c r="E827" s="79"/>
      <c r="F827" s="53"/>
      <c r="G827" s="54"/>
      <c r="H827" s="54"/>
      <c r="I827" s="7"/>
      <c r="J827" s="9"/>
      <c r="K827" s="21"/>
      <c r="L827" s="77"/>
      <c r="M827" s="77"/>
      <c r="N827" s="77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</row>
    <row r="828" spans="1:27" ht="12.75" customHeight="1" x14ac:dyDescent="0.25">
      <c r="A828" s="79"/>
      <c r="B828" s="20"/>
      <c r="C828" s="82"/>
      <c r="D828" s="83"/>
      <c r="E828" s="79"/>
      <c r="F828" s="53"/>
      <c r="G828" s="54"/>
      <c r="H828" s="54"/>
      <c r="I828" s="7"/>
      <c r="J828" s="9"/>
      <c r="K828" s="21"/>
      <c r="L828" s="77"/>
      <c r="M828" s="77"/>
      <c r="N828" s="77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</row>
    <row r="829" spans="1:27" ht="12.75" customHeight="1" x14ac:dyDescent="0.25">
      <c r="A829" s="79"/>
      <c r="B829" s="20"/>
      <c r="C829" s="82"/>
      <c r="D829" s="83"/>
      <c r="E829" s="79"/>
      <c r="F829" s="53"/>
      <c r="G829" s="54"/>
      <c r="H829" s="54"/>
      <c r="I829" s="7"/>
      <c r="J829" s="9"/>
      <c r="K829" s="21"/>
      <c r="L829" s="77"/>
      <c r="M829" s="77"/>
      <c r="N829" s="77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</row>
    <row r="830" spans="1:27" ht="12.75" customHeight="1" x14ac:dyDescent="0.25">
      <c r="A830" s="79"/>
      <c r="B830" s="20"/>
      <c r="C830" s="82"/>
      <c r="D830" s="83"/>
      <c r="E830" s="79"/>
      <c r="F830" s="53"/>
      <c r="G830" s="54"/>
      <c r="H830" s="54"/>
      <c r="I830" s="7"/>
      <c r="J830" s="9"/>
      <c r="K830" s="21"/>
      <c r="L830" s="77"/>
      <c r="M830" s="77"/>
      <c r="N830" s="77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</row>
    <row r="831" spans="1:27" ht="12.75" customHeight="1" x14ac:dyDescent="0.25">
      <c r="A831" s="79"/>
      <c r="B831" s="20"/>
      <c r="C831" s="82"/>
      <c r="D831" s="83"/>
      <c r="E831" s="79"/>
      <c r="F831" s="53"/>
      <c r="G831" s="54"/>
      <c r="H831" s="54"/>
      <c r="I831" s="7"/>
      <c r="J831" s="9"/>
      <c r="K831" s="21"/>
      <c r="L831" s="77"/>
      <c r="M831" s="77"/>
      <c r="N831" s="77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</row>
    <row r="832" spans="1:27" ht="12.75" customHeight="1" x14ac:dyDescent="0.25">
      <c r="A832" s="79"/>
      <c r="B832" s="20"/>
      <c r="C832" s="82"/>
      <c r="D832" s="83"/>
      <c r="E832" s="79"/>
      <c r="F832" s="53"/>
      <c r="G832" s="54"/>
      <c r="H832" s="54"/>
      <c r="I832" s="7"/>
      <c r="J832" s="9"/>
      <c r="K832" s="21"/>
      <c r="L832" s="77"/>
      <c r="M832" s="77"/>
      <c r="N832" s="77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</row>
    <row r="833" spans="1:27" ht="12.75" customHeight="1" x14ac:dyDescent="0.25">
      <c r="A833" s="79"/>
      <c r="B833" s="20"/>
      <c r="C833" s="82"/>
      <c r="D833" s="83"/>
      <c r="E833" s="79"/>
      <c r="F833" s="53"/>
      <c r="G833" s="54"/>
      <c r="H833" s="54"/>
      <c r="I833" s="7"/>
      <c r="J833" s="9"/>
      <c r="K833" s="21"/>
      <c r="L833" s="77"/>
      <c r="M833" s="77"/>
      <c r="N833" s="77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</row>
    <row r="834" spans="1:27" ht="12.75" customHeight="1" x14ac:dyDescent="0.25">
      <c r="A834" s="79"/>
      <c r="B834" s="20"/>
      <c r="C834" s="82"/>
      <c r="D834" s="83"/>
      <c r="E834" s="79"/>
      <c r="F834" s="53"/>
      <c r="G834" s="54"/>
      <c r="H834" s="54"/>
      <c r="I834" s="7"/>
      <c r="J834" s="9"/>
      <c r="K834" s="21"/>
      <c r="L834" s="77"/>
      <c r="M834" s="77"/>
      <c r="N834" s="77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</row>
    <row r="835" spans="1:27" ht="12.75" customHeight="1" x14ac:dyDescent="0.25">
      <c r="A835" s="79"/>
      <c r="B835" s="20"/>
      <c r="C835" s="82"/>
      <c r="D835" s="83"/>
      <c r="E835" s="79"/>
      <c r="F835" s="53"/>
      <c r="G835" s="54"/>
      <c r="H835" s="54"/>
      <c r="I835" s="7"/>
      <c r="J835" s="9"/>
      <c r="K835" s="21"/>
      <c r="L835" s="77"/>
      <c r="M835" s="77"/>
      <c r="N835" s="77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</row>
    <row r="836" spans="1:27" ht="12.75" customHeight="1" x14ac:dyDescent="0.25">
      <c r="A836" s="79"/>
      <c r="B836" s="20"/>
      <c r="C836" s="82"/>
      <c r="D836" s="83"/>
      <c r="E836" s="79"/>
      <c r="F836" s="53"/>
      <c r="G836" s="54"/>
      <c r="H836" s="54"/>
      <c r="I836" s="7"/>
      <c r="J836" s="9"/>
      <c r="K836" s="21"/>
      <c r="L836" s="77"/>
      <c r="M836" s="77"/>
      <c r="N836" s="77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</row>
    <row r="837" spans="1:27" ht="12.75" customHeight="1" x14ac:dyDescent="0.25">
      <c r="A837" s="79"/>
      <c r="B837" s="20"/>
      <c r="C837" s="82"/>
      <c r="D837" s="83"/>
      <c r="E837" s="79"/>
      <c r="F837" s="53"/>
      <c r="G837" s="54"/>
      <c r="H837" s="54"/>
      <c r="I837" s="7"/>
      <c r="J837" s="9"/>
      <c r="K837" s="21"/>
      <c r="L837" s="77"/>
      <c r="M837" s="77"/>
      <c r="N837" s="77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</row>
    <row r="838" spans="1:27" ht="12.75" customHeight="1" x14ac:dyDescent="0.25">
      <c r="A838" s="79"/>
      <c r="B838" s="20"/>
      <c r="C838" s="82"/>
      <c r="D838" s="83"/>
      <c r="E838" s="79"/>
      <c r="F838" s="53"/>
      <c r="G838" s="54"/>
      <c r="H838" s="54"/>
      <c r="I838" s="7"/>
      <c r="J838" s="9"/>
      <c r="K838" s="21"/>
      <c r="L838" s="77"/>
      <c r="M838" s="77"/>
      <c r="N838" s="77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</row>
    <row r="839" spans="1:27" ht="12.75" customHeight="1" x14ac:dyDescent="0.25">
      <c r="A839" s="79"/>
      <c r="B839" s="20"/>
      <c r="C839" s="82"/>
      <c r="D839" s="83"/>
      <c r="E839" s="79"/>
      <c r="F839" s="53"/>
      <c r="G839" s="54"/>
      <c r="H839" s="54"/>
      <c r="I839" s="7"/>
      <c r="J839" s="9"/>
      <c r="K839" s="21"/>
      <c r="L839" s="77"/>
      <c r="M839" s="77"/>
      <c r="N839" s="77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</row>
    <row r="840" spans="1:27" ht="12.75" customHeight="1" x14ac:dyDescent="0.25">
      <c r="A840" s="79"/>
      <c r="B840" s="20"/>
      <c r="C840" s="82"/>
      <c r="D840" s="83"/>
      <c r="E840" s="79"/>
      <c r="F840" s="53"/>
      <c r="G840" s="54"/>
      <c r="H840" s="54"/>
      <c r="I840" s="7"/>
      <c r="J840" s="9"/>
      <c r="K840" s="21"/>
      <c r="L840" s="77"/>
      <c r="M840" s="77"/>
      <c r="N840" s="77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</row>
    <row r="841" spans="1:27" ht="12.75" customHeight="1" x14ac:dyDescent="0.25">
      <c r="A841" s="79"/>
      <c r="B841" s="20"/>
      <c r="C841" s="82"/>
      <c r="D841" s="83"/>
      <c r="E841" s="79"/>
      <c r="F841" s="53"/>
      <c r="G841" s="54"/>
      <c r="H841" s="54"/>
      <c r="I841" s="7"/>
      <c r="J841" s="9"/>
      <c r="K841" s="21"/>
      <c r="L841" s="77"/>
      <c r="M841" s="77"/>
      <c r="N841" s="77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</row>
    <row r="842" spans="1:27" ht="12.75" customHeight="1" x14ac:dyDescent="0.25">
      <c r="A842" s="79"/>
      <c r="B842" s="20"/>
      <c r="C842" s="82"/>
      <c r="D842" s="83"/>
      <c r="E842" s="79"/>
      <c r="F842" s="53"/>
      <c r="G842" s="54"/>
      <c r="H842" s="54"/>
      <c r="I842" s="7"/>
      <c r="J842" s="9"/>
      <c r="K842" s="21"/>
      <c r="L842" s="77"/>
      <c r="M842" s="77"/>
      <c r="N842" s="77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</row>
    <row r="843" spans="1:27" ht="12.75" customHeight="1" x14ac:dyDescent="0.25">
      <c r="A843" s="79"/>
      <c r="B843" s="20"/>
      <c r="C843" s="82"/>
      <c r="D843" s="83"/>
      <c r="E843" s="79"/>
      <c r="F843" s="53"/>
      <c r="G843" s="54"/>
      <c r="H843" s="54"/>
      <c r="I843" s="7"/>
      <c r="J843" s="9"/>
      <c r="K843" s="21"/>
      <c r="L843" s="77"/>
      <c r="M843" s="77"/>
      <c r="N843" s="77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</row>
    <row r="844" spans="1:27" ht="12.75" customHeight="1" x14ac:dyDescent="0.25">
      <c r="A844" s="79"/>
      <c r="B844" s="20"/>
      <c r="C844" s="82"/>
      <c r="D844" s="83"/>
      <c r="E844" s="79"/>
      <c r="F844" s="53"/>
      <c r="G844" s="54"/>
      <c r="H844" s="54"/>
      <c r="I844" s="7"/>
      <c r="J844" s="9"/>
      <c r="K844" s="21"/>
      <c r="L844" s="77"/>
      <c r="M844" s="77"/>
      <c r="N844" s="77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</row>
    <row r="845" spans="1:27" ht="12.75" customHeight="1" x14ac:dyDescent="0.25">
      <c r="A845" s="79"/>
      <c r="B845" s="20"/>
      <c r="C845" s="82"/>
      <c r="D845" s="83"/>
      <c r="E845" s="79"/>
      <c r="F845" s="53"/>
      <c r="G845" s="54"/>
      <c r="H845" s="54"/>
      <c r="I845" s="7"/>
      <c r="J845" s="9"/>
      <c r="K845" s="21"/>
      <c r="L845" s="77"/>
      <c r="M845" s="77"/>
      <c r="N845" s="77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</row>
    <row r="846" spans="1:27" ht="12.75" customHeight="1" x14ac:dyDescent="0.25">
      <c r="A846" s="79"/>
      <c r="B846" s="20"/>
      <c r="C846" s="82"/>
      <c r="D846" s="83"/>
      <c r="E846" s="79"/>
      <c r="F846" s="53"/>
      <c r="G846" s="54"/>
      <c r="H846" s="54"/>
      <c r="I846" s="7"/>
      <c r="J846" s="9"/>
      <c r="K846" s="21"/>
      <c r="L846" s="77"/>
      <c r="M846" s="77"/>
      <c r="N846" s="77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</row>
    <row r="847" spans="1:27" ht="12.75" customHeight="1" x14ac:dyDescent="0.25">
      <c r="A847" s="79"/>
      <c r="B847" s="20"/>
      <c r="C847" s="82"/>
      <c r="D847" s="83"/>
      <c r="E847" s="79"/>
      <c r="F847" s="53"/>
      <c r="G847" s="54"/>
      <c r="H847" s="54"/>
      <c r="I847" s="7"/>
      <c r="J847" s="9"/>
      <c r="K847" s="21"/>
      <c r="L847" s="77"/>
      <c r="M847" s="77"/>
      <c r="N847" s="77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</row>
    <row r="848" spans="1:27" ht="12.75" customHeight="1" x14ac:dyDescent="0.25">
      <c r="A848" s="79"/>
      <c r="B848" s="20"/>
      <c r="C848" s="82"/>
      <c r="D848" s="83"/>
      <c r="E848" s="79"/>
      <c r="F848" s="53"/>
      <c r="G848" s="54"/>
      <c r="H848" s="54"/>
      <c r="I848" s="7"/>
      <c r="J848" s="9"/>
      <c r="K848" s="21"/>
      <c r="L848" s="77"/>
      <c r="M848" s="77"/>
      <c r="N848" s="77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</row>
    <row r="849" spans="1:27" ht="12.75" customHeight="1" x14ac:dyDescent="0.25">
      <c r="A849" s="79"/>
      <c r="B849" s="20"/>
      <c r="C849" s="82"/>
      <c r="D849" s="83"/>
      <c r="E849" s="79"/>
      <c r="F849" s="53"/>
      <c r="G849" s="54"/>
      <c r="H849" s="54"/>
      <c r="I849" s="7"/>
      <c r="J849" s="9"/>
      <c r="K849" s="21"/>
      <c r="L849" s="77"/>
      <c r="M849" s="77"/>
      <c r="N849" s="77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</row>
    <row r="850" spans="1:27" ht="12.75" customHeight="1" x14ac:dyDescent="0.25">
      <c r="A850" s="79"/>
      <c r="B850" s="20"/>
      <c r="C850" s="82"/>
      <c r="D850" s="83"/>
      <c r="E850" s="79"/>
      <c r="F850" s="53"/>
      <c r="G850" s="54"/>
      <c r="H850" s="54"/>
      <c r="I850" s="7"/>
      <c r="J850" s="9"/>
      <c r="K850" s="21"/>
      <c r="L850" s="77"/>
      <c r="M850" s="77"/>
      <c r="N850" s="77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</row>
    <row r="851" spans="1:27" ht="12.75" customHeight="1" x14ac:dyDescent="0.25">
      <c r="A851" s="79"/>
      <c r="B851" s="20"/>
      <c r="C851" s="82"/>
      <c r="D851" s="83"/>
      <c r="E851" s="79"/>
      <c r="F851" s="53"/>
      <c r="G851" s="54"/>
      <c r="H851" s="54"/>
      <c r="I851" s="7"/>
      <c r="J851" s="9"/>
      <c r="K851" s="21"/>
      <c r="L851" s="77"/>
      <c r="M851" s="77"/>
      <c r="N851" s="77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</row>
    <row r="852" spans="1:27" ht="12.75" customHeight="1" x14ac:dyDescent="0.25">
      <c r="A852" s="79"/>
      <c r="B852" s="20"/>
      <c r="C852" s="82"/>
      <c r="D852" s="83"/>
      <c r="E852" s="79"/>
      <c r="F852" s="53"/>
      <c r="G852" s="54"/>
      <c r="H852" s="54"/>
      <c r="I852" s="7"/>
      <c r="J852" s="9"/>
      <c r="K852" s="21"/>
      <c r="L852" s="77"/>
      <c r="M852" s="77"/>
      <c r="N852" s="77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</row>
    <row r="853" spans="1:27" ht="12.75" customHeight="1" x14ac:dyDescent="0.25">
      <c r="A853" s="79"/>
      <c r="B853" s="20"/>
      <c r="C853" s="82"/>
      <c r="D853" s="83"/>
      <c r="E853" s="79"/>
      <c r="F853" s="53"/>
      <c r="G853" s="54"/>
      <c r="H853" s="54"/>
      <c r="I853" s="7"/>
      <c r="J853" s="9"/>
      <c r="K853" s="21"/>
      <c r="L853" s="77"/>
      <c r="M853" s="77"/>
      <c r="N853" s="77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</row>
    <row r="854" spans="1:27" ht="12.75" customHeight="1" x14ac:dyDescent="0.25">
      <c r="A854" s="79"/>
      <c r="B854" s="20"/>
      <c r="C854" s="82"/>
      <c r="D854" s="83"/>
      <c r="E854" s="79"/>
      <c r="F854" s="53"/>
      <c r="G854" s="54"/>
      <c r="H854" s="54"/>
      <c r="I854" s="7"/>
      <c r="J854" s="9"/>
      <c r="K854" s="21"/>
      <c r="L854" s="77"/>
      <c r="M854" s="77"/>
      <c r="N854" s="77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</row>
    <row r="855" spans="1:27" ht="12.75" customHeight="1" x14ac:dyDescent="0.25">
      <c r="A855" s="79"/>
      <c r="B855" s="20"/>
      <c r="C855" s="82"/>
      <c r="D855" s="83"/>
      <c r="E855" s="79"/>
      <c r="F855" s="53"/>
      <c r="G855" s="54"/>
      <c r="H855" s="54"/>
      <c r="I855" s="7"/>
      <c r="J855" s="9"/>
      <c r="K855" s="21"/>
      <c r="L855" s="77"/>
      <c r="M855" s="77"/>
      <c r="N855" s="77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</row>
    <row r="856" spans="1:27" ht="12.75" customHeight="1" x14ac:dyDescent="0.25">
      <c r="A856" s="79"/>
      <c r="B856" s="20"/>
      <c r="C856" s="82"/>
      <c r="D856" s="83"/>
      <c r="E856" s="79"/>
      <c r="F856" s="53"/>
      <c r="G856" s="54"/>
      <c r="H856" s="54"/>
      <c r="I856" s="7"/>
      <c r="J856" s="9"/>
      <c r="K856" s="21"/>
      <c r="L856" s="77"/>
      <c r="M856" s="77"/>
      <c r="N856" s="77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</row>
    <row r="857" spans="1:27" ht="12.75" customHeight="1" x14ac:dyDescent="0.25">
      <c r="A857" s="79"/>
      <c r="B857" s="20"/>
      <c r="C857" s="82"/>
      <c r="D857" s="83"/>
      <c r="E857" s="79"/>
      <c r="F857" s="53"/>
      <c r="G857" s="54"/>
      <c r="H857" s="54"/>
      <c r="I857" s="7"/>
      <c r="J857" s="9"/>
      <c r="K857" s="21"/>
      <c r="L857" s="77"/>
      <c r="M857" s="77"/>
      <c r="N857" s="77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</row>
    <row r="858" spans="1:27" ht="12.75" customHeight="1" x14ac:dyDescent="0.25">
      <c r="A858" s="79"/>
      <c r="B858" s="20"/>
      <c r="C858" s="82"/>
      <c r="D858" s="83"/>
      <c r="E858" s="79"/>
      <c r="F858" s="53"/>
      <c r="G858" s="54"/>
      <c r="H858" s="54"/>
      <c r="I858" s="7"/>
      <c r="J858" s="9"/>
      <c r="K858" s="21"/>
      <c r="L858" s="77"/>
      <c r="M858" s="77"/>
      <c r="N858" s="77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</row>
    <row r="859" spans="1:27" ht="12.75" customHeight="1" x14ac:dyDescent="0.25">
      <c r="A859" s="79"/>
      <c r="B859" s="20"/>
      <c r="C859" s="82"/>
      <c r="D859" s="83"/>
      <c r="E859" s="79"/>
      <c r="F859" s="53"/>
      <c r="G859" s="54"/>
      <c r="H859" s="54"/>
      <c r="I859" s="7"/>
      <c r="J859" s="9"/>
      <c r="K859" s="21"/>
      <c r="L859" s="77"/>
      <c r="M859" s="77"/>
      <c r="N859" s="77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</row>
    <row r="860" spans="1:27" ht="12.75" customHeight="1" x14ac:dyDescent="0.25">
      <c r="A860" s="79"/>
      <c r="B860" s="20"/>
      <c r="C860" s="82"/>
      <c r="D860" s="83"/>
      <c r="E860" s="79"/>
      <c r="F860" s="53"/>
      <c r="G860" s="54"/>
      <c r="H860" s="54"/>
      <c r="I860" s="7"/>
      <c r="J860" s="9"/>
      <c r="K860" s="21"/>
      <c r="L860" s="77"/>
      <c r="M860" s="77"/>
      <c r="N860" s="77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</row>
    <row r="861" spans="1:27" ht="12.75" customHeight="1" x14ac:dyDescent="0.25">
      <c r="A861" s="79"/>
      <c r="B861" s="20"/>
      <c r="C861" s="82"/>
      <c r="D861" s="83"/>
      <c r="E861" s="79"/>
      <c r="F861" s="53"/>
      <c r="G861" s="54"/>
      <c r="H861" s="54"/>
      <c r="I861" s="7"/>
      <c r="J861" s="9"/>
      <c r="K861" s="21"/>
      <c r="L861" s="77"/>
      <c r="M861" s="77"/>
      <c r="N861" s="77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</row>
    <row r="862" spans="1:27" ht="12.75" customHeight="1" x14ac:dyDescent="0.25">
      <c r="A862" s="79"/>
      <c r="B862" s="20"/>
      <c r="C862" s="82"/>
      <c r="D862" s="83"/>
      <c r="E862" s="79"/>
      <c r="F862" s="53"/>
      <c r="G862" s="54"/>
      <c r="H862" s="54"/>
      <c r="I862" s="7"/>
      <c r="J862" s="9"/>
      <c r="K862" s="21"/>
      <c r="L862" s="77"/>
      <c r="M862" s="77"/>
      <c r="N862" s="77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</row>
    <row r="863" spans="1:27" ht="12.75" customHeight="1" x14ac:dyDescent="0.25">
      <c r="A863" s="79"/>
      <c r="B863" s="20"/>
      <c r="C863" s="82"/>
      <c r="D863" s="83"/>
      <c r="E863" s="79"/>
      <c r="F863" s="53"/>
      <c r="G863" s="54"/>
      <c r="H863" s="54"/>
      <c r="I863" s="7"/>
      <c r="J863" s="9"/>
      <c r="K863" s="21"/>
      <c r="L863" s="77"/>
      <c r="M863" s="77"/>
      <c r="N863" s="77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</row>
    <row r="864" spans="1:27" ht="12.75" customHeight="1" x14ac:dyDescent="0.25">
      <c r="A864" s="79"/>
      <c r="B864" s="20"/>
      <c r="C864" s="82"/>
      <c r="D864" s="83"/>
      <c r="E864" s="79"/>
      <c r="F864" s="53"/>
      <c r="G864" s="54"/>
      <c r="H864" s="54"/>
      <c r="I864" s="7"/>
      <c r="J864" s="9"/>
      <c r="K864" s="21"/>
      <c r="L864" s="77"/>
      <c r="M864" s="77"/>
      <c r="N864" s="77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</row>
    <row r="865" spans="1:27" ht="12.75" customHeight="1" x14ac:dyDescent="0.25">
      <c r="A865" s="79"/>
      <c r="B865" s="20"/>
      <c r="C865" s="82"/>
      <c r="D865" s="83"/>
      <c r="E865" s="79"/>
      <c r="F865" s="53"/>
      <c r="G865" s="54"/>
      <c r="H865" s="54"/>
      <c r="I865" s="7"/>
      <c r="J865" s="9"/>
      <c r="K865" s="21"/>
      <c r="L865" s="77"/>
      <c r="M865" s="77"/>
      <c r="N865" s="77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</row>
    <row r="866" spans="1:27" ht="12.75" customHeight="1" x14ac:dyDescent="0.25">
      <c r="A866" s="79"/>
      <c r="B866" s="20"/>
      <c r="C866" s="82"/>
      <c r="D866" s="83"/>
      <c r="E866" s="79"/>
      <c r="F866" s="53"/>
      <c r="G866" s="54"/>
      <c r="H866" s="54"/>
      <c r="I866" s="7"/>
      <c r="J866" s="9"/>
      <c r="K866" s="21"/>
      <c r="L866" s="77"/>
      <c r="M866" s="77"/>
      <c r="N866" s="77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</row>
    <row r="867" spans="1:27" ht="12.75" customHeight="1" x14ac:dyDescent="0.25">
      <c r="A867" s="79"/>
      <c r="B867" s="20"/>
      <c r="C867" s="82"/>
      <c r="D867" s="83"/>
      <c r="E867" s="79"/>
      <c r="F867" s="53"/>
      <c r="G867" s="54"/>
      <c r="H867" s="54"/>
      <c r="I867" s="7"/>
      <c r="J867" s="9"/>
      <c r="K867" s="21"/>
      <c r="L867" s="77"/>
      <c r="M867" s="77"/>
      <c r="N867" s="77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</row>
    <row r="868" spans="1:27" ht="12.75" customHeight="1" x14ac:dyDescent="0.25">
      <c r="A868" s="79"/>
      <c r="B868" s="20"/>
      <c r="C868" s="82"/>
      <c r="D868" s="83"/>
      <c r="E868" s="79"/>
      <c r="F868" s="53"/>
      <c r="G868" s="54"/>
      <c r="H868" s="54"/>
      <c r="I868" s="7"/>
      <c r="J868" s="9"/>
      <c r="K868" s="21"/>
      <c r="L868" s="77"/>
      <c r="M868" s="77"/>
      <c r="N868" s="77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</row>
    <row r="869" spans="1:27" ht="12.75" customHeight="1" x14ac:dyDescent="0.25">
      <c r="A869" s="79"/>
      <c r="B869" s="20"/>
      <c r="C869" s="82"/>
      <c r="D869" s="83"/>
      <c r="E869" s="79"/>
      <c r="F869" s="53"/>
      <c r="G869" s="54"/>
      <c r="H869" s="54"/>
      <c r="I869" s="7"/>
      <c r="J869" s="9"/>
      <c r="K869" s="21"/>
      <c r="L869" s="77"/>
      <c r="M869" s="77"/>
      <c r="N869" s="77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</row>
    <row r="870" spans="1:27" ht="12.75" customHeight="1" x14ac:dyDescent="0.25">
      <c r="A870" s="79"/>
      <c r="B870" s="20"/>
      <c r="C870" s="82"/>
      <c r="D870" s="83"/>
      <c r="E870" s="79"/>
      <c r="F870" s="53"/>
      <c r="G870" s="54"/>
      <c r="H870" s="54"/>
      <c r="I870" s="7"/>
      <c r="J870" s="9"/>
      <c r="K870" s="21"/>
      <c r="L870" s="77"/>
      <c r="M870" s="77"/>
      <c r="N870" s="77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</row>
    <row r="871" spans="1:27" ht="12.75" customHeight="1" x14ac:dyDescent="0.25">
      <c r="A871" s="79"/>
      <c r="B871" s="20"/>
      <c r="C871" s="82"/>
      <c r="D871" s="83"/>
      <c r="E871" s="79"/>
      <c r="F871" s="53"/>
      <c r="G871" s="54"/>
      <c r="H871" s="54"/>
      <c r="I871" s="7"/>
      <c r="J871" s="9"/>
      <c r="K871" s="21"/>
      <c r="L871" s="77"/>
      <c r="M871" s="77"/>
      <c r="N871" s="77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</row>
    <row r="872" spans="1:27" ht="12.75" customHeight="1" x14ac:dyDescent="0.25">
      <c r="A872" s="79"/>
      <c r="B872" s="20"/>
      <c r="C872" s="82"/>
      <c r="D872" s="83"/>
      <c r="E872" s="79"/>
      <c r="F872" s="53"/>
      <c r="G872" s="54"/>
      <c r="H872" s="54"/>
      <c r="I872" s="7"/>
      <c r="J872" s="9"/>
      <c r="K872" s="21"/>
      <c r="L872" s="77"/>
      <c r="M872" s="77"/>
      <c r="N872" s="77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</row>
    <row r="873" spans="1:27" ht="12.75" customHeight="1" x14ac:dyDescent="0.25">
      <c r="A873" s="79"/>
      <c r="B873" s="20"/>
      <c r="C873" s="82"/>
      <c r="D873" s="83"/>
      <c r="E873" s="79"/>
      <c r="F873" s="53"/>
      <c r="G873" s="54"/>
      <c r="H873" s="54"/>
      <c r="I873" s="7"/>
      <c r="J873" s="9"/>
      <c r="K873" s="21"/>
      <c r="L873" s="77"/>
      <c r="M873" s="77"/>
      <c r="N873" s="77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</row>
    <row r="874" spans="1:27" ht="12.75" customHeight="1" x14ac:dyDescent="0.25">
      <c r="A874" s="79"/>
      <c r="B874" s="20"/>
      <c r="C874" s="82"/>
      <c r="D874" s="83"/>
      <c r="E874" s="79"/>
      <c r="F874" s="53"/>
      <c r="G874" s="54"/>
      <c r="H874" s="54"/>
      <c r="I874" s="7"/>
      <c r="J874" s="9"/>
      <c r="K874" s="21"/>
      <c r="L874" s="77"/>
      <c r="M874" s="77"/>
      <c r="N874" s="77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</row>
    <row r="875" spans="1:27" ht="12.75" customHeight="1" x14ac:dyDescent="0.25">
      <c r="A875" s="79"/>
      <c r="B875" s="20"/>
      <c r="C875" s="82"/>
      <c r="D875" s="83"/>
      <c r="E875" s="79"/>
      <c r="F875" s="53"/>
      <c r="G875" s="54"/>
      <c r="H875" s="54"/>
      <c r="I875" s="7"/>
      <c r="J875" s="9"/>
      <c r="K875" s="21"/>
      <c r="L875" s="77"/>
      <c r="M875" s="77"/>
      <c r="N875" s="77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</row>
    <row r="876" spans="1:27" ht="12.75" customHeight="1" x14ac:dyDescent="0.25">
      <c r="A876" s="79"/>
      <c r="B876" s="20"/>
      <c r="C876" s="82"/>
      <c r="D876" s="83"/>
      <c r="E876" s="79"/>
      <c r="F876" s="53"/>
      <c r="G876" s="54"/>
      <c r="H876" s="54"/>
      <c r="I876" s="7"/>
      <c r="J876" s="9"/>
      <c r="K876" s="21"/>
      <c r="L876" s="77"/>
      <c r="M876" s="77"/>
      <c r="N876" s="77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</row>
    <row r="877" spans="1:27" ht="12.75" customHeight="1" x14ac:dyDescent="0.25">
      <c r="A877" s="79"/>
      <c r="B877" s="20"/>
      <c r="C877" s="82"/>
      <c r="D877" s="83"/>
      <c r="E877" s="79"/>
      <c r="F877" s="53"/>
      <c r="G877" s="54"/>
      <c r="H877" s="54"/>
      <c r="I877" s="7"/>
      <c r="J877" s="9"/>
      <c r="K877" s="21"/>
      <c r="L877" s="77"/>
      <c r="M877" s="77"/>
      <c r="N877" s="77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</row>
    <row r="878" spans="1:27" ht="12.75" customHeight="1" x14ac:dyDescent="0.25">
      <c r="A878" s="79"/>
      <c r="B878" s="20"/>
      <c r="C878" s="82"/>
      <c r="D878" s="83"/>
      <c r="E878" s="79"/>
      <c r="F878" s="53"/>
      <c r="G878" s="54"/>
      <c r="H878" s="54"/>
      <c r="I878" s="7"/>
      <c r="J878" s="9"/>
      <c r="K878" s="21"/>
      <c r="L878" s="77"/>
      <c r="M878" s="77"/>
      <c r="N878" s="77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</row>
    <row r="879" spans="1:27" ht="12.75" customHeight="1" x14ac:dyDescent="0.25">
      <c r="A879" s="79"/>
      <c r="B879" s="20"/>
      <c r="C879" s="82"/>
      <c r="D879" s="83"/>
      <c r="E879" s="79"/>
      <c r="F879" s="53"/>
      <c r="G879" s="54"/>
      <c r="H879" s="54"/>
      <c r="I879" s="7"/>
      <c r="J879" s="9"/>
      <c r="K879" s="21"/>
      <c r="L879" s="77"/>
      <c r="M879" s="77"/>
      <c r="N879" s="77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</row>
    <row r="880" spans="1:27" ht="12.75" customHeight="1" x14ac:dyDescent="0.25">
      <c r="A880" s="79"/>
      <c r="B880" s="20"/>
      <c r="C880" s="82"/>
      <c r="D880" s="83"/>
      <c r="E880" s="79"/>
      <c r="F880" s="53"/>
      <c r="G880" s="54"/>
      <c r="H880" s="54"/>
      <c r="I880" s="7"/>
      <c r="J880" s="9"/>
      <c r="K880" s="21"/>
      <c r="L880" s="77"/>
      <c r="M880" s="77"/>
      <c r="N880" s="77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</row>
    <row r="881" spans="1:27" ht="12.75" customHeight="1" x14ac:dyDescent="0.25">
      <c r="A881" s="79"/>
      <c r="B881" s="20"/>
      <c r="C881" s="82"/>
      <c r="D881" s="83"/>
      <c r="E881" s="79"/>
      <c r="F881" s="53"/>
      <c r="G881" s="54"/>
      <c r="H881" s="54"/>
      <c r="I881" s="7"/>
      <c r="J881" s="9"/>
      <c r="K881" s="21"/>
      <c r="L881" s="77"/>
      <c r="M881" s="77"/>
      <c r="N881" s="77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</row>
    <row r="882" spans="1:27" ht="12.75" customHeight="1" x14ac:dyDescent="0.25">
      <c r="A882" s="79"/>
      <c r="B882" s="20"/>
      <c r="C882" s="82"/>
      <c r="D882" s="83"/>
      <c r="E882" s="79"/>
      <c r="F882" s="53"/>
      <c r="G882" s="54"/>
      <c r="H882" s="54"/>
      <c r="I882" s="7"/>
      <c r="J882" s="9"/>
      <c r="K882" s="21"/>
      <c r="L882" s="77"/>
      <c r="M882" s="77"/>
      <c r="N882" s="77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</row>
    <row r="883" spans="1:27" ht="12.75" customHeight="1" x14ac:dyDescent="0.25">
      <c r="A883" s="79"/>
      <c r="B883" s="20"/>
      <c r="C883" s="82"/>
      <c r="D883" s="83"/>
      <c r="E883" s="79"/>
      <c r="F883" s="53"/>
      <c r="G883" s="54"/>
      <c r="H883" s="54"/>
      <c r="I883" s="7"/>
      <c r="J883" s="9"/>
      <c r="K883" s="21"/>
      <c r="L883" s="77"/>
      <c r="M883" s="77"/>
      <c r="N883" s="77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</row>
    <row r="884" spans="1:27" ht="12.75" customHeight="1" x14ac:dyDescent="0.25">
      <c r="A884" s="79"/>
      <c r="B884" s="20"/>
      <c r="C884" s="82"/>
      <c r="D884" s="83"/>
      <c r="E884" s="79"/>
      <c r="F884" s="53"/>
      <c r="G884" s="54"/>
      <c r="H884" s="54"/>
      <c r="I884" s="7"/>
      <c r="J884" s="9"/>
      <c r="K884" s="21"/>
      <c r="L884" s="77"/>
      <c r="M884" s="77"/>
      <c r="N884" s="77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</row>
    <row r="885" spans="1:27" ht="12.75" customHeight="1" x14ac:dyDescent="0.25">
      <c r="A885" s="79"/>
      <c r="B885" s="20"/>
      <c r="C885" s="82"/>
      <c r="D885" s="83"/>
      <c r="E885" s="79"/>
      <c r="F885" s="53"/>
      <c r="G885" s="54"/>
      <c r="H885" s="54"/>
      <c r="I885" s="7"/>
      <c r="J885" s="9"/>
      <c r="K885" s="21"/>
      <c r="L885" s="77"/>
      <c r="M885" s="77"/>
      <c r="N885" s="77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</row>
    <row r="886" spans="1:27" ht="12.75" customHeight="1" x14ac:dyDescent="0.25">
      <c r="A886" s="79"/>
      <c r="B886" s="20"/>
      <c r="C886" s="82"/>
      <c r="D886" s="83"/>
      <c r="E886" s="79"/>
      <c r="F886" s="53"/>
      <c r="G886" s="54"/>
      <c r="H886" s="54"/>
      <c r="I886" s="7"/>
      <c r="J886" s="9"/>
      <c r="K886" s="21"/>
      <c r="L886" s="77"/>
      <c r="M886" s="77"/>
      <c r="N886" s="77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</row>
    <row r="887" spans="1:27" ht="12.75" customHeight="1" x14ac:dyDescent="0.25">
      <c r="A887" s="79"/>
      <c r="B887" s="20"/>
      <c r="C887" s="82"/>
      <c r="D887" s="83"/>
      <c r="E887" s="79"/>
      <c r="F887" s="53"/>
      <c r="G887" s="54"/>
      <c r="H887" s="54"/>
      <c r="I887" s="7"/>
      <c r="J887" s="9"/>
      <c r="K887" s="21"/>
      <c r="L887" s="77"/>
      <c r="M887" s="77"/>
      <c r="N887" s="77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</row>
    <row r="888" spans="1:27" ht="12.75" customHeight="1" x14ac:dyDescent="0.25">
      <c r="A888" s="79"/>
      <c r="B888" s="20"/>
      <c r="C888" s="82"/>
      <c r="D888" s="83"/>
      <c r="E888" s="79"/>
      <c r="F888" s="53"/>
      <c r="G888" s="54"/>
      <c r="H888" s="54"/>
      <c r="I888" s="7"/>
      <c r="J888" s="9"/>
      <c r="K888" s="21"/>
      <c r="L888" s="77"/>
      <c r="M888" s="77"/>
      <c r="N888" s="77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</row>
    <row r="889" spans="1:27" ht="12.75" customHeight="1" x14ac:dyDescent="0.25">
      <c r="A889" s="79"/>
      <c r="B889" s="20"/>
      <c r="C889" s="82"/>
      <c r="D889" s="83"/>
      <c r="E889" s="79"/>
      <c r="F889" s="53"/>
      <c r="G889" s="54"/>
      <c r="H889" s="54"/>
      <c r="I889" s="7"/>
      <c r="J889" s="9"/>
      <c r="K889" s="21"/>
      <c r="L889" s="77"/>
      <c r="M889" s="77"/>
      <c r="N889" s="77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</row>
    <row r="890" spans="1:27" ht="12.75" customHeight="1" x14ac:dyDescent="0.25">
      <c r="A890" s="79"/>
      <c r="B890" s="20"/>
      <c r="C890" s="82"/>
      <c r="D890" s="83"/>
      <c r="E890" s="79"/>
      <c r="F890" s="53"/>
      <c r="G890" s="54"/>
      <c r="H890" s="54"/>
      <c r="I890" s="7"/>
      <c r="J890" s="9"/>
      <c r="K890" s="21"/>
      <c r="L890" s="77"/>
      <c r="M890" s="77"/>
      <c r="N890" s="77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</row>
    <row r="891" spans="1:27" ht="12.75" customHeight="1" x14ac:dyDescent="0.25">
      <c r="A891" s="79"/>
      <c r="B891" s="20"/>
      <c r="C891" s="82"/>
      <c r="D891" s="83"/>
      <c r="E891" s="79"/>
      <c r="F891" s="53"/>
      <c r="G891" s="54"/>
      <c r="H891" s="54"/>
      <c r="I891" s="7"/>
      <c r="J891" s="9"/>
      <c r="K891" s="21"/>
      <c r="L891" s="77"/>
      <c r="M891" s="77"/>
      <c r="N891" s="77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</row>
    <row r="892" spans="1:27" ht="12.75" customHeight="1" x14ac:dyDescent="0.25">
      <c r="A892" s="79"/>
      <c r="B892" s="20"/>
      <c r="C892" s="82"/>
      <c r="D892" s="83"/>
      <c r="E892" s="79"/>
      <c r="F892" s="53"/>
      <c r="G892" s="54"/>
      <c r="H892" s="54"/>
      <c r="I892" s="7"/>
      <c r="J892" s="9"/>
      <c r="K892" s="21"/>
      <c r="L892" s="77"/>
      <c r="M892" s="77"/>
      <c r="N892" s="77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</row>
    <row r="893" spans="1:27" ht="12.75" customHeight="1" x14ac:dyDescent="0.25">
      <c r="A893" s="79"/>
      <c r="B893" s="20"/>
      <c r="C893" s="82"/>
      <c r="D893" s="83"/>
      <c r="E893" s="79"/>
      <c r="F893" s="53"/>
      <c r="G893" s="54"/>
      <c r="H893" s="54"/>
      <c r="I893" s="7"/>
      <c r="J893" s="9"/>
      <c r="K893" s="21"/>
      <c r="L893" s="77"/>
      <c r="M893" s="77"/>
      <c r="N893" s="77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</row>
    <row r="894" spans="1:27" ht="12.75" customHeight="1" x14ac:dyDescent="0.25">
      <c r="A894" s="79"/>
      <c r="B894" s="20"/>
      <c r="C894" s="82"/>
      <c r="D894" s="83"/>
      <c r="E894" s="79"/>
      <c r="F894" s="53"/>
      <c r="G894" s="54"/>
      <c r="H894" s="54"/>
      <c r="I894" s="7"/>
      <c r="J894" s="9"/>
      <c r="K894" s="21"/>
      <c r="L894" s="77"/>
      <c r="M894" s="77"/>
      <c r="N894" s="77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</row>
    <row r="895" spans="1:27" ht="12.75" customHeight="1" x14ac:dyDescent="0.25">
      <c r="A895" s="79"/>
      <c r="B895" s="20"/>
      <c r="C895" s="82"/>
      <c r="D895" s="83"/>
      <c r="E895" s="79"/>
      <c r="F895" s="53"/>
      <c r="G895" s="54"/>
      <c r="H895" s="54"/>
      <c r="I895" s="7"/>
      <c r="J895" s="9"/>
      <c r="K895" s="21"/>
      <c r="L895" s="77"/>
      <c r="M895" s="77"/>
      <c r="N895" s="77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</row>
    <row r="896" spans="1:27" ht="12.75" customHeight="1" x14ac:dyDescent="0.25">
      <c r="A896" s="79"/>
      <c r="B896" s="20"/>
      <c r="C896" s="82"/>
      <c r="D896" s="83"/>
      <c r="E896" s="79"/>
      <c r="F896" s="53"/>
      <c r="G896" s="54"/>
      <c r="H896" s="54"/>
      <c r="I896" s="7"/>
      <c r="J896" s="9"/>
      <c r="K896" s="21"/>
      <c r="L896" s="77"/>
      <c r="M896" s="77"/>
      <c r="N896" s="77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</row>
    <row r="897" spans="1:27" ht="12.75" customHeight="1" x14ac:dyDescent="0.25">
      <c r="A897" s="79"/>
      <c r="B897" s="20"/>
      <c r="C897" s="82"/>
      <c r="D897" s="83"/>
      <c r="E897" s="79"/>
      <c r="F897" s="53"/>
      <c r="G897" s="54"/>
      <c r="H897" s="54"/>
      <c r="I897" s="7"/>
      <c r="J897" s="9"/>
      <c r="K897" s="21"/>
      <c r="L897" s="77"/>
      <c r="M897" s="77"/>
      <c r="N897" s="77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</row>
    <row r="898" spans="1:27" ht="12.75" customHeight="1" x14ac:dyDescent="0.25">
      <c r="A898" s="79"/>
      <c r="B898" s="20"/>
      <c r="C898" s="82"/>
      <c r="D898" s="83"/>
      <c r="E898" s="79"/>
      <c r="F898" s="53"/>
      <c r="G898" s="54"/>
      <c r="H898" s="54"/>
      <c r="I898" s="7"/>
      <c r="J898" s="9"/>
      <c r="K898" s="21"/>
      <c r="L898" s="77"/>
      <c r="M898" s="77"/>
      <c r="N898" s="77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</row>
    <row r="899" spans="1:27" ht="12.75" customHeight="1" x14ac:dyDescent="0.25">
      <c r="A899" s="79"/>
      <c r="B899" s="20"/>
      <c r="C899" s="82"/>
      <c r="D899" s="83"/>
      <c r="E899" s="79"/>
      <c r="F899" s="53"/>
      <c r="G899" s="54"/>
      <c r="H899" s="54"/>
      <c r="I899" s="7"/>
      <c r="J899" s="9"/>
      <c r="K899" s="21"/>
      <c r="L899" s="77"/>
      <c r="M899" s="77"/>
      <c r="N899" s="77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</row>
    <row r="900" spans="1:27" ht="12.75" customHeight="1" x14ac:dyDescent="0.25">
      <c r="A900" s="79"/>
      <c r="B900" s="20"/>
      <c r="C900" s="82"/>
      <c r="D900" s="83"/>
      <c r="E900" s="79"/>
      <c r="F900" s="53"/>
      <c r="G900" s="54"/>
      <c r="H900" s="54"/>
      <c r="I900" s="7"/>
      <c r="J900" s="9"/>
      <c r="K900" s="21"/>
      <c r="L900" s="77"/>
      <c r="M900" s="77"/>
      <c r="N900" s="77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</row>
    <row r="901" spans="1:27" ht="12.75" customHeight="1" x14ac:dyDescent="0.25">
      <c r="A901" s="79"/>
      <c r="B901" s="20"/>
      <c r="C901" s="82"/>
      <c r="D901" s="83"/>
      <c r="E901" s="79"/>
      <c r="F901" s="53"/>
      <c r="G901" s="54"/>
      <c r="H901" s="54"/>
      <c r="I901" s="7"/>
      <c r="J901" s="9"/>
      <c r="K901" s="21"/>
      <c r="L901" s="77"/>
      <c r="M901" s="77"/>
      <c r="N901" s="77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</row>
    <row r="902" spans="1:27" ht="12.75" customHeight="1" x14ac:dyDescent="0.25">
      <c r="A902" s="79"/>
      <c r="B902" s="20"/>
      <c r="C902" s="82"/>
      <c r="D902" s="83"/>
      <c r="E902" s="79"/>
      <c r="F902" s="53"/>
      <c r="G902" s="54"/>
      <c r="H902" s="54"/>
      <c r="I902" s="7"/>
      <c r="J902" s="9"/>
      <c r="K902" s="21"/>
      <c r="L902" s="77"/>
      <c r="M902" s="77"/>
      <c r="N902" s="77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</row>
    <row r="903" spans="1:27" ht="12.75" customHeight="1" x14ac:dyDescent="0.25">
      <c r="A903" s="79"/>
      <c r="B903" s="20"/>
      <c r="C903" s="82"/>
      <c r="D903" s="83"/>
      <c r="E903" s="79"/>
      <c r="F903" s="53"/>
      <c r="G903" s="54"/>
      <c r="H903" s="54"/>
      <c r="I903" s="7"/>
      <c r="J903" s="9"/>
      <c r="K903" s="21"/>
      <c r="L903" s="77"/>
      <c r="M903" s="77"/>
      <c r="N903" s="77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</row>
    <row r="904" spans="1:27" ht="12.75" customHeight="1" x14ac:dyDescent="0.25">
      <c r="A904" s="79"/>
      <c r="B904" s="20"/>
      <c r="C904" s="82"/>
      <c r="D904" s="83"/>
      <c r="E904" s="79"/>
      <c r="F904" s="53"/>
      <c r="G904" s="54"/>
      <c r="H904" s="54"/>
      <c r="I904" s="7"/>
      <c r="J904" s="9"/>
      <c r="K904" s="21"/>
      <c r="L904" s="77"/>
      <c r="M904" s="77"/>
      <c r="N904" s="77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</row>
    <row r="905" spans="1:27" ht="12.75" customHeight="1" x14ac:dyDescent="0.25">
      <c r="A905" s="79"/>
      <c r="B905" s="20"/>
      <c r="C905" s="82"/>
      <c r="D905" s="83"/>
      <c r="E905" s="79"/>
      <c r="F905" s="53"/>
      <c r="G905" s="54"/>
      <c r="H905" s="54"/>
      <c r="I905" s="7"/>
      <c r="J905" s="9"/>
      <c r="K905" s="21"/>
      <c r="L905" s="77"/>
      <c r="M905" s="77"/>
      <c r="N905" s="77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</row>
    <row r="906" spans="1:27" ht="12.75" customHeight="1" x14ac:dyDescent="0.25">
      <c r="A906" s="79"/>
      <c r="B906" s="20"/>
      <c r="C906" s="82"/>
      <c r="D906" s="83"/>
      <c r="E906" s="79"/>
      <c r="F906" s="53"/>
      <c r="G906" s="54"/>
      <c r="H906" s="54"/>
      <c r="I906" s="7"/>
      <c r="J906" s="9"/>
      <c r="K906" s="21"/>
      <c r="L906" s="77"/>
      <c r="M906" s="77"/>
      <c r="N906" s="77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</row>
    <row r="907" spans="1:27" ht="12.75" customHeight="1" x14ac:dyDescent="0.25">
      <c r="A907" s="79"/>
      <c r="B907" s="20"/>
      <c r="C907" s="82"/>
      <c r="D907" s="83"/>
      <c r="E907" s="79"/>
      <c r="F907" s="53"/>
      <c r="G907" s="54"/>
      <c r="H907" s="54"/>
      <c r="I907" s="7"/>
      <c r="J907" s="9"/>
      <c r="K907" s="21"/>
      <c r="L907" s="77"/>
      <c r="M907" s="77"/>
      <c r="N907" s="77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</row>
    <row r="908" spans="1:27" ht="12.75" customHeight="1" x14ac:dyDescent="0.25">
      <c r="A908" s="79"/>
      <c r="B908" s="20"/>
      <c r="C908" s="82"/>
      <c r="D908" s="83"/>
      <c r="E908" s="79"/>
      <c r="F908" s="53"/>
      <c r="G908" s="54"/>
      <c r="H908" s="54"/>
      <c r="I908" s="7"/>
      <c r="J908" s="9"/>
      <c r="K908" s="21"/>
      <c r="L908" s="77"/>
      <c r="M908" s="77"/>
      <c r="N908" s="77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</row>
    <row r="909" spans="1:27" ht="12.75" customHeight="1" x14ac:dyDescent="0.25">
      <c r="A909" s="79"/>
      <c r="B909" s="20"/>
      <c r="C909" s="82"/>
      <c r="D909" s="83"/>
      <c r="E909" s="79"/>
      <c r="F909" s="53"/>
      <c r="G909" s="54"/>
      <c r="H909" s="54"/>
      <c r="I909" s="7"/>
      <c r="J909" s="9"/>
      <c r="K909" s="21"/>
      <c r="L909" s="77"/>
      <c r="M909" s="77"/>
      <c r="N909" s="77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</row>
    <row r="910" spans="1:27" ht="12.75" customHeight="1" x14ac:dyDescent="0.25">
      <c r="A910" s="79"/>
      <c r="B910" s="20"/>
      <c r="C910" s="82"/>
      <c r="D910" s="83"/>
      <c r="E910" s="79"/>
      <c r="F910" s="53"/>
      <c r="G910" s="54"/>
      <c r="H910" s="54"/>
      <c r="I910" s="7"/>
      <c r="J910" s="9"/>
      <c r="K910" s="21"/>
      <c r="L910" s="77"/>
      <c r="M910" s="77"/>
      <c r="N910" s="77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</row>
    <row r="911" spans="1:27" ht="12.75" customHeight="1" x14ac:dyDescent="0.25">
      <c r="A911" s="79"/>
      <c r="B911" s="20"/>
      <c r="C911" s="82"/>
      <c r="D911" s="83"/>
      <c r="E911" s="79"/>
      <c r="F911" s="53"/>
      <c r="G911" s="54"/>
      <c r="H911" s="54"/>
      <c r="I911" s="7"/>
      <c r="J911" s="9"/>
      <c r="K911" s="21"/>
      <c r="L911" s="77"/>
      <c r="M911" s="77"/>
      <c r="N911" s="77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</row>
    <row r="912" spans="1:27" ht="12.75" customHeight="1" x14ac:dyDescent="0.25">
      <c r="A912" s="79"/>
      <c r="B912" s="20"/>
      <c r="C912" s="82"/>
      <c r="D912" s="83"/>
      <c r="E912" s="79"/>
      <c r="F912" s="53"/>
      <c r="G912" s="54"/>
      <c r="H912" s="54"/>
      <c r="I912" s="7"/>
      <c r="J912" s="9"/>
      <c r="K912" s="21"/>
      <c r="L912" s="77"/>
      <c r="M912" s="77"/>
      <c r="N912" s="77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</row>
    <row r="913" spans="1:27" ht="12.75" customHeight="1" x14ac:dyDescent="0.25">
      <c r="A913" s="79"/>
      <c r="B913" s="20"/>
      <c r="C913" s="82"/>
      <c r="D913" s="83"/>
      <c r="E913" s="79"/>
      <c r="F913" s="53"/>
      <c r="G913" s="54"/>
      <c r="H913" s="54"/>
      <c r="I913" s="7"/>
      <c r="J913" s="9"/>
      <c r="K913" s="21"/>
      <c r="L913" s="77"/>
      <c r="M913" s="77"/>
      <c r="N913" s="77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</row>
    <row r="914" spans="1:27" ht="12.75" customHeight="1" x14ac:dyDescent="0.25">
      <c r="A914" s="79"/>
      <c r="B914" s="20"/>
      <c r="C914" s="82"/>
      <c r="D914" s="83"/>
      <c r="E914" s="79"/>
      <c r="F914" s="53"/>
      <c r="G914" s="54"/>
      <c r="H914" s="54"/>
      <c r="I914" s="7"/>
      <c r="J914" s="9"/>
      <c r="K914" s="21"/>
      <c r="L914" s="77"/>
      <c r="M914" s="77"/>
      <c r="N914" s="77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</row>
    <row r="915" spans="1:27" ht="12.75" customHeight="1" x14ac:dyDescent="0.25">
      <c r="A915" s="79"/>
      <c r="B915" s="20"/>
      <c r="C915" s="82"/>
      <c r="D915" s="83"/>
      <c r="E915" s="79"/>
      <c r="F915" s="53"/>
      <c r="G915" s="54"/>
      <c r="H915" s="54"/>
      <c r="I915" s="7"/>
      <c r="J915" s="9"/>
      <c r="K915" s="21"/>
      <c r="L915" s="77"/>
      <c r="M915" s="77"/>
      <c r="N915" s="77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</row>
    <row r="916" spans="1:27" ht="12.75" customHeight="1" x14ac:dyDescent="0.25">
      <c r="A916" s="79"/>
      <c r="B916" s="20"/>
      <c r="C916" s="82"/>
      <c r="D916" s="83"/>
      <c r="E916" s="79"/>
      <c r="F916" s="53"/>
      <c r="G916" s="54"/>
      <c r="H916" s="54"/>
      <c r="I916" s="7"/>
      <c r="J916" s="9"/>
      <c r="K916" s="21"/>
      <c r="L916" s="77"/>
      <c r="M916" s="77"/>
      <c r="N916" s="77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</row>
    <row r="917" spans="1:27" ht="12.75" customHeight="1" x14ac:dyDescent="0.25">
      <c r="A917" s="79"/>
      <c r="B917" s="20"/>
      <c r="C917" s="82"/>
      <c r="D917" s="83"/>
      <c r="E917" s="79"/>
      <c r="F917" s="53"/>
      <c r="G917" s="54"/>
      <c r="H917" s="54"/>
      <c r="I917" s="7"/>
      <c r="J917" s="9"/>
      <c r="K917" s="21"/>
      <c r="L917" s="77"/>
      <c r="M917" s="77"/>
      <c r="N917" s="77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</row>
    <row r="918" spans="1:27" ht="12.75" customHeight="1" x14ac:dyDescent="0.25">
      <c r="A918" s="79"/>
      <c r="B918" s="20"/>
      <c r="C918" s="82"/>
      <c r="D918" s="83"/>
      <c r="E918" s="79"/>
      <c r="F918" s="53"/>
      <c r="G918" s="54"/>
      <c r="H918" s="54"/>
      <c r="I918" s="7"/>
      <c r="J918" s="9"/>
      <c r="K918" s="21"/>
      <c r="L918" s="77"/>
      <c r="M918" s="77"/>
      <c r="N918" s="77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</row>
    <row r="919" spans="1:27" ht="12.75" customHeight="1" x14ac:dyDescent="0.25">
      <c r="A919" s="79"/>
      <c r="B919" s="20"/>
      <c r="C919" s="82"/>
      <c r="D919" s="83"/>
      <c r="E919" s="79"/>
      <c r="F919" s="53"/>
      <c r="G919" s="54"/>
      <c r="H919" s="54"/>
      <c r="I919" s="7"/>
      <c r="J919" s="9"/>
      <c r="K919" s="21"/>
      <c r="L919" s="77"/>
      <c r="M919" s="77"/>
      <c r="N919" s="77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</row>
    <row r="920" spans="1:27" ht="12.75" customHeight="1" x14ac:dyDescent="0.25">
      <c r="A920" s="79"/>
      <c r="B920" s="20"/>
      <c r="C920" s="82"/>
      <c r="D920" s="83"/>
      <c r="E920" s="79"/>
      <c r="F920" s="53"/>
      <c r="G920" s="54"/>
      <c r="H920" s="54"/>
      <c r="I920" s="7"/>
      <c r="J920" s="9"/>
      <c r="K920" s="21"/>
      <c r="L920" s="77"/>
      <c r="M920" s="77"/>
      <c r="N920" s="77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</row>
    <row r="921" spans="1:27" ht="12.75" customHeight="1" x14ac:dyDescent="0.25">
      <c r="A921" s="79"/>
      <c r="B921" s="20"/>
      <c r="C921" s="82"/>
      <c r="D921" s="83"/>
      <c r="E921" s="79"/>
      <c r="F921" s="53"/>
      <c r="G921" s="54"/>
      <c r="H921" s="54"/>
      <c r="I921" s="7"/>
      <c r="J921" s="9"/>
      <c r="K921" s="21"/>
      <c r="L921" s="77"/>
      <c r="M921" s="77"/>
      <c r="N921" s="77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</row>
    <row r="922" spans="1:27" ht="12.75" customHeight="1" x14ac:dyDescent="0.25">
      <c r="A922" s="79"/>
      <c r="B922" s="20"/>
      <c r="C922" s="82"/>
      <c r="D922" s="83"/>
      <c r="E922" s="79"/>
      <c r="F922" s="53"/>
      <c r="G922" s="54"/>
      <c r="H922" s="54"/>
      <c r="I922" s="7"/>
      <c r="J922" s="9"/>
      <c r="K922" s="21"/>
      <c r="L922" s="77"/>
      <c r="M922" s="77"/>
      <c r="N922" s="77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</row>
    <row r="923" spans="1:27" ht="12.75" customHeight="1" x14ac:dyDescent="0.25">
      <c r="A923" s="79"/>
      <c r="B923" s="20"/>
      <c r="C923" s="82"/>
      <c r="D923" s="83"/>
      <c r="E923" s="79"/>
      <c r="F923" s="53"/>
      <c r="G923" s="54"/>
      <c r="H923" s="54"/>
      <c r="I923" s="7"/>
      <c r="J923" s="9"/>
      <c r="K923" s="21"/>
      <c r="L923" s="77"/>
      <c r="M923" s="77"/>
      <c r="N923" s="77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</row>
    <row r="924" spans="1:27" ht="12.75" customHeight="1" x14ac:dyDescent="0.25">
      <c r="A924" s="79"/>
      <c r="B924" s="20"/>
      <c r="C924" s="82"/>
      <c r="D924" s="83"/>
      <c r="E924" s="79"/>
      <c r="F924" s="53"/>
      <c r="G924" s="54"/>
      <c r="H924" s="54"/>
      <c r="I924" s="7"/>
      <c r="J924" s="9"/>
      <c r="K924" s="21"/>
      <c r="L924" s="77"/>
      <c r="M924" s="77"/>
      <c r="N924" s="77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</row>
    <row r="925" spans="1:27" ht="12.75" customHeight="1" x14ac:dyDescent="0.25">
      <c r="A925" s="79"/>
      <c r="B925" s="20"/>
      <c r="C925" s="82"/>
      <c r="D925" s="83"/>
      <c r="E925" s="79"/>
      <c r="F925" s="53"/>
      <c r="G925" s="54"/>
      <c r="H925" s="54"/>
      <c r="I925" s="7"/>
      <c r="J925" s="9"/>
      <c r="K925" s="21"/>
      <c r="L925" s="77"/>
      <c r="M925" s="77"/>
      <c r="N925" s="77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</row>
    <row r="926" spans="1:27" ht="12.75" customHeight="1" x14ac:dyDescent="0.25">
      <c r="A926" s="79"/>
      <c r="B926" s="20"/>
      <c r="C926" s="82"/>
      <c r="D926" s="83"/>
      <c r="E926" s="79"/>
      <c r="F926" s="53"/>
      <c r="G926" s="54"/>
      <c r="H926" s="54"/>
      <c r="I926" s="7"/>
      <c r="J926" s="9"/>
      <c r="K926" s="21"/>
      <c r="L926" s="77"/>
      <c r="M926" s="77"/>
      <c r="N926" s="77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</row>
    <row r="927" spans="1:27" ht="12.75" customHeight="1" x14ac:dyDescent="0.25">
      <c r="A927" s="79"/>
      <c r="B927" s="20"/>
      <c r="C927" s="82"/>
      <c r="D927" s="83"/>
      <c r="E927" s="79"/>
      <c r="F927" s="53"/>
      <c r="G927" s="54"/>
      <c r="H927" s="54"/>
      <c r="I927" s="7"/>
      <c r="J927" s="9"/>
      <c r="K927" s="21"/>
      <c r="L927" s="77"/>
      <c r="M927" s="77"/>
      <c r="N927" s="77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</row>
    <row r="928" spans="1:27" ht="12.75" customHeight="1" x14ac:dyDescent="0.25">
      <c r="A928" s="79"/>
      <c r="B928" s="20"/>
      <c r="C928" s="82"/>
      <c r="D928" s="83"/>
      <c r="E928" s="79"/>
      <c r="F928" s="53"/>
      <c r="G928" s="54"/>
      <c r="H928" s="54"/>
      <c r="I928" s="7"/>
      <c r="J928" s="9"/>
      <c r="K928" s="21"/>
      <c r="L928" s="77"/>
      <c r="M928" s="77"/>
      <c r="N928" s="77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</row>
    <row r="929" spans="1:27" ht="12.75" customHeight="1" x14ac:dyDescent="0.25">
      <c r="A929" s="79"/>
      <c r="B929" s="20"/>
      <c r="C929" s="82"/>
      <c r="D929" s="83"/>
      <c r="E929" s="79"/>
      <c r="F929" s="53"/>
      <c r="G929" s="54"/>
      <c r="H929" s="54"/>
      <c r="I929" s="7"/>
      <c r="J929" s="9"/>
      <c r="K929" s="21"/>
      <c r="L929" s="77"/>
      <c r="M929" s="77"/>
      <c r="N929" s="77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</row>
    <row r="930" spans="1:27" ht="12.75" customHeight="1" x14ac:dyDescent="0.25">
      <c r="A930" s="79"/>
      <c r="B930" s="20"/>
      <c r="C930" s="82"/>
      <c r="D930" s="83"/>
      <c r="E930" s="79"/>
      <c r="F930" s="53"/>
      <c r="G930" s="54"/>
      <c r="H930" s="54"/>
      <c r="I930" s="7"/>
      <c r="J930" s="9"/>
      <c r="K930" s="21"/>
      <c r="L930" s="77"/>
      <c r="M930" s="77"/>
      <c r="N930" s="77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</row>
    <row r="931" spans="1:27" ht="12.75" customHeight="1" x14ac:dyDescent="0.25">
      <c r="A931" s="79"/>
      <c r="B931" s="20"/>
      <c r="C931" s="82"/>
      <c r="D931" s="83"/>
      <c r="E931" s="79"/>
      <c r="F931" s="53"/>
      <c r="G931" s="54"/>
      <c r="H931" s="54"/>
      <c r="I931" s="7"/>
      <c r="J931" s="9"/>
      <c r="K931" s="21"/>
      <c r="L931" s="77"/>
      <c r="M931" s="77"/>
      <c r="N931" s="77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</row>
    <row r="932" spans="1:27" ht="12.75" customHeight="1" x14ac:dyDescent="0.25">
      <c r="A932" s="79"/>
      <c r="B932" s="20"/>
      <c r="C932" s="82"/>
      <c r="D932" s="83"/>
      <c r="E932" s="79"/>
      <c r="F932" s="53"/>
      <c r="G932" s="54"/>
      <c r="H932" s="54"/>
      <c r="I932" s="7"/>
      <c r="J932" s="9"/>
      <c r="K932" s="21"/>
      <c r="L932" s="77"/>
      <c r="M932" s="77"/>
      <c r="N932" s="77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</row>
    <row r="933" spans="1:27" ht="12.75" customHeight="1" x14ac:dyDescent="0.25">
      <c r="A933" s="79"/>
      <c r="B933" s="20"/>
      <c r="C933" s="82"/>
      <c r="D933" s="83"/>
      <c r="E933" s="79"/>
      <c r="F933" s="53"/>
      <c r="G933" s="54"/>
      <c r="H933" s="54"/>
      <c r="I933" s="7"/>
      <c r="J933" s="9"/>
      <c r="K933" s="21"/>
      <c r="L933" s="77"/>
      <c r="M933" s="77"/>
      <c r="N933" s="77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</row>
    <row r="934" spans="1:27" ht="12.75" customHeight="1" x14ac:dyDescent="0.25">
      <c r="A934" s="79"/>
      <c r="B934" s="20"/>
      <c r="C934" s="82"/>
      <c r="D934" s="83"/>
      <c r="E934" s="79"/>
      <c r="F934" s="53"/>
      <c r="G934" s="54"/>
      <c r="H934" s="54"/>
      <c r="I934" s="7"/>
      <c r="J934" s="9"/>
      <c r="K934" s="21"/>
      <c r="L934" s="77"/>
      <c r="M934" s="77"/>
      <c r="N934" s="77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</row>
    <row r="935" spans="1:27" ht="12.75" customHeight="1" x14ac:dyDescent="0.25">
      <c r="A935" s="79"/>
      <c r="B935" s="20"/>
      <c r="C935" s="82"/>
      <c r="D935" s="83"/>
      <c r="E935" s="79"/>
      <c r="F935" s="53"/>
      <c r="G935" s="54"/>
      <c r="H935" s="54"/>
      <c r="I935" s="7"/>
      <c r="J935" s="9"/>
      <c r="K935" s="21"/>
      <c r="L935" s="77"/>
      <c r="M935" s="77"/>
      <c r="N935" s="77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</row>
    <row r="936" spans="1:27" ht="12.75" customHeight="1" x14ac:dyDescent="0.25">
      <c r="A936" s="79"/>
      <c r="B936" s="20"/>
      <c r="C936" s="82"/>
      <c r="D936" s="83"/>
      <c r="E936" s="79"/>
      <c r="F936" s="53"/>
      <c r="G936" s="54"/>
      <c r="H936" s="54"/>
      <c r="I936" s="7"/>
      <c r="J936" s="9"/>
      <c r="K936" s="21"/>
      <c r="L936" s="77"/>
      <c r="M936" s="77"/>
      <c r="N936" s="77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</row>
    <row r="937" spans="1:27" ht="12.75" customHeight="1" x14ac:dyDescent="0.25">
      <c r="A937" s="79"/>
      <c r="B937" s="20"/>
      <c r="C937" s="82"/>
      <c r="D937" s="83"/>
      <c r="E937" s="79"/>
      <c r="F937" s="53"/>
      <c r="G937" s="54"/>
      <c r="H937" s="54"/>
      <c r="I937" s="7"/>
      <c r="J937" s="9"/>
      <c r="K937" s="21"/>
      <c r="L937" s="77"/>
      <c r="M937" s="77"/>
      <c r="N937" s="77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</row>
    <row r="938" spans="1:27" ht="12.75" customHeight="1" x14ac:dyDescent="0.25">
      <c r="A938" s="79"/>
      <c r="B938" s="20"/>
      <c r="C938" s="82"/>
      <c r="D938" s="83"/>
      <c r="E938" s="79"/>
      <c r="F938" s="53"/>
      <c r="G938" s="54"/>
      <c r="H938" s="54"/>
      <c r="I938" s="7"/>
      <c r="J938" s="9"/>
      <c r="K938" s="21"/>
      <c r="L938" s="77"/>
      <c r="M938" s="77"/>
      <c r="N938" s="77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</row>
    <row r="939" spans="1:27" ht="12.75" customHeight="1" x14ac:dyDescent="0.25">
      <c r="A939" s="79"/>
      <c r="B939" s="20"/>
      <c r="C939" s="82"/>
      <c r="D939" s="83"/>
      <c r="E939" s="79"/>
      <c r="F939" s="53"/>
      <c r="G939" s="54"/>
      <c r="H939" s="54"/>
      <c r="I939" s="7"/>
      <c r="J939" s="9"/>
      <c r="K939" s="21"/>
      <c r="L939" s="77"/>
      <c r="M939" s="77"/>
      <c r="N939" s="77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</row>
    <row r="940" spans="1:27" ht="12.75" customHeight="1" x14ac:dyDescent="0.25">
      <c r="A940" s="79"/>
      <c r="B940" s="20"/>
      <c r="C940" s="82"/>
      <c r="D940" s="83"/>
      <c r="E940" s="79"/>
      <c r="F940" s="53"/>
      <c r="G940" s="54"/>
      <c r="H940" s="54"/>
      <c r="I940" s="7"/>
      <c r="J940" s="9"/>
      <c r="K940" s="21"/>
      <c r="L940" s="77"/>
      <c r="M940" s="77"/>
      <c r="N940" s="77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</row>
    <row r="941" spans="1:27" ht="12.75" customHeight="1" x14ac:dyDescent="0.25">
      <c r="A941" s="79"/>
      <c r="B941" s="20"/>
      <c r="C941" s="82"/>
      <c r="D941" s="83"/>
      <c r="E941" s="79"/>
      <c r="F941" s="53"/>
      <c r="G941" s="54"/>
      <c r="H941" s="54"/>
      <c r="I941" s="7"/>
      <c r="J941" s="9"/>
      <c r="K941" s="21"/>
      <c r="L941" s="77"/>
      <c r="M941" s="77"/>
      <c r="N941" s="77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</row>
    <row r="942" spans="1:27" ht="12.75" customHeight="1" x14ac:dyDescent="0.25">
      <c r="A942" s="79"/>
      <c r="B942" s="20"/>
      <c r="C942" s="82"/>
      <c r="D942" s="83"/>
      <c r="E942" s="79"/>
      <c r="F942" s="53"/>
      <c r="G942" s="54"/>
      <c r="H942" s="54"/>
      <c r="I942" s="7"/>
      <c r="J942" s="9"/>
      <c r="K942" s="21"/>
      <c r="L942" s="77"/>
      <c r="M942" s="77"/>
      <c r="N942" s="77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</row>
    <row r="943" spans="1:27" ht="12.75" customHeight="1" x14ac:dyDescent="0.25">
      <c r="A943" s="79"/>
      <c r="B943" s="20"/>
      <c r="C943" s="82"/>
      <c r="D943" s="83"/>
      <c r="E943" s="79"/>
      <c r="F943" s="53"/>
      <c r="G943" s="54"/>
      <c r="H943" s="54"/>
      <c r="I943" s="7"/>
      <c r="J943" s="9"/>
      <c r="K943" s="21"/>
      <c r="L943" s="77"/>
      <c r="M943" s="77"/>
      <c r="N943" s="77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</row>
    <row r="944" spans="1:27" ht="12.75" customHeight="1" x14ac:dyDescent="0.25">
      <c r="A944" s="79"/>
      <c r="B944" s="20"/>
      <c r="C944" s="82"/>
      <c r="D944" s="83"/>
      <c r="E944" s="79"/>
      <c r="F944" s="53"/>
      <c r="G944" s="54"/>
      <c r="H944" s="54"/>
      <c r="I944" s="7"/>
      <c r="J944" s="9"/>
      <c r="K944" s="21"/>
      <c r="L944" s="77"/>
      <c r="M944" s="77"/>
      <c r="N944" s="77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</row>
    <row r="945" spans="1:27" ht="12.75" customHeight="1" x14ac:dyDescent="0.25">
      <c r="A945" s="79"/>
      <c r="B945" s="20"/>
      <c r="C945" s="82"/>
      <c r="D945" s="83"/>
      <c r="E945" s="79"/>
      <c r="F945" s="53"/>
      <c r="G945" s="54"/>
      <c r="H945" s="54"/>
      <c r="I945" s="7"/>
      <c r="J945" s="9"/>
      <c r="K945" s="21"/>
      <c r="L945" s="77"/>
      <c r="M945" s="77"/>
      <c r="N945" s="77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</row>
    <row r="946" spans="1:27" ht="12.75" customHeight="1" x14ac:dyDescent="0.25">
      <c r="A946" s="79"/>
      <c r="B946" s="20"/>
      <c r="C946" s="82"/>
      <c r="D946" s="83"/>
      <c r="E946" s="79"/>
      <c r="F946" s="53"/>
      <c r="G946" s="54"/>
      <c r="H946" s="54"/>
      <c r="I946" s="7"/>
      <c r="J946" s="9"/>
      <c r="K946" s="21"/>
      <c r="L946" s="77"/>
      <c r="M946" s="77"/>
      <c r="N946" s="77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</row>
    <row r="947" spans="1:27" ht="12.75" customHeight="1" x14ac:dyDescent="0.25">
      <c r="A947" s="79"/>
      <c r="B947" s="20"/>
      <c r="C947" s="82"/>
      <c r="D947" s="83"/>
      <c r="E947" s="79"/>
      <c r="F947" s="53"/>
      <c r="G947" s="54"/>
      <c r="H947" s="54"/>
      <c r="I947" s="7"/>
      <c r="J947" s="9"/>
      <c r="K947" s="21"/>
      <c r="L947" s="77"/>
      <c r="M947" s="77"/>
      <c r="N947" s="77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</row>
    <row r="948" spans="1:27" ht="12.75" customHeight="1" x14ac:dyDescent="0.25">
      <c r="A948" s="79"/>
      <c r="B948" s="20"/>
      <c r="C948" s="82"/>
      <c r="D948" s="83"/>
      <c r="E948" s="79"/>
      <c r="F948" s="53"/>
      <c r="G948" s="54"/>
      <c r="H948" s="54"/>
      <c r="I948" s="7"/>
      <c r="J948" s="9"/>
      <c r="K948" s="21"/>
      <c r="L948" s="77"/>
      <c r="M948" s="77"/>
      <c r="N948" s="77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</row>
    <row r="949" spans="1:27" ht="12.75" customHeight="1" x14ac:dyDescent="0.25">
      <c r="A949" s="79"/>
      <c r="B949" s="20"/>
      <c r="C949" s="82"/>
      <c r="D949" s="83"/>
      <c r="E949" s="79"/>
      <c r="F949" s="53"/>
      <c r="G949" s="54"/>
      <c r="H949" s="54"/>
      <c r="I949" s="7"/>
      <c r="J949" s="9"/>
      <c r="K949" s="21"/>
      <c r="L949" s="77"/>
      <c r="M949" s="77"/>
      <c r="N949" s="77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</row>
    <row r="950" spans="1:27" ht="12.75" customHeight="1" x14ac:dyDescent="0.25">
      <c r="A950" s="79"/>
      <c r="B950" s="20"/>
      <c r="C950" s="82"/>
      <c r="D950" s="83"/>
      <c r="E950" s="79"/>
      <c r="F950" s="53"/>
      <c r="G950" s="54"/>
      <c r="H950" s="54"/>
      <c r="I950" s="7"/>
      <c r="J950" s="9"/>
      <c r="K950" s="21"/>
      <c r="L950" s="77"/>
      <c r="M950" s="77"/>
      <c r="N950" s="77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</row>
    <row r="951" spans="1:27" ht="12.75" customHeight="1" x14ac:dyDescent="0.25">
      <c r="A951" s="79"/>
      <c r="B951" s="20"/>
      <c r="C951" s="82"/>
      <c r="D951" s="83"/>
      <c r="E951" s="79"/>
      <c r="F951" s="53"/>
      <c r="G951" s="54"/>
      <c r="H951" s="54"/>
      <c r="I951" s="7"/>
      <c r="J951" s="9"/>
      <c r="K951" s="21"/>
      <c r="L951" s="77"/>
      <c r="M951" s="77"/>
      <c r="N951" s="77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</row>
    <row r="952" spans="1:27" ht="12.75" customHeight="1" x14ac:dyDescent="0.25">
      <c r="A952" s="79"/>
      <c r="B952" s="20"/>
      <c r="C952" s="82"/>
      <c r="D952" s="83"/>
      <c r="E952" s="79"/>
      <c r="F952" s="53"/>
      <c r="G952" s="54"/>
      <c r="H952" s="54"/>
      <c r="I952" s="7"/>
      <c r="J952" s="9"/>
      <c r="K952" s="21"/>
      <c r="L952" s="77"/>
      <c r="M952" s="77"/>
      <c r="N952" s="77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</row>
    <row r="953" spans="1:27" ht="12.75" customHeight="1" x14ac:dyDescent="0.25">
      <c r="A953" s="79"/>
      <c r="B953" s="20"/>
      <c r="C953" s="82"/>
      <c r="D953" s="83"/>
      <c r="E953" s="79"/>
      <c r="F953" s="53"/>
      <c r="G953" s="54"/>
      <c r="H953" s="54"/>
      <c r="I953" s="7"/>
      <c r="J953" s="9"/>
      <c r="K953" s="21"/>
      <c r="L953" s="77"/>
      <c r="M953" s="77"/>
      <c r="N953" s="77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</row>
    <row r="954" spans="1:27" ht="12.75" customHeight="1" x14ac:dyDescent="0.25">
      <c r="A954" s="79"/>
      <c r="B954" s="20"/>
      <c r="C954" s="82"/>
      <c r="D954" s="83"/>
      <c r="E954" s="79"/>
      <c r="F954" s="53"/>
      <c r="G954" s="54"/>
      <c r="H954" s="54"/>
      <c r="I954" s="7"/>
      <c r="J954" s="9"/>
      <c r="K954" s="21"/>
      <c r="L954" s="77"/>
      <c r="M954" s="77"/>
      <c r="N954" s="77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</row>
    <row r="955" spans="1:27" ht="12.75" customHeight="1" x14ac:dyDescent="0.25">
      <c r="A955" s="79"/>
      <c r="B955" s="20"/>
      <c r="C955" s="82"/>
      <c r="D955" s="83"/>
      <c r="E955" s="79"/>
      <c r="F955" s="53"/>
      <c r="G955" s="54"/>
      <c r="H955" s="54"/>
      <c r="I955" s="7"/>
      <c r="J955" s="9"/>
      <c r="K955" s="21"/>
      <c r="L955" s="77"/>
      <c r="M955" s="77"/>
      <c r="N955" s="77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</row>
    <row r="956" spans="1:27" ht="12.75" customHeight="1" x14ac:dyDescent="0.25">
      <c r="A956" s="79"/>
      <c r="B956" s="20"/>
      <c r="C956" s="82"/>
      <c r="D956" s="83"/>
      <c r="E956" s="79"/>
      <c r="F956" s="53"/>
      <c r="G956" s="54"/>
      <c r="H956" s="54"/>
      <c r="I956" s="7"/>
      <c r="J956" s="9"/>
      <c r="K956" s="21"/>
      <c r="L956" s="77"/>
      <c r="M956" s="77"/>
      <c r="N956" s="77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</row>
    <row r="957" spans="1:27" ht="12.75" customHeight="1" x14ac:dyDescent="0.25">
      <c r="A957" s="79"/>
      <c r="B957" s="20"/>
      <c r="C957" s="82"/>
      <c r="D957" s="83"/>
      <c r="E957" s="79"/>
      <c r="F957" s="53"/>
      <c r="G957" s="54"/>
      <c r="H957" s="54"/>
      <c r="I957" s="7"/>
      <c r="J957" s="9"/>
      <c r="K957" s="21"/>
      <c r="L957" s="77"/>
      <c r="M957" s="77"/>
      <c r="N957" s="77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</row>
    <row r="958" spans="1:27" ht="12.75" customHeight="1" x14ac:dyDescent="0.25">
      <c r="A958" s="79"/>
      <c r="B958" s="20"/>
      <c r="C958" s="82"/>
      <c r="D958" s="83"/>
      <c r="E958" s="79"/>
      <c r="F958" s="53"/>
      <c r="G958" s="54"/>
      <c r="H958" s="54"/>
      <c r="I958" s="7"/>
      <c r="J958" s="9"/>
      <c r="K958" s="21"/>
      <c r="L958" s="77"/>
      <c r="M958" s="77"/>
      <c r="N958" s="77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</row>
    <row r="959" spans="1:27" ht="12.75" customHeight="1" x14ac:dyDescent="0.25">
      <c r="A959" s="79"/>
      <c r="B959" s="20"/>
      <c r="C959" s="82"/>
      <c r="D959" s="83"/>
      <c r="E959" s="79"/>
      <c r="F959" s="53"/>
      <c r="G959" s="54"/>
      <c r="H959" s="54"/>
      <c r="I959" s="7"/>
      <c r="J959" s="9"/>
      <c r="K959" s="21"/>
      <c r="L959" s="77"/>
      <c r="M959" s="77"/>
      <c r="N959" s="77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</row>
    <row r="960" spans="1:27" ht="12.75" customHeight="1" x14ac:dyDescent="0.25">
      <c r="A960" s="79"/>
      <c r="B960" s="20"/>
      <c r="C960" s="82"/>
      <c r="D960" s="83"/>
      <c r="E960" s="79"/>
      <c r="F960" s="53"/>
      <c r="G960" s="54"/>
      <c r="H960" s="54"/>
      <c r="I960" s="7"/>
      <c r="J960" s="9"/>
      <c r="K960" s="21"/>
      <c r="L960" s="77"/>
      <c r="M960" s="77"/>
      <c r="N960" s="77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</row>
    <row r="961" spans="1:27" ht="12.75" customHeight="1" x14ac:dyDescent="0.25">
      <c r="A961" s="79"/>
      <c r="B961" s="20"/>
      <c r="C961" s="82"/>
      <c r="D961" s="83"/>
      <c r="E961" s="79"/>
      <c r="F961" s="53"/>
      <c r="G961" s="54"/>
      <c r="H961" s="54"/>
      <c r="I961" s="7"/>
      <c r="J961" s="9"/>
      <c r="K961" s="21"/>
      <c r="L961" s="77"/>
      <c r="M961" s="77"/>
      <c r="N961" s="77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</row>
    <row r="962" spans="1:27" ht="12.75" customHeight="1" x14ac:dyDescent="0.25">
      <c r="A962" s="79"/>
      <c r="B962" s="20"/>
      <c r="C962" s="82"/>
      <c r="D962" s="83"/>
      <c r="E962" s="79"/>
      <c r="F962" s="53"/>
      <c r="G962" s="54"/>
      <c r="H962" s="54"/>
      <c r="I962" s="7"/>
      <c r="J962" s="9"/>
      <c r="K962" s="21"/>
      <c r="L962" s="77"/>
      <c r="M962" s="77"/>
      <c r="N962" s="77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</row>
    <row r="963" spans="1:27" ht="12.75" customHeight="1" x14ac:dyDescent="0.25">
      <c r="A963" s="79"/>
      <c r="B963" s="20"/>
      <c r="C963" s="82"/>
      <c r="D963" s="83"/>
      <c r="E963" s="79"/>
      <c r="F963" s="53"/>
      <c r="G963" s="54"/>
      <c r="H963" s="54"/>
      <c r="I963" s="7"/>
      <c r="J963" s="9"/>
      <c r="K963" s="21"/>
      <c r="L963" s="77"/>
      <c r="M963" s="77"/>
      <c r="N963" s="77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</row>
    <row r="964" spans="1:27" ht="12.75" customHeight="1" x14ac:dyDescent="0.25">
      <c r="A964" s="79"/>
      <c r="B964" s="20"/>
      <c r="C964" s="82"/>
      <c r="D964" s="83"/>
      <c r="E964" s="79"/>
      <c r="F964" s="53"/>
      <c r="G964" s="54"/>
      <c r="H964" s="54"/>
      <c r="I964" s="7"/>
      <c r="J964" s="9"/>
      <c r="K964" s="21"/>
      <c r="L964" s="77"/>
      <c r="M964" s="77"/>
      <c r="N964" s="77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</row>
    <row r="965" spans="1:27" ht="12.75" customHeight="1" x14ac:dyDescent="0.25">
      <c r="A965" s="79"/>
      <c r="B965" s="20"/>
      <c r="C965" s="82"/>
      <c r="D965" s="83"/>
      <c r="E965" s="79"/>
      <c r="F965" s="53"/>
      <c r="G965" s="54"/>
      <c r="H965" s="54"/>
      <c r="I965" s="7"/>
      <c r="J965" s="9"/>
      <c r="K965" s="21"/>
      <c r="L965" s="77"/>
      <c r="M965" s="77"/>
      <c r="N965" s="77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</row>
    <row r="966" spans="1:27" ht="12.75" customHeight="1" x14ac:dyDescent="0.25">
      <c r="A966" s="79"/>
      <c r="B966" s="20"/>
      <c r="C966" s="82"/>
      <c r="D966" s="83"/>
      <c r="E966" s="79"/>
      <c r="F966" s="53"/>
      <c r="G966" s="54"/>
      <c r="H966" s="54"/>
      <c r="I966" s="7"/>
      <c r="J966" s="9"/>
      <c r="K966" s="21"/>
      <c r="L966" s="77"/>
      <c r="M966" s="77"/>
      <c r="N966" s="77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</row>
    <row r="967" spans="1:27" ht="12.75" customHeight="1" x14ac:dyDescent="0.25">
      <c r="A967" s="79"/>
      <c r="B967" s="20"/>
      <c r="C967" s="82"/>
      <c r="D967" s="83"/>
      <c r="E967" s="79"/>
      <c r="F967" s="53"/>
      <c r="G967" s="54"/>
      <c r="H967" s="54"/>
      <c r="I967" s="7"/>
      <c r="J967" s="9"/>
      <c r="K967" s="21"/>
      <c r="L967" s="77"/>
      <c r="M967" s="77"/>
      <c r="N967" s="77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</row>
    <row r="968" spans="1:27" ht="12.75" customHeight="1" x14ac:dyDescent="0.25">
      <c r="A968" s="79"/>
      <c r="B968" s="20"/>
      <c r="C968" s="82"/>
      <c r="D968" s="83"/>
      <c r="E968" s="79"/>
      <c r="F968" s="53"/>
      <c r="G968" s="54"/>
      <c r="H968" s="54"/>
      <c r="I968" s="7"/>
      <c r="J968" s="9"/>
      <c r="K968" s="21"/>
      <c r="L968" s="77"/>
      <c r="M968" s="77"/>
      <c r="N968" s="77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</row>
    <row r="969" spans="1:27" ht="12.75" customHeight="1" x14ac:dyDescent="0.25">
      <c r="A969" s="79"/>
      <c r="B969" s="20"/>
      <c r="C969" s="82"/>
      <c r="D969" s="83"/>
      <c r="E969" s="79"/>
      <c r="F969" s="53"/>
      <c r="G969" s="54"/>
      <c r="H969" s="54"/>
      <c r="I969" s="7"/>
      <c r="J969" s="9"/>
      <c r="K969" s="21"/>
      <c r="L969" s="77"/>
      <c r="M969" s="77"/>
      <c r="N969" s="77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</row>
    <row r="970" spans="1:27" ht="12.75" customHeight="1" x14ac:dyDescent="0.25">
      <c r="A970" s="79"/>
      <c r="B970" s="20"/>
      <c r="C970" s="82"/>
      <c r="D970" s="83"/>
      <c r="E970" s="79"/>
      <c r="F970" s="53"/>
      <c r="G970" s="54"/>
      <c r="H970" s="54"/>
      <c r="I970" s="7"/>
      <c r="J970" s="9"/>
      <c r="K970" s="21"/>
      <c r="L970" s="77"/>
      <c r="M970" s="77"/>
      <c r="N970" s="77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</row>
    <row r="971" spans="1:27" ht="12.75" customHeight="1" x14ac:dyDescent="0.25">
      <c r="A971" s="79"/>
      <c r="B971" s="20"/>
      <c r="C971" s="82"/>
      <c r="D971" s="83"/>
      <c r="E971" s="79"/>
      <c r="F971" s="53"/>
      <c r="G971" s="54"/>
      <c r="H971" s="54"/>
      <c r="I971" s="7"/>
      <c r="J971" s="9"/>
      <c r="K971" s="21"/>
      <c r="L971" s="77"/>
      <c r="M971" s="77"/>
      <c r="N971" s="77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</row>
    <row r="972" spans="1:27" ht="12.75" customHeight="1" x14ac:dyDescent="0.25">
      <c r="A972" s="79"/>
      <c r="B972" s="20"/>
      <c r="C972" s="82"/>
      <c r="D972" s="83"/>
      <c r="E972" s="79"/>
      <c r="F972" s="53"/>
      <c r="G972" s="54"/>
      <c r="H972" s="54"/>
      <c r="I972" s="7"/>
      <c r="J972" s="9"/>
      <c r="K972" s="21"/>
      <c r="L972" s="77"/>
      <c r="M972" s="77"/>
      <c r="N972" s="77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</row>
    <row r="973" spans="1:27" ht="12.75" customHeight="1" x14ac:dyDescent="0.25">
      <c r="A973" s="79"/>
      <c r="B973" s="20"/>
      <c r="C973" s="82"/>
      <c r="D973" s="83"/>
      <c r="E973" s="79"/>
      <c r="F973" s="53"/>
      <c r="G973" s="54"/>
      <c r="H973" s="54"/>
      <c r="I973" s="7"/>
      <c r="J973" s="9"/>
      <c r="K973" s="21"/>
      <c r="L973" s="77"/>
      <c r="M973" s="77"/>
      <c r="N973" s="77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</row>
    <row r="974" spans="1:27" ht="12.75" customHeight="1" x14ac:dyDescent="0.25">
      <c r="A974" s="79"/>
      <c r="B974" s="20"/>
      <c r="C974" s="82"/>
      <c r="D974" s="83"/>
      <c r="E974" s="79"/>
      <c r="F974" s="53"/>
      <c r="G974" s="54"/>
      <c r="H974" s="54"/>
      <c r="I974" s="7"/>
      <c r="J974" s="9"/>
      <c r="K974" s="21"/>
      <c r="L974" s="77"/>
      <c r="M974" s="77"/>
      <c r="N974" s="77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</row>
    <row r="975" spans="1:27" ht="12.75" customHeight="1" x14ac:dyDescent="0.25">
      <c r="A975" s="79"/>
      <c r="B975" s="20"/>
      <c r="C975" s="82"/>
      <c r="D975" s="83"/>
      <c r="E975" s="79"/>
      <c r="F975" s="53"/>
      <c r="G975" s="54"/>
      <c r="H975" s="54"/>
      <c r="I975" s="7"/>
      <c r="J975" s="9"/>
      <c r="K975" s="21"/>
      <c r="L975" s="77"/>
      <c r="M975" s="77"/>
      <c r="N975" s="77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</row>
    <row r="976" spans="1:27" ht="12.75" customHeight="1" x14ac:dyDescent="0.25">
      <c r="A976" s="79"/>
      <c r="B976" s="20"/>
      <c r="C976" s="82"/>
      <c r="D976" s="83"/>
      <c r="E976" s="79"/>
      <c r="F976" s="53"/>
      <c r="G976" s="54"/>
      <c r="H976" s="54"/>
      <c r="I976" s="7"/>
      <c r="J976" s="9"/>
      <c r="K976" s="21"/>
      <c r="L976" s="77"/>
      <c r="M976" s="77"/>
      <c r="N976" s="77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</row>
    <row r="977" spans="1:27" ht="12.75" customHeight="1" x14ac:dyDescent="0.25">
      <c r="A977" s="79"/>
      <c r="B977" s="20"/>
      <c r="C977" s="82"/>
      <c r="D977" s="83"/>
      <c r="E977" s="79"/>
      <c r="F977" s="53"/>
      <c r="G977" s="54"/>
      <c r="H977" s="54"/>
      <c r="I977" s="7"/>
      <c r="J977" s="9"/>
      <c r="K977" s="21"/>
      <c r="L977" s="77"/>
      <c r="M977" s="77"/>
      <c r="N977" s="77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</row>
    <row r="978" spans="1:27" ht="12.75" customHeight="1" x14ac:dyDescent="0.25">
      <c r="A978" s="79"/>
      <c r="B978" s="20"/>
      <c r="C978" s="82"/>
      <c r="D978" s="83"/>
      <c r="E978" s="79"/>
      <c r="F978" s="53"/>
      <c r="G978" s="54"/>
      <c r="H978" s="54"/>
      <c r="I978" s="7"/>
      <c r="J978" s="9"/>
      <c r="K978" s="21"/>
      <c r="L978" s="77"/>
      <c r="M978" s="77"/>
      <c r="N978" s="77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</row>
    <row r="979" spans="1:27" ht="12.75" customHeight="1" x14ac:dyDescent="0.25">
      <c r="A979" s="79"/>
      <c r="B979" s="20"/>
      <c r="C979" s="82"/>
      <c r="D979" s="83"/>
      <c r="E979" s="79"/>
      <c r="F979" s="53"/>
      <c r="G979" s="54"/>
      <c r="H979" s="54"/>
      <c r="I979" s="7"/>
      <c r="J979" s="9"/>
      <c r="K979" s="21"/>
      <c r="L979" s="77"/>
      <c r="M979" s="77"/>
      <c r="N979" s="77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</row>
    <row r="980" spans="1:27" ht="12.75" customHeight="1" x14ac:dyDescent="0.25">
      <c r="A980" s="79"/>
      <c r="B980" s="20"/>
      <c r="C980" s="82"/>
      <c r="D980" s="83"/>
      <c r="E980" s="79"/>
      <c r="F980" s="53"/>
      <c r="G980" s="54"/>
      <c r="H980" s="54"/>
      <c r="I980" s="7"/>
      <c r="J980" s="9"/>
      <c r="K980" s="21"/>
      <c r="L980" s="77"/>
      <c r="M980" s="77"/>
      <c r="N980" s="77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</row>
    <row r="981" spans="1:27" ht="12.75" customHeight="1" x14ac:dyDescent="0.25">
      <c r="A981" s="79"/>
      <c r="B981" s="20"/>
      <c r="C981" s="82"/>
      <c r="D981" s="83"/>
      <c r="E981" s="79"/>
      <c r="F981" s="53"/>
      <c r="G981" s="54"/>
      <c r="H981" s="54"/>
      <c r="I981" s="7"/>
      <c r="J981" s="9"/>
      <c r="K981" s="21"/>
      <c r="L981" s="77"/>
      <c r="M981" s="77"/>
      <c r="N981" s="77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</row>
    <row r="982" spans="1:27" ht="12.75" customHeight="1" x14ac:dyDescent="0.25">
      <c r="A982" s="79"/>
      <c r="B982" s="20"/>
      <c r="C982" s="82"/>
      <c r="D982" s="83"/>
      <c r="E982" s="79"/>
      <c r="F982" s="53"/>
      <c r="G982" s="54"/>
      <c r="H982" s="54"/>
      <c r="I982" s="7"/>
      <c r="J982" s="9"/>
      <c r="K982" s="21"/>
      <c r="L982" s="77"/>
      <c r="M982" s="77"/>
      <c r="N982" s="77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</row>
    <row r="983" spans="1:27" ht="12.75" customHeight="1" x14ac:dyDescent="0.25">
      <c r="A983" s="79"/>
      <c r="B983" s="20"/>
      <c r="C983" s="82"/>
      <c r="D983" s="83"/>
      <c r="E983" s="79"/>
      <c r="F983" s="53"/>
      <c r="G983" s="54"/>
      <c r="H983" s="54"/>
      <c r="I983" s="7"/>
      <c r="J983" s="9"/>
      <c r="K983" s="21"/>
      <c r="L983" s="77"/>
      <c r="M983" s="77"/>
      <c r="N983" s="77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</row>
    <row r="984" spans="1:27" ht="12.75" customHeight="1" x14ac:dyDescent="0.25">
      <c r="A984" s="79"/>
      <c r="B984" s="20"/>
      <c r="C984" s="82"/>
      <c r="D984" s="83"/>
      <c r="E984" s="79"/>
      <c r="F984" s="53"/>
      <c r="G984" s="54"/>
      <c r="H984" s="54"/>
      <c r="I984" s="7"/>
      <c r="J984" s="9"/>
      <c r="K984" s="21"/>
      <c r="L984" s="77"/>
      <c r="M984" s="77"/>
      <c r="N984" s="77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</row>
    <row r="985" spans="1:27" ht="12.75" customHeight="1" x14ac:dyDescent="0.25">
      <c r="A985" s="79"/>
      <c r="B985" s="20"/>
      <c r="C985" s="82"/>
      <c r="D985" s="83"/>
      <c r="E985" s="79"/>
      <c r="F985" s="53"/>
      <c r="G985" s="54"/>
      <c r="H985" s="54"/>
      <c r="I985" s="7"/>
      <c r="J985" s="9"/>
      <c r="K985" s="21"/>
      <c r="L985" s="77"/>
      <c r="M985" s="77"/>
      <c r="N985" s="77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</row>
    <row r="986" spans="1:27" ht="12.75" customHeight="1" x14ac:dyDescent="0.25">
      <c r="A986" s="79"/>
      <c r="B986" s="20"/>
      <c r="C986" s="82"/>
      <c r="D986" s="83"/>
      <c r="E986" s="79"/>
      <c r="F986" s="53"/>
      <c r="G986" s="54"/>
      <c r="H986" s="54"/>
      <c r="I986" s="7"/>
      <c r="J986" s="9"/>
      <c r="K986" s="21"/>
      <c r="L986" s="77"/>
      <c r="M986" s="77"/>
      <c r="N986" s="77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</row>
    <row r="987" spans="1:27" ht="12.75" customHeight="1" x14ac:dyDescent="0.25">
      <c r="A987" s="79"/>
      <c r="B987" s="20"/>
      <c r="C987" s="82"/>
      <c r="D987" s="83"/>
      <c r="E987" s="79"/>
      <c r="F987" s="53"/>
      <c r="G987" s="54"/>
      <c r="H987" s="54"/>
      <c r="I987" s="7"/>
      <c r="J987" s="9"/>
      <c r="K987" s="21"/>
      <c r="L987" s="77"/>
      <c r="M987" s="77"/>
      <c r="N987" s="77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</row>
    <row r="988" spans="1:27" ht="12.75" customHeight="1" x14ac:dyDescent="0.25">
      <c r="A988" s="79"/>
      <c r="B988" s="20"/>
      <c r="C988" s="82"/>
      <c r="D988" s="83"/>
      <c r="E988" s="79"/>
      <c r="F988" s="53"/>
      <c r="G988" s="54"/>
      <c r="H988" s="54"/>
      <c r="I988" s="7"/>
      <c r="J988" s="9"/>
      <c r="K988" s="21"/>
      <c r="L988" s="77"/>
      <c r="M988" s="77"/>
      <c r="N988" s="77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</row>
    <row r="989" spans="1:27" ht="12.75" customHeight="1" x14ac:dyDescent="0.25">
      <c r="A989" s="79"/>
      <c r="B989" s="20"/>
      <c r="C989" s="82"/>
      <c r="D989" s="83"/>
      <c r="E989" s="79"/>
      <c r="F989" s="53"/>
      <c r="G989" s="54"/>
      <c r="H989" s="54"/>
      <c r="I989" s="7"/>
      <c r="J989" s="9"/>
      <c r="K989" s="21"/>
      <c r="L989" s="77"/>
      <c r="M989" s="77"/>
      <c r="N989" s="77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</row>
    <row r="990" spans="1:27" ht="12.75" customHeight="1" x14ac:dyDescent="0.25">
      <c r="A990" s="79"/>
      <c r="B990" s="20"/>
      <c r="C990" s="82"/>
      <c r="D990" s="83"/>
      <c r="E990" s="79"/>
      <c r="F990" s="53"/>
      <c r="G990" s="54"/>
      <c r="H990" s="54"/>
      <c r="I990" s="7"/>
      <c r="J990" s="9"/>
      <c r="K990" s="21"/>
      <c r="L990" s="77"/>
      <c r="M990" s="77"/>
      <c r="N990" s="77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</row>
    <row r="991" spans="1:27" ht="12.75" customHeight="1" x14ac:dyDescent="0.25">
      <c r="A991" s="79"/>
      <c r="B991" s="20"/>
      <c r="C991" s="82"/>
      <c r="D991" s="83"/>
      <c r="E991" s="79"/>
      <c r="F991" s="53"/>
      <c r="G991" s="54"/>
      <c r="H991" s="54"/>
      <c r="I991" s="7"/>
      <c r="J991" s="9"/>
      <c r="K991" s="21"/>
      <c r="L991" s="77"/>
      <c r="M991" s="77"/>
      <c r="N991" s="77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</row>
    <row r="992" spans="1:27" ht="12.75" customHeight="1" x14ac:dyDescent="0.25">
      <c r="A992" s="79"/>
      <c r="B992" s="20"/>
      <c r="C992" s="82"/>
      <c r="D992" s="83"/>
      <c r="E992" s="79"/>
      <c r="F992" s="53"/>
      <c r="G992" s="54"/>
      <c r="H992" s="54"/>
      <c r="I992" s="7"/>
      <c r="J992" s="9"/>
      <c r="K992" s="21"/>
      <c r="L992" s="77"/>
      <c r="M992" s="77"/>
      <c r="N992" s="77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</row>
    <row r="993" spans="1:27" ht="12.75" customHeight="1" x14ac:dyDescent="0.25">
      <c r="A993" s="79"/>
      <c r="B993" s="20"/>
      <c r="C993" s="82"/>
      <c r="D993" s="83"/>
      <c r="E993" s="79"/>
      <c r="F993" s="53"/>
      <c r="G993" s="54"/>
      <c r="H993" s="54"/>
      <c r="I993" s="7"/>
      <c r="J993" s="9"/>
      <c r="K993" s="21"/>
      <c r="L993" s="77"/>
      <c r="M993" s="77"/>
      <c r="N993" s="77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</row>
    <row r="994" spans="1:27" ht="12.75" customHeight="1" x14ac:dyDescent="0.25">
      <c r="A994" s="79"/>
      <c r="B994" s="20"/>
      <c r="C994" s="82"/>
      <c r="D994" s="83"/>
      <c r="E994" s="79"/>
      <c r="F994" s="53"/>
      <c r="G994" s="54"/>
      <c r="H994" s="54"/>
      <c r="I994" s="7"/>
      <c r="J994" s="9"/>
      <c r="K994" s="21"/>
      <c r="L994" s="77"/>
      <c r="M994" s="77"/>
      <c r="N994" s="77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</row>
    <row r="995" spans="1:27" ht="12.75" customHeight="1" x14ac:dyDescent="0.25">
      <c r="A995" s="79"/>
      <c r="B995" s="20"/>
      <c r="C995" s="82"/>
      <c r="D995" s="83"/>
      <c r="E995" s="79"/>
      <c r="F995" s="53"/>
      <c r="G995" s="54"/>
      <c r="H995" s="54"/>
      <c r="I995" s="7"/>
      <c r="J995" s="9"/>
      <c r="K995" s="21"/>
      <c r="L995" s="77"/>
      <c r="M995" s="77"/>
      <c r="N995" s="77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</row>
    <row r="996" spans="1:27" ht="12.75" customHeight="1" x14ac:dyDescent="0.25">
      <c r="A996" s="79"/>
      <c r="B996" s="20"/>
      <c r="C996" s="82"/>
      <c r="D996" s="83"/>
      <c r="E996" s="79"/>
      <c r="F996" s="53"/>
      <c r="G996" s="54"/>
      <c r="H996" s="54"/>
      <c r="I996" s="7"/>
      <c r="J996" s="9"/>
      <c r="K996" s="21"/>
      <c r="L996" s="77"/>
      <c r="M996" s="77"/>
      <c r="N996" s="77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</row>
    <row r="997" spans="1:27" ht="12.75" customHeight="1" x14ac:dyDescent="0.25">
      <c r="A997" s="79"/>
      <c r="B997" s="20"/>
      <c r="C997" s="82"/>
      <c r="D997" s="83"/>
      <c r="E997" s="79"/>
      <c r="F997" s="53"/>
      <c r="G997" s="54"/>
      <c r="H997" s="54"/>
      <c r="I997" s="7"/>
      <c r="J997" s="9"/>
      <c r="K997" s="21"/>
      <c r="L997" s="77"/>
      <c r="M997" s="77"/>
      <c r="N997" s="77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</row>
    <row r="998" spans="1:27" ht="12.75" customHeight="1" x14ac:dyDescent="0.25">
      <c r="A998" s="79"/>
      <c r="B998" s="20"/>
      <c r="C998" s="82"/>
      <c r="D998" s="83"/>
      <c r="E998" s="79"/>
      <c r="F998" s="53"/>
      <c r="G998" s="54"/>
      <c r="H998" s="54"/>
      <c r="I998" s="7"/>
      <c r="J998" s="9"/>
      <c r="K998" s="21"/>
      <c r="L998" s="77"/>
      <c r="M998" s="77"/>
      <c r="N998" s="77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</row>
    <row r="999" spans="1:27" ht="12.75" customHeight="1" x14ac:dyDescent="0.25">
      <c r="A999" s="79"/>
      <c r="B999" s="20"/>
      <c r="C999" s="82"/>
      <c r="D999" s="83"/>
      <c r="E999" s="79"/>
      <c r="F999" s="53"/>
      <c r="G999" s="54"/>
      <c r="H999" s="54"/>
      <c r="I999" s="7"/>
      <c r="J999" s="9"/>
      <c r="K999" s="21"/>
      <c r="L999" s="77"/>
      <c r="M999" s="77"/>
      <c r="N999" s="77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</row>
    <row r="1000" spans="1:27" ht="12.75" customHeight="1" x14ac:dyDescent="0.25">
      <c r="A1000" s="79"/>
      <c r="B1000" s="20"/>
      <c r="C1000" s="82"/>
      <c r="D1000" s="83"/>
      <c r="E1000" s="79"/>
      <c r="F1000" s="66"/>
      <c r="G1000" s="21"/>
      <c r="H1000" s="21"/>
      <c r="I1000" s="20"/>
      <c r="J1000" s="20"/>
      <c r="K1000" s="20"/>
      <c r="L1000" s="77"/>
      <c r="M1000" s="77"/>
      <c r="N1000" s="77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</row>
  </sheetData>
  <conditionalFormatting sqref="J1:J2 I5:I46 J5:J47 I50:J58 I60:J72 I77:J81">
    <cfRule type="cellIs" dxfId="11" priority="1" operator="equal">
      <formula>0</formula>
    </cfRule>
  </conditionalFormatting>
  <conditionalFormatting sqref="J5:K47 J50:K58 J60:K72 J77:K81 K1:K2">
    <cfRule type="cellIs" dxfId="10" priority="2" operator="equal">
      <formula>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" customHeight="1" x14ac:dyDescent="0.25"/>
  <cols>
    <col min="1" max="1" width="8.33203125" customWidth="1"/>
    <col min="2" max="2" width="38.77734375" customWidth="1"/>
    <col min="3" max="3" width="10.6640625" customWidth="1"/>
    <col min="4" max="4" width="10.44140625" customWidth="1"/>
    <col min="5" max="5" width="11.109375" customWidth="1"/>
    <col min="6" max="7" width="15" customWidth="1"/>
    <col min="8" max="8" width="11.109375" customWidth="1"/>
    <col min="9" max="27" width="10" customWidth="1"/>
  </cols>
  <sheetData>
    <row r="1" spans="1:27" ht="12.75" customHeight="1" x14ac:dyDescent="0.25">
      <c r="A1" s="61" t="s">
        <v>13</v>
      </c>
      <c r="B1" s="57" t="s">
        <v>14</v>
      </c>
      <c r="C1" s="57" t="s">
        <v>15</v>
      </c>
      <c r="D1" s="57" t="s">
        <v>16</v>
      </c>
      <c r="E1" s="57" t="s">
        <v>17</v>
      </c>
      <c r="F1" s="6" t="s">
        <v>18</v>
      </c>
      <c r="G1" s="84" t="s">
        <v>19</v>
      </c>
      <c r="H1" s="84" t="s">
        <v>20</v>
      </c>
      <c r="I1" s="84" t="s">
        <v>21</v>
      </c>
      <c r="J1" s="85" t="s">
        <v>22</v>
      </c>
      <c r="K1" s="86" t="s">
        <v>23</v>
      </c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spans="1:27" ht="12.75" customHeight="1" x14ac:dyDescent="0.25">
      <c r="A2" s="61"/>
      <c r="B2" s="57"/>
      <c r="C2" s="57"/>
      <c r="D2" s="57"/>
      <c r="E2" s="57"/>
      <c r="F2" s="87"/>
      <c r="G2" s="88"/>
      <c r="H2" s="88"/>
      <c r="I2" s="88"/>
      <c r="J2" s="89"/>
      <c r="K2" s="90">
        <f>SUM(K3:K103)</f>
        <v>917.96999999999991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spans="1:27" ht="12.75" customHeight="1" x14ac:dyDescent="0.3">
      <c r="A3" s="51"/>
      <c r="B3" s="62" t="s">
        <v>644</v>
      </c>
      <c r="C3" s="14"/>
      <c r="D3" s="14"/>
      <c r="E3" s="14"/>
      <c r="F3" s="91"/>
      <c r="G3" s="92"/>
      <c r="H3" s="92"/>
      <c r="I3" s="92"/>
      <c r="J3" s="93"/>
      <c r="K3" s="9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2.75" customHeight="1" x14ac:dyDescent="0.25">
      <c r="A4" s="51"/>
      <c r="B4" s="14"/>
      <c r="C4" s="14"/>
      <c r="D4" s="14"/>
      <c r="E4" s="14"/>
      <c r="F4" s="87"/>
      <c r="G4" s="88"/>
      <c r="H4" s="88"/>
      <c r="I4" s="88"/>
      <c r="J4" s="94"/>
      <c r="K4" s="9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 customHeight="1" x14ac:dyDescent="0.25">
      <c r="A5" s="51">
        <v>275</v>
      </c>
      <c r="B5" s="14" t="s">
        <v>645</v>
      </c>
      <c r="C5" s="57">
        <v>31.15</v>
      </c>
      <c r="D5" s="57">
        <v>38</v>
      </c>
      <c r="E5" s="57">
        <v>40</v>
      </c>
      <c r="F5" s="91" t="s">
        <v>27</v>
      </c>
      <c r="G5" s="92"/>
      <c r="H5" s="92"/>
      <c r="I5" s="92">
        <v>3</v>
      </c>
      <c r="J5" s="8">
        <f t="shared" ref="J5:J8" si="0">SUM(G5:I5)</f>
        <v>3</v>
      </c>
      <c r="K5" s="9">
        <f t="shared" ref="K5:K8" si="1">SUM(C5*J5)</f>
        <v>93.449999999999989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2.75" customHeight="1" x14ac:dyDescent="0.25">
      <c r="A6" s="51">
        <v>275</v>
      </c>
      <c r="B6" s="14" t="s">
        <v>646</v>
      </c>
      <c r="C6" s="57">
        <v>1.3</v>
      </c>
      <c r="D6" s="57">
        <v>1.85</v>
      </c>
      <c r="E6" s="57">
        <v>1.9500000000000002</v>
      </c>
      <c r="F6" s="91" t="s">
        <v>27</v>
      </c>
      <c r="G6" s="92"/>
      <c r="H6" s="92"/>
      <c r="I6" s="92"/>
      <c r="J6" s="8">
        <f t="shared" si="0"/>
        <v>0</v>
      </c>
      <c r="K6" s="9">
        <f t="shared" si="1"/>
        <v>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2.75" customHeight="1" x14ac:dyDescent="0.25">
      <c r="A7" s="51">
        <v>700</v>
      </c>
      <c r="B7" s="14" t="s">
        <v>646</v>
      </c>
      <c r="C7" s="57">
        <v>3.37</v>
      </c>
      <c r="D7" s="57">
        <v>4.95</v>
      </c>
      <c r="E7" s="57">
        <v>4.95</v>
      </c>
      <c r="F7" s="91" t="s">
        <v>27</v>
      </c>
      <c r="G7" s="92"/>
      <c r="H7" s="92"/>
      <c r="I7" s="92" t="s">
        <v>647</v>
      </c>
      <c r="J7" s="8">
        <f t="shared" si="0"/>
        <v>0</v>
      </c>
      <c r="K7" s="9">
        <f t="shared" si="1"/>
        <v>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2.75" customHeight="1" x14ac:dyDescent="0.25">
      <c r="A8" s="51">
        <v>700</v>
      </c>
      <c r="B8" s="14" t="s">
        <v>648</v>
      </c>
      <c r="C8" s="57">
        <v>20.260000000000002</v>
      </c>
      <c r="D8" s="57">
        <v>29</v>
      </c>
      <c r="E8" s="57">
        <v>29</v>
      </c>
      <c r="F8" s="91" t="s">
        <v>27</v>
      </c>
      <c r="G8" s="92"/>
      <c r="H8" s="92"/>
      <c r="I8" s="92"/>
      <c r="J8" s="8">
        <f t="shared" si="0"/>
        <v>0</v>
      </c>
      <c r="K8" s="9">
        <f t="shared" si="1"/>
        <v>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2.75" customHeight="1" x14ac:dyDescent="0.25">
      <c r="A9" s="51"/>
      <c r="B9" s="14"/>
      <c r="C9" s="9"/>
      <c r="D9" s="9"/>
      <c r="E9" s="9"/>
      <c r="F9" s="91"/>
      <c r="G9" s="92"/>
      <c r="H9" s="92"/>
      <c r="I9" s="92"/>
      <c r="J9" s="85"/>
      <c r="K9" s="86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51">
        <v>275</v>
      </c>
      <c r="B10" s="14" t="s">
        <v>649</v>
      </c>
      <c r="C10" s="57">
        <v>30.4</v>
      </c>
      <c r="D10" s="57">
        <v>33</v>
      </c>
      <c r="E10" s="57">
        <v>38</v>
      </c>
      <c r="F10" s="91" t="s">
        <v>27</v>
      </c>
      <c r="G10" s="92"/>
      <c r="H10" s="92"/>
      <c r="I10" s="92">
        <v>5</v>
      </c>
      <c r="J10" s="8">
        <f t="shared" ref="J10:J13" si="2">SUM(G10:I10)</f>
        <v>5</v>
      </c>
      <c r="K10" s="9">
        <f t="shared" ref="K10:K13" si="3">SUM(C10*J10)</f>
        <v>152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51">
        <v>275</v>
      </c>
      <c r="B11" s="14" t="s">
        <v>650</v>
      </c>
      <c r="C11" s="57">
        <v>1.26</v>
      </c>
      <c r="D11" s="57">
        <v>1.5</v>
      </c>
      <c r="E11" s="57">
        <v>1.9500000000000002</v>
      </c>
      <c r="F11" s="91" t="s">
        <v>27</v>
      </c>
      <c r="G11" s="92"/>
      <c r="H11" s="92"/>
      <c r="I11" s="92"/>
      <c r="J11" s="8">
        <f t="shared" si="2"/>
        <v>0</v>
      </c>
      <c r="K11" s="9">
        <f t="shared" si="3"/>
        <v>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51">
        <v>700</v>
      </c>
      <c r="B12" s="14" t="s">
        <v>650</v>
      </c>
      <c r="C12" s="57">
        <v>4.0199999999999996</v>
      </c>
      <c r="D12" s="57">
        <v>4.95</v>
      </c>
      <c r="E12" s="57">
        <v>4.95</v>
      </c>
      <c r="F12" s="91" t="s">
        <v>27</v>
      </c>
      <c r="G12" s="92"/>
      <c r="H12" s="92"/>
      <c r="I12" s="92"/>
      <c r="J12" s="8">
        <f t="shared" si="2"/>
        <v>0</v>
      </c>
      <c r="K12" s="9">
        <f t="shared" si="3"/>
        <v>0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51">
        <v>700</v>
      </c>
      <c r="B13" s="14" t="s">
        <v>651</v>
      </c>
      <c r="C13" s="57">
        <v>24.12</v>
      </c>
      <c r="D13" s="57">
        <v>29</v>
      </c>
      <c r="E13" s="57">
        <v>29</v>
      </c>
      <c r="F13" s="91" t="s">
        <v>27</v>
      </c>
      <c r="G13" s="92"/>
      <c r="H13" s="92"/>
      <c r="I13" s="92">
        <v>2</v>
      </c>
      <c r="J13" s="8">
        <f t="shared" si="2"/>
        <v>2</v>
      </c>
      <c r="K13" s="9">
        <f t="shared" si="3"/>
        <v>48.24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51"/>
      <c r="B14" s="14"/>
      <c r="C14" s="9"/>
      <c r="D14" s="9"/>
      <c r="E14" s="9"/>
      <c r="F14" s="91"/>
      <c r="G14" s="92"/>
      <c r="H14" s="92"/>
      <c r="I14" s="92"/>
      <c r="J14" s="85"/>
      <c r="K14" s="86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51">
        <v>275</v>
      </c>
      <c r="B15" s="14" t="s">
        <v>652</v>
      </c>
      <c r="C15" s="57">
        <v>38.229999999999997</v>
      </c>
      <c r="D15" s="57">
        <v>43.5</v>
      </c>
      <c r="E15" s="57">
        <v>48</v>
      </c>
      <c r="F15" s="91" t="s">
        <v>27</v>
      </c>
      <c r="G15" s="92"/>
      <c r="H15" s="92"/>
      <c r="I15" s="92">
        <v>6</v>
      </c>
      <c r="J15" s="8">
        <f t="shared" ref="J15:J22" si="4">SUM(G15:I15)</f>
        <v>6</v>
      </c>
      <c r="K15" s="9">
        <f t="shared" ref="K15:K22" si="5">SUM(C15*J15)</f>
        <v>229.38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51">
        <v>275</v>
      </c>
      <c r="B16" s="14" t="s">
        <v>653</v>
      </c>
      <c r="C16" s="57">
        <v>1.59</v>
      </c>
      <c r="D16" s="57">
        <v>1.9500000000000002</v>
      </c>
      <c r="E16" s="57">
        <v>2.25</v>
      </c>
      <c r="F16" s="91" t="s">
        <v>27</v>
      </c>
      <c r="G16" s="92"/>
      <c r="H16" s="92"/>
      <c r="I16" s="92"/>
      <c r="J16" s="8">
        <f t="shared" si="4"/>
        <v>0</v>
      </c>
      <c r="K16" s="9">
        <f t="shared" si="5"/>
        <v>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51">
        <v>275</v>
      </c>
      <c r="B17" s="14" t="s">
        <v>654</v>
      </c>
      <c r="C17" s="57">
        <v>38.229999999999997</v>
      </c>
      <c r="D17" s="57">
        <v>43.5</v>
      </c>
      <c r="E17" s="57">
        <v>48</v>
      </c>
      <c r="F17" s="91" t="s">
        <v>27</v>
      </c>
      <c r="G17" s="92"/>
      <c r="H17" s="92"/>
      <c r="I17" s="92">
        <v>5</v>
      </c>
      <c r="J17" s="8">
        <f t="shared" si="4"/>
        <v>5</v>
      </c>
      <c r="K17" s="9">
        <f t="shared" si="5"/>
        <v>191.14999999999998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51">
        <v>275</v>
      </c>
      <c r="B18" s="14" t="s">
        <v>655</v>
      </c>
      <c r="C18" s="57">
        <v>1.59</v>
      </c>
      <c r="D18" s="57">
        <v>1.9500000000000002</v>
      </c>
      <c r="E18" s="57">
        <v>2.25</v>
      </c>
      <c r="F18" s="91" t="s">
        <v>27</v>
      </c>
      <c r="G18" s="92"/>
      <c r="H18" s="92"/>
      <c r="I18" s="92"/>
      <c r="J18" s="8">
        <f t="shared" si="4"/>
        <v>0</v>
      </c>
      <c r="K18" s="9">
        <f t="shared" si="5"/>
        <v>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51">
        <v>275</v>
      </c>
      <c r="B19" s="14" t="s">
        <v>656</v>
      </c>
      <c r="C19" s="57">
        <v>40.75</v>
      </c>
      <c r="D19" s="57">
        <v>45</v>
      </c>
      <c r="E19" s="57">
        <v>48</v>
      </c>
      <c r="F19" s="91" t="s">
        <v>27</v>
      </c>
      <c r="G19" s="92"/>
      <c r="H19" s="92"/>
      <c r="I19" s="92">
        <v>5</v>
      </c>
      <c r="J19" s="8">
        <f t="shared" si="4"/>
        <v>5</v>
      </c>
      <c r="K19" s="9">
        <f t="shared" si="5"/>
        <v>203.75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51">
        <v>275</v>
      </c>
      <c r="B20" s="14" t="s">
        <v>657</v>
      </c>
      <c r="C20" s="57">
        <v>1.7000000000000002</v>
      </c>
      <c r="D20" s="57">
        <v>1.9500000000000002</v>
      </c>
      <c r="E20" s="57">
        <v>2.25</v>
      </c>
      <c r="F20" s="91" t="s">
        <v>27</v>
      </c>
      <c r="G20" s="92"/>
      <c r="H20" s="92"/>
      <c r="I20" s="92"/>
      <c r="J20" s="8">
        <f t="shared" si="4"/>
        <v>0</v>
      </c>
      <c r="K20" s="9">
        <f t="shared" si="5"/>
        <v>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51">
        <v>275</v>
      </c>
      <c r="B21" s="14" t="s">
        <v>658</v>
      </c>
      <c r="C21" s="57">
        <v>22</v>
      </c>
      <c r="D21" s="57">
        <v>24</v>
      </c>
      <c r="E21" s="57">
        <v>24</v>
      </c>
      <c r="F21" s="91" t="s">
        <v>27</v>
      </c>
      <c r="G21" s="92"/>
      <c r="H21" s="92"/>
      <c r="I21" s="92" t="s">
        <v>63</v>
      </c>
      <c r="J21" s="8">
        <f t="shared" si="4"/>
        <v>0</v>
      </c>
      <c r="K21" s="9">
        <f t="shared" si="5"/>
        <v>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51">
        <v>275</v>
      </c>
      <c r="B22" s="14" t="s">
        <v>659</v>
      </c>
      <c r="C22" s="57">
        <v>1.83</v>
      </c>
      <c r="D22" s="57">
        <v>2</v>
      </c>
      <c r="E22" s="57">
        <v>2.25</v>
      </c>
      <c r="F22" s="91" t="s">
        <v>27</v>
      </c>
      <c r="G22" s="92"/>
      <c r="H22" s="92"/>
      <c r="I22" s="92"/>
      <c r="J22" s="8">
        <f t="shared" si="4"/>
        <v>0</v>
      </c>
      <c r="K22" s="9">
        <f t="shared" si="5"/>
        <v>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51"/>
      <c r="B23" s="14"/>
      <c r="C23" s="9"/>
      <c r="D23" s="9"/>
      <c r="E23" s="9"/>
      <c r="F23" s="91"/>
      <c r="G23" s="92"/>
      <c r="H23" s="92"/>
      <c r="I23" s="92"/>
      <c r="J23" s="2"/>
      <c r="K23" s="2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51"/>
      <c r="B24" s="14" t="s">
        <v>660</v>
      </c>
      <c r="C24" s="57">
        <v>1.81</v>
      </c>
      <c r="D24" s="57">
        <v>2.8</v>
      </c>
      <c r="E24" s="57">
        <v>2.8</v>
      </c>
      <c r="F24" s="91" t="s">
        <v>27</v>
      </c>
      <c r="G24" s="92"/>
      <c r="H24" s="92"/>
      <c r="I24" s="92"/>
      <c r="J24" s="8">
        <f>SUM(G24:I24)</f>
        <v>0</v>
      </c>
      <c r="K24" s="9">
        <f>SUM(C24*J24)</f>
        <v>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51"/>
      <c r="B25" s="14"/>
      <c r="C25" s="9"/>
      <c r="D25" s="9"/>
      <c r="E25" s="9"/>
      <c r="F25" s="91"/>
      <c r="G25" s="92"/>
      <c r="H25" s="92"/>
      <c r="I25" s="92"/>
      <c r="J25" s="8"/>
      <c r="K25" s="9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51"/>
      <c r="B26" s="14"/>
      <c r="C26" s="9"/>
      <c r="D26" s="9"/>
      <c r="E26" s="9"/>
      <c r="F26" s="91"/>
      <c r="G26" s="92"/>
      <c r="H26" s="92"/>
      <c r="I26" s="92"/>
      <c r="J26" s="8"/>
      <c r="K26" s="9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51"/>
      <c r="B27" s="14"/>
      <c r="C27" s="9"/>
      <c r="D27" s="9"/>
      <c r="E27" s="9"/>
      <c r="F27" s="91"/>
      <c r="G27" s="92"/>
      <c r="H27" s="92"/>
      <c r="I27" s="92"/>
      <c r="J27" s="8"/>
      <c r="K27" s="9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51"/>
      <c r="B28" s="14"/>
      <c r="C28" s="9"/>
      <c r="D28" s="9"/>
      <c r="E28" s="9"/>
      <c r="F28" s="91"/>
      <c r="G28" s="92"/>
      <c r="H28" s="92"/>
      <c r="I28" s="92"/>
      <c r="J28" s="8"/>
      <c r="K28" s="9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51"/>
      <c r="B29" s="14"/>
      <c r="C29" s="9"/>
      <c r="D29" s="9"/>
      <c r="E29" s="9"/>
      <c r="F29" s="91"/>
      <c r="G29" s="92"/>
      <c r="H29" s="92"/>
      <c r="I29" s="92"/>
      <c r="J29" s="8"/>
      <c r="K29" s="9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51"/>
      <c r="B30" s="14"/>
      <c r="C30" s="9"/>
      <c r="D30" s="9"/>
      <c r="E30" s="9"/>
      <c r="F30" s="91"/>
      <c r="G30" s="92"/>
      <c r="H30" s="92"/>
      <c r="I30" s="92"/>
      <c r="J30" s="8"/>
      <c r="K30" s="9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51"/>
      <c r="B31" s="14"/>
      <c r="C31" s="9"/>
      <c r="D31" s="9"/>
      <c r="E31" s="9"/>
      <c r="F31" s="91"/>
      <c r="G31" s="92"/>
      <c r="H31" s="92"/>
      <c r="I31" s="92"/>
      <c r="J31" s="8"/>
      <c r="K31" s="9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customHeight="1" x14ac:dyDescent="0.25">
      <c r="A32" s="51"/>
      <c r="B32" s="14"/>
      <c r="C32" s="9"/>
      <c r="D32" s="9"/>
      <c r="E32" s="9"/>
      <c r="F32" s="91"/>
      <c r="G32" s="92"/>
      <c r="H32" s="92"/>
      <c r="I32" s="92"/>
      <c r="J32" s="8"/>
      <c r="K32" s="9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75" customHeight="1" x14ac:dyDescent="0.25">
      <c r="A33" s="51"/>
      <c r="B33" s="14"/>
      <c r="C33" s="9"/>
      <c r="D33" s="9"/>
      <c r="E33" s="9"/>
      <c r="F33" s="91"/>
      <c r="G33" s="92"/>
      <c r="H33" s="92"/>
      <c r="I33" s="92"/>
      <c r="J33" s="8"/>
      <c r="K33" s="9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 customHeight="1" x14ac:dyDescent="0.25">
      <c r="A34" s="51"/>
      <c r="B34" s="14"/>
      <c r="C34" s="9"/>
      <c r="D34" s="9"/>
      <c r="E34" s="9"/>
      <c r="F34" s="91"/>
      <c r="G34" s="92"/>
      <c r="H34" s="92"/>
      <c r="I34" s="92"/>
      <c r="J34" s="8"/>
      <c r="K34" s="9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51"/>
      <c r="B35" s="14"/>
      <c r="C35" s="9"/>
      <c r="D35" s="9"/>
      <c r="E35" s="9"/>
      <c r="F35" s="91"/>
      <c r="G35" s="92"/>
      <c r="H35" s="92"/>
      <c r="I35" s="92"/>
      <c r="J35" s="95"/>
      <c r="K35" s="9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25">
      <c r="A36" s="51"/>
      <c r="B36" s="14"/>
      <c r="C36" s="9"/>
      <c r="D36" s="9"/>
      <c r="E36" s="9"/>
      <c r="F36" s="91"/>
      <c r="G36" s="92"/>
      <c r="H36" s="92"/>
      <c r="I36" s="92"/>
      <c r="J36" s="95"/>
      <c r="K36" s="9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51"/>
      <c r="B37" s="14"/>
      <c r="C37" s="9"/>
      <c r="D37" s="9"/>
      <c r="E37" s="9"/>
      <c r="F37" s="91"/>
      <c r="G37" s="92"/>
      <c r="H37" s="92"/>
      <c r="I37" s="92"/>
      <c r="J37" s="95"/>
      <c r="K37" s="9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51"/>
      <c r="B38" s="14"/>
      <c r="C38" s="9"/>
      <c r="D38" s="9"/>
      <c r="E38" s="9"/>
      <c r="F38" s="91"/>
      <c r="G38" s="92"/>
      <c r="H38" s="92"/>
      <c r="I38" s="92"/>
      <c r="J38" s="95"/>
      <c r="K38" s="9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51"/>
      <c r="B39" s="14"/>
      <c r="C39" s="9"/>
      <c r="D39" s="9"/>
      <c r="E39" s="9"/>
      <c r="F39" s="91"/>
      <c r="G39" s="92"/>
      <c r="H39" s="92"/>
      <c r="I39" s="92"/>
      <c r="J39" s="95"/>
      <c r="K39" s="9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51"/>
      <c r="B40" s="14"/>
      <c r="C40" s="9"/>
      <c r="D40" s="9"/>
      <c r="E40" s="9"/>
      <c r="F40" s="91"/>
      <c r="G40" s="92"/>
      <c r="H40" s="92"/>
      <c r="I40" s="92"/>
      <c r="J40" s="95"/>
      <c r="K40" s="9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51"/>
      <c r="B41" s="14"/>
      <c r="C41" s="9"/>
      <c r="D41" s="9"/>
      <c r="E41" s="9"/>
      <c r="F41" s="91"/>
      <c r="G41" s="92"/>
      <c r="H41" s="92"/>
      <c r="I41" s="92"/>
      <c r="J41" s="96">
        <f t="shared" ref="J41:J47" si="6">SUM(G41:I41)</f>
        <v>0</v>
      </c>
      <c r="K41" s="97">
        <f t="shared" ref="K41:K47" si="7">SUM(C41*J41)</f>
        <v>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51"/>
      <c r="B42" s="14"/>
      <c r="C42" s="9"/>
      <c r="D42" s="9"/>
      <c r="E42" s="9"/>
      <c r="F42" s="91"/>
      <c r="G42" s="92"/>
      <c r="H42" s="92"/>
      <c r="I42" s="92"/>
      <c r="J42" s="96">
        <f t="shared" si="6"/>
        <v>0</v>
      </c>
      <c r="K42" s="97">
        <f t="shared" si="7"/>
        <v>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51"/>
      <c r="B43" s="14"/>
      <c r="C43" s="9"/>
      <c r="D43" s="9"/>
      <c r="E43" s="9"/>
      <c r="F43" s="91"/>
      <c r="G43" s="92"/>
      <c r="H43" s="92"/>
      <c r="I43" s="92"/>
      <c r="J43" s="96">
        <f t="shared" si="6"/>
        <v>0</v>
      </c>
      <c r="K43" s="97">
        <f t="shared" si="7"/>
        <v>0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51"/>
      <c r="B44" s="14"/>
      <c r="C44" s="46"/>
      <c r="D44" s="9"/>
      <c r="E44" s="9"/>
      <c r="F44" s="91"/>
      <c r="G44" s="92"/>
      <c r="H44" s="92"/>
      <c r="I44" s="92"/>
      <c r="J44" s="96">
        <f t="shared" si="6"/>
        <v>0</v>
      </c>
      <c r="K44" s="97">
        <f t="shared" si="7"/>
        <v>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46"/>
      <c r="D45" s="9"/>
      <c r="E45" s="9"/>
      <c r="F45" s="91"/>
      <c r="G45" s="92"/>
      <c r="H45" s="92"/>
      <c r="I45" s="92"/>
      <c r="J45" s="96">
        <f t="shared" si="6"/>
        <v>0</v>
      </c>
      <c r="K45" s="97">
        <f t="shared" si="7"/>
        <v>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46"/>
      <c r="D46" s="9"/>
      <c r="E46" s="9"/>
      <c r="F46" s="91"/>
      <c r="G46" s="92"/>
      <c r="H46" s="92"/>
      <c r="I46" s="92"/>
      <c r="J46" s="96">
        <f t="shared" si="6"/>
        <v>0</v>
      </c>
      <c r="K46" s="97">
        <f t="shared" si="7"/>
        <v>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46"/>
      <c r="D47" s="9"/>
      <c r="E47" s="9"/>
      <c r="F47" s="91"/>
      <c r="G47" s="92"/>
      <c r="H47" s="92"/>
      <c r="I47" s="92"/>
      <c r="J47" s="96">
        <f t="shared" si="6"/>
        <v>0</v>
      </c>
      <c r="K47" s="97">
        <f t="shared" si="7"/>
        <v>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46"/>
      <c r="D48" s="9"/>
      <c r="E48" s="9"/>
      <c r="F48" s="91"/>
      <c r="G48" s="92"/>
      <c r="H48" s="92"/>
      <c r="I48" s="92"/>
      <c r="J48" s="93"/>
      <c r="K48" s="9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46"/>
      <c r="D49" s="9"/>
      <c r="E49" s="9"/>
      <c r="F49" s="91"/>
      <c r="G49" s="92"/>
      <c r="H49" s="92"/>
      <c r="I49" s="92"/>
      <c r="J49" s="93"/>
      <c r="K49" s="9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46"/>
      <c r="D50" s="9"/>
      <c r="E50" s="9"/>
      <c r="F50" s="91"/>
      <c r="G50" s="92"/>
      <c r="H50" s="92"/>
      <c r="I50" s="92"/>
      <c r="J50" s="95"/>
      <c r="K50" s="9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46"/>
      <c r="D51" s="9"/>
      <c r="E51" s="9"/>
      <c r="F51" s="91"/>
      <c r="G51" s="92"/>
      <c r="H51" s="92"/>
      <c r="I51" s="92"/>
      <c r="J51" s="95"/>
      <c r="K51" s="9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46"/>
      <c r="D52" s="9"/>
      <c r="E52" s="9"/>
      <c r="F52" s="91"/>
      <c r="G52" s="92"/>
      <c r="H52" s="92"/>
      <c r="I52" s="92"/>
      <c r="J52" s="95"/>
      <c r="K52" s="9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46"/>
      <c r="D53" s="9"/>
      <c r="E53" s="9"/>
      <c r="F53" s="91"/>
      <c r="G53" s="92"/>
      <c r="H53" s="92"/>
      <c r="I53" s="92"/>
      <c r="J53" s="95"/>
      <c r="K53" s="9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46"/>
      <c r="D54" s="9"/>
      <c r="E54" s="9"/>
      <c r="F54" s="91"/>
      <c r="G54" s="92"/>
      <c r="H54" s="92"/>
      <c r="I54" s="92"/>
      <c r="J54" s="95"/>
      <c r="K54" s="9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46"/>
      <c r="D55" s="9"/>
      <c r="E55" s="9"/>
      <c r="F55" s="91"/>
      <c r="G55" s="92"/>
      <c r="H55" s="92"/>
      <c r="I55" s="92"/>
      <c r="J55" s="95"/>
      <c r="K55" s="93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46"/>
      <c r="D56" s="9"/>
      <c r="E56" s="9"/>
      <c r="F56" s="91"/>
      <c r="G56" s="92"/>
      <c r="H56" s="92"/>
      <c r="I56" s="92"/>
      <c r="J56" s="95"/>
      <c r="K56" s="9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46"/>
      <c r="D57" s="9"/>
      <c r="E57" s="9"/>
      <c r="F57" s="91"/>
      <c r="G57" s="92"/>
      <c r="H57" s="92"/>
      <c r="I57" s="92"/>
      <c r="J57" s="95"/>
      <c r="K57" s="93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46"/>
      <c r="D58" s="9"/>
      <c r="E58" s="9"/>
      <c r="F58" s="91"/>
      <c r="G58" s="92"/>
      <c r="H58" s="92"/>
      <c r="I58" s="92"/>
      <c r="J58" s="95"/>
      <c r="K58" s="9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46"/>
      <c r="D59" s="9"/>
      <c r="E59" s="9"/>
      <c r="F59" s="91"/>
      <c r="G59" s="92"/>
      <c r="H59" s="92"/>
      <c r="I59" s="92"/>
      <c r="J59" s="93"/>
      <c r="K59" s="93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46"/>
      <c r="D60" s="9"/>
      <c r="E60" s="9"/>
      <c r="F60" s="91"/>
      <c r="G60" s="92"/>
      <c r="H60" s="92"/>
      <c r="I60" s="92"/>
      <c r="J60" s="95"/>
      <c r="K60" s="9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75" customHeight="1" x14ac:dyDescent="0.25">
      <c r="A61" s="14"/>
      <c r="B61" s="14"/>
      <c r="C61" s="46"/>
      <c r="D61" s="9"/>
      <c r="E61" s="9"/>
      <c r="F61" s="91"/>
      <c r="G61" s="92"/>
      <c r="H61" s="92"/>
      <c r="I61" s="92"/>
      <c r="J61" s="95"/>
      <c r="K61" s="9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46"/>
      <c r="D62" s="9"/>
      <c r="E62" s="9"/>
      <c r="F62" s="91"/>
      <c r="G62" s="92"/>
      <c r="H62" s="92"/>
      <c r="I62" s="92"/>
      <c r="J62" s="95"/>
      <c r="K62" s="9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46"/>
      <c r="D63" s="9"/>
      <c r="E63" s="9"/>
      <c r="F63" s="91"/>
      <c r="G63" s="92"/>
      <c r="H63" s="92"/>
      <c r="I63" s="92"/>
      <c r="J63" s="95"/>
      <c r="K63" s="9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46"/>
      <c r="D64" s="9"/>
      <c r="E64" s="9"/>
      <c r="F64" s="91"/>
      <c r="G64" s="92"/>
      <c r="H64" s="92"/>
      <c r="I64" s="92"/>
      <c r="J64" s="95"/>
      <c r="K64" s="9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46"/>
      <c r="D65" s="9"/>
      <c r="E65" s="9"/>
      <c r="F65" s="91"/>
      <c r="G65" s="92"/>
      <c r="H65" s="92"/>
      <c r="I65" s="92"/>
      <c r="J65" s="95"/>
      <c r="K65" s="9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46"/>
      <c r="D66" s="9"/>
      <c r="E66" s="9"/>
      <c r="F66" s="91"/>
      <c r="G66" s="92"/>
      <c r="H66" s="92"/>
      <c r="I66" s="92"/>
      <c r="J66" s="95"/>
      <c r="K66" s="9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46"/>
      <c r="D67" s="9"/>
      <c r="E67" s="9"/>
      <c r="F67" s="91"/>
      <c r="G67" s="92"/>
      <c r="H67" s="92"/>
      <c r="I67" s="92"/>
      <c r="J67" s="95"/>
      <c r="K67" s="93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46"/>
      <c r="D68" s="9"/>
      <c r="E68" s="9"/>
      <c r="F68" s="91"/>
      <c r="G68" s="92"/>
      <c r="H68" s="92"/>
      <c r="I68" s="92"/>
      <c r="J68" s="95"/>
      <c r="K68" s="93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46"/>
      <c r="D69" s="9"/>
      <c r="E69" s="9"/>
      <c r="F69" s="91"/>
      <c r="G69" s="92"/>
      <c r="H69" s="92"/>
      <c r="I69" s="92"/>
      <c r="J69" s="95"/>
      <c r="K69" s="93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46"/>
      <c r="D70" s="9"/>
      <c r="E70" s="9"/>
      <c r="F70" s="91"/>
      <c r="G70" s="92"/>
      <c r="H70" s="92"/>
      <c r="I70" s="92"/>
      <c r="J70" s="95"/>
      <c r="K70" s="93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46"/>
      <c r="D71" s="9"/>
      <c r="E71" s="9"/>
      <c r="F71" s="91"/>
      <c r="G71" s="92"/>
      <c r="H71" s="92"/>
      <c r="I71" s="92"/>
      <c r="J71" s="95"/>
      <c r="K71" s="93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46"/>
      <c r="D72" s="9"/>
      <c r="E72" s="9"/>
      <c r="F72" s="91"/>
      <c r="G72" s="92"/>
      <c r="H72" s="92"/>
      <c r="I72" s="92"/>
      <c r="J72" s="95"/>
      <c r="K72" s="93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46"/>
      <c r="D73" s="9"/>
      <c r="E73" s="9"/>
      <c r="F73" s="91"/>
      <c r="G73" s="92"/>
      <c r="H73" s="92"/>
      <c r="I73" s="92"/>
      <c r="J73" s="93"/>
      <c r="K73" s="93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46"/>
      <c r="D74" s="9"/>
      <c r="E74" s="9"/>
      <c r="F74" s="91"/>
      <c r="G74" s="92"/>
      <c r="H74" s="92"/>
      <c r="I74" s="92"/>
      <c r="J74" s="93"/>
      <c r="K74" s="93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46"/>
      <c r="D75" s="9"/>
      <c r="E75" s="9"/>
      <c r="F75" s="91"/>
      <c r="G75" s="92"/>
      <c r="H75" s="92"/>
      <c r="I75" s="92"/>
      <c r="J75" s="93"/>
      <c r="K75" s="93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46"/>
      <c r="D76" s="9"/>
      <c r="E76" s="9"/>
      <c r="F76" s="91"/>
      <c r="G76" s="92"/>
      <c r="H76" s="92"/>
      <c r="I76" s="92"/>
      <c r="J76" s="93"/>
      <c r="K76" s="93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46"/>
      <c r="D77" s="9"/>
      <c r="E77" s="9"/>
      <c r="F77" s="91"/>
      <c r="G77" s="92"/>
      <c r="H77" s="92"/>
      <c r="I77" s="92"/>
      <c r="J77" s="95"/>
      <c r="K77" s="93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46"/>
      <c r="D78" s="9"/>
      <c r="E78" s="9"/>
      <c r="F78" s="91"/>
      <c r="G78" s="92"/>
      <c r="H78" s="92"/>
      <c r="I78" s="92"/>
      <c r="J78" s="95"/>
      <c r="K78" s="93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46"/>
      <c r="D79" s="9"/>
      <c r="E79" s="9"/>
      <c r="F79" s="91"/>
      <c r="G79" s="92"/>
      <c r="H79" s="92"/>
      <c r="I79" s="92"/>
      <c r="J79" s="95"/>
      <c r="K79" s="93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46"/>
      <c r="D80" s="9"/>
      <c r="E80" s="9"/>
      <c r="F80" s="91"/>
      <c r="G80" s="92"/>
      <c r="H80" s="92"/>
      <c r="I80" s="92"/>
      <c r="J80" s="95"/>
      <c r="K80" s="93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46"/>
      <c r="D81" s="9"/>
      <c r="E81" s="9"/>
      <c r="F81" s="91"/>
      <c r="G81" s="92"/>
      <c r="H81" s="92"/>
      <c r="I81" s="92"/>
      <c r="J81" s="95"/>
      <c r="K81" s="93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46"/>
      <c r="D82" s="9"/>
      <c r="E82" s="9"/>
      <c r="F82" s="91"/>
      <c r="G82" s="92"/>
      <c r="H82" s="92"/>
      <c r="I82" s="92"/>
      <c r="J82" s="93"/>
      <c r="K82" s="93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46"/>
      <c r="D83" s="9"/>
      <c r="E83" s="9"/>
      <c r="F83" s="91"/>
      <c r="G83" s="92"/>
      <c r="H83" s="92"/>
      <c r="I83" s="92"/>
      <c r="J83" s="93"/>
      <c r="K83" s="93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46"/>
      <c r="D84" s="9"/>
      <c r="E84" s="9"/>
      <c r="F84" s="91"/>
      <c r="G84" s="92"/>
      <c r="H84" s="92"/>
      <c r="I84" s="92"/>
      <c r="J84" s="93"/>
      <c r="K84" s="93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46"/>
      <c r="D85" s="9"/>
      <c r="E85" s="9"/>
      <c r="F85" s="91"/>
      <c r="G85" s="92"/>
      <c r="H85" s="92"/>
      <c r="I85" s="92"/>
      <c r="J85" s="93"/>
      <c r="K85" s="93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46"/>
      <c r="D86" s="9"/>
      <c r="E86" s="9"/>
      <c r="F86" s="91"/>
      <c r="G86" s="92"/>
      <c r="H86" s="92"/>
      <c r="I86" s="92"/>
      <c r="J86" s="93"/>
      <c r="K86" s="93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46"/>
      <c r="D87" s="9"/>
      <c r="E87" s="9"/>
      <c r="F87" s="91"/>
      <c r="G87" s="92"/>
      <c r="H87" s="92"/>
      <c r="I87" s="92"/>
      <c r="J87" s="93"/>
      <c r="K87" s="93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46"/>
      <c r="D88" s="9"/>
      <c r="E88" s="9"/>
      <c r="F88" s="91"/>
      <c r="G88" s="92"/>
      <c r="H88" s="92"/>
      <c r="I88" s="92"/>
      <c r="J88" s="93"/>
      <c r="K88" s="93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46"/>
      <c r="D89" s="9"/>
      <c r="E89" s="9"/>
      <c r="F89" s="91"/>
      <c r="G89" s="92"/>
      <c r="H89" s="92"/>
      <c r="I89" s="92"/>
      <c r="J89" s="93"/>
      <c r="K89" s="93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46"/>
      <c r="D90" s="9"/>
      <c r="E90" s="9"/>
      <c r="F90" s="91"/>
      <c r="G90" s="92"/>
      <c r="H90" s="92"/>
      <c r="I90" s="92"/>
      <c r="J90" s="93"/>
      <c r="K90" s="93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46"/>
      <c r="D91" s="9"/>
      <c r="E91" s="9"/>
      <c r="F91" s="91"/>
      <c r="G91" s="92"/>
      <c r="H91" s="92"/>
      <c r="I91" s="92"/>
      <c r="J91" s="93"/>
      <c r="K91" s="93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46"/>
      <c r="D92" s="9"/>
      <c r="E92" s="9"/>
      <c r="F92" s="91"/>
      <c r="G92" s="92"/>
      <c r="H92" s="92"/>
      <c r="I92" s="92"/>
      <c r="J92" s="93"/>
      <c r="K92" s="93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46"/>
      <c r="D93" s="9"/>
      <c r="E93" s="9"/>
      <c r="F93" s="91"/>
      <c r="G93" s="92"/>
      <c r="H93" s="92"/>
      <c r="I93" s="92"/>
      <c r="J93" s="93"/>
      <c r="K93" s="93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46"/>
      <c r="D94" s="9"/>
      <c r="E94" s="9"/>
      <c r="F94" s="91"/>
      <c r="G94" s="92"/>
      <c r="H94" s="92"/>
      <c r="I94" s="92"/>
      <c r="J94" s="93"/>
      <c r="K94" s="93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46"/>
      <c r="D95" s="9"/>
      <c r="E95" s="9"/>
      <c r="F95" s="91"/>
      <c r="G95" s="92"/>
      <c r="H95" s="92"/>
      <c r="I95" s="92"/>
      <c r="J95" s="93"/>
      <c r="K95" s="93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46"/>
      <c r="D96" s="9"/>
      <c r="E96" s="9"/>
      <c r="F96" s="91"/>
      <c r="G96" s="92"/>
      <c r="H96" s="92"/>
      <c r="I96" s="92"/>
      <c r="J96" s="93"/>
      <c r="K96" s="93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46"/>
      <c r="D97" s="9"/>
      <c r="E97" s="9"/>
      <c r="F97" s="91"/>
      <c r="G97" s="92"/>
      <c r="H97" s="92"/>
      <c r="I97" s="92"/>
      <c r="J97" s="93"/>
      <c r="K97" s="93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46"/>
      <c r="D98" s="9"/>
      <c r="E98" s="9"/>
      <c r="F98" s="91"/>
      <c r="G98" s="92"/>
      <c r="H98" s="92"/>
      <c r="I98" s="92"/>
      <c r="J98" s="93"/>
      <c r="K98" s="93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46"/>
      <c r="D99" s="9"/>
      <c r="E99" s="9"/>
      <c r="F99" s="91"/>
      <c r="G99" s="92"/>
      <c r="H99" s="92"/>
      <c r="I99" s="92"/>
      <c r="J99" s="93"/>
      <c r="K99" s="93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46"/>
      <c r="D100" s="9"/>
      <c r="E100" s="9"/>
      <c r="F100" s="91"/>
      <c r="G100" s="92"/>
      <c r="H100" s="92"/>
      <c r="I100" s="92"/>
      <c r="J100" s="93"/>
      <c r="K100" s="93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46"/>
      <c r="D101" s="9"/>
      <c r="E101" s="9"/>
      <c r="F101" s="91"/>
      <c r="G101" s="92"/>
      <c r="H101" s="92"/>
      <c r="I101" s="92"/>
      <c r="J101" s="93"/>
      <c r="K101" s="93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46"/>
      <c r="D102" s="9"/>
      <c r="E102" s="9"/>
      <c r="F102" s="91"/>
      <c r="G102" s="92"/>
      <c r="H102" s="92"/>
      <c r="I102" s="92"/>
      <c r="J102" s="93"/>
      <c r="K102" s="93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46"/>
      <c r="D103" s="9"/>
      <c r="E103" s="9"/>
      <c r="F103" s="91"/>
      <c r="G103" s="92"/>
      <c r="H103" s="92"/>
      <c r="I103" s="92"/>
      <c r="J103" s="93"/>
      <c r="K103" s="93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46"/>
      <c r="D104" s="9"/>
      <c r="E104" s="9"/>
      <c r="F104" s="91"/>
      <c r="G104" s="92"/>
      <c r="H104" s="92"/>
      <c r="I104" s="92"/>
      <c r="J104" s="93"/>
      <c r="K104" s="93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46"/>
      <c r="D105" s="9"/>
      <c r="E105" s="9"/>
      <c r="F105" s="91"/>
      <c r="G105" s="92"/>
      <c r="H105" s="92"/>
      <c r="I105" s="92"/>
      <c r="J105" s="93"/>
      <c r="K105" s="93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46"/>
      <c r="D106" s="9"/>
      <c r="E106" s="9"/>
      <c r="F106" s="91"/>
      <c r="G106" s="92"/>
      <c r="H106" s="92"/>
      <c r="I106" s="92"/>
      <c r="J106" s="93"/>
      <c r="K106" s="93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46"/>
      <c r="D107" s="9"/>
      <c r="E107" s="9"/>
      <c r="F107" s="91"/>
      <c r="G107" s="92"/>
      <c r="H107" s="92"/>
      <c r="I107" s="92"/>
      <c r="J107" s="93"/>
      <c r="K107" s="93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46"/>
      <c r="D108" s="9"/>
      <c r="E108" s="9"/>
      <c r="F108" s="91"/>
      <c r="G108" s="92"/>
      <c r="H108" s="92"/>
      <c r="I108" s="92"/>
      <c r="J108" s="93"/>
      <c r="K108" s="93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46"/>
      <c r="D109" s="9"/>
      <c r="E109" s="9"/>
      <c r="F109" s="91"/>
      <c r="G109" s="92"/>
      <c r="H109" s="92"/>
      <c r="I109" s="92"/>
      <c r="J109" s="93"/>
      <c r="K109" s="93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46"/>
      <c r="D110" s="9"/>
      <c r="E110" s="9"/>
      <c r="F110" s="91"/>
      <c r="G110" s="92"/>
      <c r="H110" s="92"/>
      <c r="I110" s="92"/>
      <c r="J110" s="93"/>
      <c r="K110" s="93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46"/>
      <c r="D111" s="9"/>
      <c r="E111" s="9"/>
      <c r="F111" s="91"/>
      <c r="G111" s="92"/>
      <c r="H111" s="92"/>
      <c r="I111" s="92"/>
      <c r="J111" s="93"/>
      <c r="K111" s="93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46"/>
      <c r="D112" s="9"/>
      <c r="E112" s="9"/>
      <c r="F112" s="91"/>
      <c r="G112" s="92"/>
      <c r="H112" s="92"/>
      <c r="I112" s="92"/>
      <c r="J112" s="93"/>
      <c r="K112" s="93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46"/>
      <c r="D113" s="9"/>
      <c r="E113" s="9"/>
      <c r="F113" s="91"/>
      <c r="G113" s="92"/>
      <c r="H113" s="92"/>
      <c r="I113" s="92"/>
      <c r="J113" s="93"/>
      <c r="K113" s="93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46"/>
      <c r="D114" s="9"/>
      <c r="E114" s="9"/>
      <c r="F114" s="91"/>
      <c r="G114" s="92"/>
      <c r="H114" s="92"/>
      <c r="I114" s="92"/>
      <c r="J114" s="93"/>
      <c r="K114" s="93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46"/>
      <c r="D115" s="9"/>
      <c r="E115" s="9"/>
      <c r="F115" s="91"/>
      <c r="G115" s="92"/>
      <c r="H115" s="92"/>
      <c r="I115" s="92"/>
      <c r="J115" s="93"/>
      <c r="K115" s="93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46"/>
      <c r="D116" s="9"/>
      <c r="E116" s="9"/>
      <c r="F116" s="91"/>
      <c r="G116" s="92"/>
      <c r="H116" s="92"/>
      <c r="I116" s="92"/>
      <c r="J116" s="93"/>
      <c r="K116" s="93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46"/>
      <c r="D117" s="9"/>
      <c r="E117" s="9"/>
      <c r="F117" s="91"/>
      <c r="G117" s="92"/>
      <c r="H117" s="92"/>
      <c r="I117" s="92"/>
      <c r="J117" s="93"/>
      <c r="K117" s="93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46"/>
      <c r="D118" s="9"/>
      <c r="E118" s="9"/>
      <c r="F118" s="91"/>
      <c r="G118" s="92"/>
      <c r="H118" s="92"/>
      <c r="I118" s="92"/>
      <c r="J118" s="93"/>
      <c r="K118" s="93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46"/>
      <c r="D119" s="9"/>
      <c r="E119" s="9"/>
      <c r="F119" s="91"/>
      <c r="G119" s="92"/>
      <c r="H119" s="92"/>
      <c r="I119" s="92"/>
      <c r="J119" s="93"/>
      <c r="K119" s="93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46"/>
      <c r="D120" s="9"/>
      <c r="E120" s="9"/>
      <c r="F120" s="91"/>
      <c r="G120" s="92"/>
      <c r="H120" s="92"/>
      <c r="I120" s="92"/>
      <c r="J120" s="93"/>
      <c r="K120" s="93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46"/>
      <c r="D121" s="9"/>
      <c r="E121" s="9"/>
      <c r="F121" s="91"/>
      <c r="G121" s="92"/>
      <c r="H121" s="92"/>
      <c r="I121" s="92"/>
      <c r="J121" s="93"/>
      <c r="K121" s="93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46"/>
      <c r="D122" s="9"/>
      <c r="E122" s="9"/>
      <c r="F122" s="91"/>
      <c r="G122" s="92"/>
      <c r="H122" s="92"/>
      <c r="I122" s="92"/>
      <c r="J122" s="93"/>
      <c r="K122" s="93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46"/>
      <c r="D123" s="9"/>
      <c r="E123" s="9"/>
      <c r="F123" s="91"/>
      <c r="G123" s="92"/>
      <c r="H123" s="92"/>
      <c r="I123" s="92"/>
      <c r="J123" s="93"/>
      <c r="K123" s="93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46"/>
      <c r="D124" s="9"/>
      <c r="E124" s="9"/>
      <c r="F124" s="91"/>
      <c r="G124" s="92"/>
      <c r="H124" s="92"/>
      <c r="I124" s="92"/>
      <c r="J124" s="93"/>
      <c r="K124" s="93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46"/>
      <c r="D125" s="9"/>
      <c r="E125" s="9"/>
      <c r="F125" s="91"/>
      <c r="G125" s="92"/>
      <c r="H125" s="92"/>
      <c r="I125" s="92"/>
      <c r="J125" s="93"/>
      <c r="K125" s="93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46"/>
      <c r="D126" s="9"/>
      <c r="E126" s="9"/>
      <c r="F126" s="91"/>
      <c r="G126" s="92"/>
      <c r="H126" s="92"/>
      <c r="I126" s="92"/>
      <c r="J126" s="93"/>
      <c r="K126" s="93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46"/>
      <c r="D127" s="9"/>
      <c r="E127" s="9"/>
      <c r="F127" s="91"/>
      <c r="G127" s="92"/>
      <c r="H127" s="92"/>
      <c r="I127" s="92"/>
      <c r="J127" s="93"/>
      <c r="K127" s="93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46"/>
      <c r="D128" s="9"/>
      <c r="E128" s="9"/>
      <c r="F128" s="91"/>
      <c r="G128" s="92"/>
      <c r="H128" s="92"/>
      <c r="I128" s="92"/>
      <c r="J128" s="93"/>
      <c r="K128" s="93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46"/>
      <c r="D129" s="9"/>
      <c r="E129" s="9"/>
      <c r="F129" s="91"/>
      <c r="G129" s="92"/>
      <c r="H129" s="92"/>
      <c r="I129" s="92"/>
      <c r="J129" s="93"/>
      <c r="K129" s="93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46"/>
      <c r="D130" s="9"/>
      <c r="E130" s="9"/>
      <c r="F130" s="91"/>
      <c r="G130" s="92"/>
      <c r="H130" s="92"/>
      <c r="I130" s="92"/>
      <c r="J130" s="93"/>
      <c r="K130" s="93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46"/>
      <c r="D131" s="9"/>
      <c r="E131" s="9"/>
      <c r="F131" s="91"/>
      <c r="G131" s="92"/>
      <c r="H131" s="92"/>
      <c r="I131" s="92"/>
      <c r="J131" s="93"/>
      <c r="K131" s="93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46"/>
      <c r="D132" s="9"/>
      <c r="E132" s="9"/>
      <c r="F132" s="91"/>
      <c r="G132" s="92"/>
      <c r="H132" s="92"/>
      <c r="I132" s="92"/>
      <c r="J132" s="93"/>
      <c r="K132" s="93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46"/>
      <c r="D133" s="9"/>
      <c r="E133" s="9"/>
      <c r="F133" s="91"/>
      <c r="G133" s="92"/>
      <c r="H133" s="92"/>
      <c r="I133" s="92"/>
      <c r="J133" s="93"/>
      <c r="K133" s="93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46"/>
      <c r="D134" s="9"/>
      <c r="E134" s="9"/>
      <c r="F134" s="91"/>
      <c r="G134" s="92"/>
      <c r="H134" s="92"/>
      <c r="I134" s="92"/>
      <c r="J134" s="93"/>
      <c r="K134" s="93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46"/>
      <c r="D135" s="9"/>
      <c r="E135" s="9"/>
      <c r="F135" s="91"/>
      <c r="G135" s="92"/>
      <c r="H135" s="92"/>
      <c r="I135" s="92"/>
      <c r="J135" s="93"/>
      <c r="K135" s="93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46"/>
      <c r="D136" s="9"/>
      <c r="E136" s="9"/>
      <c r="F136" s="91"/>
      <c r="G136" s="92"/>
      <c r="H136" s="92"/>
      <c r="I136" s="92"/>
      <c r="J136" s="93"/>
      <c r="K136" s="93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46"/>
      <c r="D137" s="9"/>
      <c r="E137" s="9"/>
      <c r="F137" s="91"/>
      <c r="G137" s="92"/>
      <c r="H137" s="92"/>
      <c r="I137" s="92"/>
      <c r="J137" s="93"/>
      <c r="K137" s="93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46"/>
      <c r="D138" s="9"/>
      <c r="E138" s="9"/>
      <c r="F138" s="91"/>
      <c r="G138" s="92"/>
      <c r="H138" s="92"/>
      <c r="I138" s="92"/>
      <c r="J138" s="93"/>
      <c r="K138" s="93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46"/>
      <c r="D139" s="9"/>
      <c r="E139" s="9"/>
      <c r="F139" s="91"/>
      <c r="G139" s="92"/>
      <c r="H139" s="92"/>
      <c r="I139" s="92"/>
      <c r="J139" s="93"/>
      <c r="K139" s="93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46"/>
      <c r="D140" s="9"/>
      <c r="E140" s="9"/>
      <c r="F140" s="91"/>
      <c r="G140" s="92"/>
      <c r="H140" s="92"/>
      <c r="I140" s="92"/>
      <c r="J140" s="93"/>
      <c r="K140" s="93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46"/>
      <c r="D141" s="9"/>
      <c r="E141" s="9"/>
      <c r="F141" s="91"/>
      <c r="G141" s="92"/>
      <c r="H141" s="92"/>
      <c r="I141" s="92"/>
      <c r="J141" s="93"/>
      <c r="K141" s="93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46"/>
      <c r="D142" s="9"/>
      <c r="E142" s="9"/>
      <c r="F142" s="91"/>
      <c r="G142" s="92"/>
      <c r="H142" s="92"/>
      <c r="I142" s="92"/>
      <c r="J142" s="93"/>
      <c r="K142" s="93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46"/>
      <c r="D143" s="9"/>
      <c r="E143" s="9"/>
      <c r="F143" s="91"/>
      <c r="G143" s="92"/>
      <c r="H143" s="92"/>
      <c r="I143" s="92"/>
      <c r="J143" s="93"/>
      <c r="K143" s="93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46"/>
      <c r="D144" s="9"/>
      <c r="E144" s="9"/>
      <c r="F144" s="91"/>
      <c r="G144" s="92"/>
      <c r="H144" s="92"/>
      <c r="I144" s="92"/>
      <c r="J144" s="93"/>
      <c r="K144" s="93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46"/>
      <c r="D145" s="9"/>
      <c r="E145" s="9"/>
      <c r="F145" s="91"/>
      <c r="G145" s="92"/>
      <c r="H145" s="92"/>
      <c r="I145" s="92"/>
      <c r="J145" s="93"/>
      <c r="K145" s="93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46"/>
      <c r="D146" s="9"/>
      <c r="E146" s="9"/>
      <c r="F146" s="91"/>
      <c r="G146" s="92"/>
      <c r="H146" s="92"/>
      <c r="I146" s="92"/>
      <c r="J146" s="93"/>
      <c r="K146" s="93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46"/>
      <c r="D147" s="9"/>
      <c r="E147" s="9"/>
      <c r="F147" s="91"/>
      <c r="G147" s="92"/>
      <c r="H147" s="92"/>
      <c r="I147" s="92"/>
      <c r="J147" s="93"/>
      <c r="K147" s="93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46"/>
      <c r="D148" s="9"/>
      <c r="E148" s="9"/>
      <c r="F148" s="91"/>
      <c r="G148" s="92"/>
      <c r="H148" s="92"/>
      <c r="I148" s="92"/>
      <c r="J148" s="93"/>
      <c r="K148" s="93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46"/>
      <c r="D149" s="9"/>
      <c r="E149" s="9"/>
      <c r="F149" s="91"/>
      <c r="G149" s="92"/>
      <c r="H149" s="92"/>
      <c r="I149" s="92"/>
      <c r="J149" s="93"/>
      <c r="K149" s="93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46"/>
      <c r="D150" s="9"/>
      <c r="E150" s="9"/>
      <c r="F150" s="91"/>
      <c r="G150" s="92"/>
      <c r="H150" s="92"/>
      <c r="I150" s="92"/>
      <c r="J150" s="93"/>
      <c r="K150" s="93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46"/>
      <c r="D151" s="9"/>
      <c r="E151" s="9"/>
      <c r="F151" s="91"/>
      <c r="G151" s="92"/>
      <c r="H151" s="92"/>
      <c r="I151" s="92"/>
      <c r="J151" s="93"/>
      <c r="K151" s="93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46"/>
      <c r="D152" s="9"/>
      <c r="E152" s="9"/>
      <c r="F152" s="91"/>
      <c r="G152" s="92"/>
      <c r="H152" s="92"/>
      <c r="I152" s="92"/>
      <c r="J152" s="93"/>
      <c r="K152" s="93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46"/>
      <c r="D153" s="9"/>
      <c r="E153" s="9"/>
      <c r="F153" s="91"/>
      <c r="G153" s="92"/>
      <c r="H153" s="92"/>
      <c r="I153" s="92"/>
      <c r="J153" s="93"/>
      <c r="K153" s="93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46"/>
      <c r="D154" s="9"/>
      <c r="E154" s="9"/>
      <c r="F154" s="91"/>
      <c r="G154" s="92"/>
      <c r="H154" s="92"/>
      <c r="I154" s="92"/>
      <c r="J154" s="93"/>
      <c r="K154" s="93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46"/>
      <c r="D155" s="9"/>
      <c r="E155" s="9"/>
      <c r="F155" s="91"/>
      <c r="G155" s="92"/>
      <c r="H155" s="92"/>
      <c r="I155" s="92"/>
      <c r="J155" s="93"/>
      <c r="K155" s="93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46"/>
      <c r="D156" s="9"/>
      <c r="E156" s="9"/>
      <c r="F156" s="91"/>
      <c r="G156" s="92"/>
      <c r="H156" s="92"/>
      <c r="I156" s="92"/>
      <c r="J156" s="93"/>
      <c r="K156" s="93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46"/>
      <c r="D157" s="9"/>
      <c r="E157" s="9"/>
      <c r="F157" s="91"/>
      <c r="G157" s="92"/>
      <c r="H157" s="92"/>
      <c r="I157" s="92"/>
      <c r="J157" s="93"/>
      <c r="K157" s="93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46"/>
      <c r="D158" s="9"/>
      <c r="E158" s="9"/>
      <c r="F158" s="91"/>
      <c r="G158" s="92"/>
      <c r="H158" s="92"/>
      <c r="I158" s="92"/>
      <c r="J158" s="93"/>
      <c r="K158" s="93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46"/>
      <c r="D159" s="9"/>
      <c r="E159" s="9"/>
      <c r="F159" s="91"/>
      <c r="G159" s="92"/>
      <c r="H159" s="92"/>
      <c r="I159" s="92"/>
      <c r="J159" s="93"/>
      <c r="K159" s="93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46"/>
      <c r="D160" s="9"/>
      <c r="E160" s="9"/>
      <c r="F160" s="91"/>
      <c r="G160" s="92"/>
      <c r="H160" s="92"/>
      <c r="I160" s="92"/>
      <c r="J160" s="93"/>
      <c r="K160" s="93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46"/>
      <c r="D161" s="9"/>
      <c r="E161" s="9"/>
      <c r="F161" s="91"/>
      <c r="G161" s="92"/>
      <c r="H161" s="92"/>
      <c r="I161" s="92"/>
      <c r="J161" s="93"/>
      <c r="K161" s="93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46"/>
      <c r="D162" s="9"/>
      <c r="E162" s="9"/>
      <c r="F162" s="91"/>
      <c r="G162" s="92"/>
      <c r="H162" s="92"/>
      <c r="I162" s="92"/>
      <c r="J162" s="93"/>
      <c r="K162" s="93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46"/>
      <c r="D163" s="9"/>
      <c r="E163" s="9"/>
      <c r="F163" s="91"/>
      <c r="G163" s="92"/>
      <c r="H163" s="92"/>
      <c r="I163" s="92"/>
      <c r="J163" s="93"/>
      <c r="K163" s="93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46"/>
      <c r="D164" s="9"/>
      <c r="E164" s="9"/>
      <c r="F164" s="91"/>
      <c r="G164" s="92"/>
      <c r="H164" s="92"/>
      <c r="I164" s="92"/>
      <c r="J164" s="93"/>
      <c r="K164" s="93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46"/>
      <c r="D165" s="9"/>
      <c r="E165" s="9"/>
      <c r="F165" s="91"/>
      <c r="G165" s="92"/>
      <c r="H165" s="92"/>
      <c r="I165" s="92"/>
      <c r="J165" s="93"/>
      <c r="K165" s="93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46"/>
      <c r="D166" s="9"/>
      <c r="E166" s="9"/>
      <c r="F166" s="91"/>
      <c r="G166" s="92"/>
      <c r="H166" s="92"/>
      <c r="I166" s="92"/>
      <c r="J166" s="93"/>
      <c r="K166" s="93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46"/>
      <c r="D167" s="9"/>
      <c r="E167" s="9"/>
      <c r="F167" s="91"/>
      <c r="G167" s="92"/>
      <c r="H167" s="92"/>
      <c r="I167" s="92"/>
      <c r="J167" s="93"/>
      <c r="K167" s="93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46"/>
      <c r="D168" s="9"/>
      <c r="E168" s="9"/>
      <c r="F168" s="91"/>
      <c r="G168" s="92"/>
      <c r="H168" s="92"/>
      <c r="I168" s="92"/>
      <c r="J168" s="93"/>
      <c r="K168" s="93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46"/>
      <c r="D169" s="9"/>
      <c r="E169" s="9"/>
      <c r="F169" s="91"/>
      <c r="G169" s="92"/>
      <c r="H169" s="92"/>
      <c r="I169" s="92"/>
      <c r="J169" s="93"/>
      <c r="K169" s="93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46"/>
      <c r="D170" s="9"/>
      <c r="E170" s="9"/>
      <c r="F170" s="91"/>
      <c r="G170" s="92"/>
      <c r="H170" s="92"/>
      <c r="I170" s="92"/>
      <c r="J170" s="93"/>
      <c r="K170" s="93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46"/>
      <c r="D171" s="9"/>
      <c r="E171" s="9"/>
      <c r="F171" s="91"/>
      <c r="G171" s="92"/>
      <c r="H171" s="92"/>
      <c r="I171" s="92"/>
      <c r="J171" s="93"/>
      <c r="K171" s="93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46"/>
      <c r="D172" s="9"/>
      <c r="E172" s="9"/>
      <c r="F172" s="91"/>
      <c r="G172" s="92"/>
      <c r="H172" s="92"/>
      <c r="I172" s="92"/>
      <c r="J172" s="93"/>
      <c r="K172" s="93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46"/>
      <c r="D173" s="9"/>
      <c r="E173" s="9"/>
      <c r="F173" s="91"/>
      <c r="G173" s="92"/>
      <c r="H173" s="92"/>
      <c r="I173" s="92"/>
      <c r="J173" s="93"/>
      <c r="K173" s="93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46"/>
      <c r="D174" s="9"/>
      <c r="E174" s="9"/>
      <c r="F174" s="91"/>
      <c r="G174" s="92"/>
      <c r="H174" s="92"/>
      <c r="I174" s="92"/>
      <c r="J174" s="93"/>
      <c r="K174" s="93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46"/>
      <c r="D175" s="9"/>
      <c r="E175" s="9"/>
      <c r="F175" s="91"/>
      <c r="G175" s="92"/>
      <c r="H175" s="92"/>
      <c r="I175" s="92"/>
      <c r="J175" s="93"/>
      <c r="K175" s="93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46"/>
      <c r="D176" s="9"/>
      <c r="E176" s="9"/>
      <c r="F176" s="91"/>
      <c r="G176" s="92"/>
      <c r="H176" s="92"/>
      <c r="I176" s="92"/>
      <c r="J176" s="93"/>
      <c r="K176" s="93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46"/>
      <c r="D177" s="9"/>
      <c r="E177" s="9"/>
      <c r="F177" s="91"/>
      <c r="G177" s="92"/>
      <c r="H177" s="92"/>
      <c r="I177" s="92"/>
      <c r="J177" s="93"/>
      <c r="K177" s="93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46"/>
      <c r="D178" s="9"/>
      <c r="E178" s="9"/>
      <c r="F178" s="91"/>
      <c r="G178" s="92"/>
      <c r="H178" s="92"/>
      <c r="I178" s="92"/>
      <c r="J178" s="93"/>
      <c r="K178" s="93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46"/>
      <c r="D179" s="9"/>
      <c r="E179" s="9"/>
      <c r="F179" s="91"/>
      <c r="G179" s="92"/>
      <c r="H179" s="92"/>
      <c r="I179" s="92"/>
      <c r="J179" s="93"/>
      <c r="K179" s="93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46"/>
      <c r="D180" s="9"/>
      <c r="E180" s="9"/>
      <c r="F180" s="91"/>
      <c r="G180" s="92"/>
      <c r="H180" s="92"/>
      <c r="I180" s="92"/>
      <c r="J180" s="93"/>
      <c r="K180" s="93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46"/>
      <c r="D181" s="9"/>
      <c r="E181" s="9"/>
      <c r="F181" s="91"/>
      <c r="G181" s="92"/>
      <c r="H181" s="92"/>
      <c r="I181" s="92"/>
      <c r="J181" s="93"/>
      <c r="K181" s="93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46"/>
      <c r="D182" s="9"/>
      <c r="E182" s="9"/>
      <c r="F182" s="91"/>
      <c r="G182" s="92"/>
      <c r="H182" s="92"/>
      <c r="I182" s="92"/>
      <c r="J182" s="93"/>
      <c r="K182" s="93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46"/>
      <c r="D183" s="9"/>
      <c r="E183" s="9"/>
      <c r="F183" s="91"/>
      <c r="G183" s="92"/>
      <c r="H183" s="92"/>
      <c r="I183" s="92"/>
      <c r="J183" s="93"/>
      <c r="K183" s="93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46"/>
      <c r="D184" s="9"/>
      <c r="E184" s="9"/>
      <c r="F184" s="91"/>
      <c r="G184" s="92"/>
      <c r="H184" s="92"/>
      <c r="I184" s="92"/>
      <c r="J184" s="93"/>
      <c r="K184" s="93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46"/>
      <c r="D185" s="9"/>
      <c r="E185" s="9"/>
      <c r="F185" s="91"/>
      <c r="G185" s="92"/>
      <c r="H185" s="92"/>
      <c r="I185" s="92"/>
      <c r="J185" s="93"/>
      <c r="K185" s="93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46"/>
      <c r="D186" s="9"/>
      <c r="E186" s="9"/>
      <c r="F186" s="91"/>
      <c r="G186" s="92"/>
      <c r="H186" s="92"/>
      <c r="I186" s="92"/>
      <c r="J186" s="93"/>
      <c r="K186" s="93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46"/>
      <c r="D187" s="9"/>
      <c r="E187" s="9"/>
      <c r="F187" s="91"/>
      <c r="G187" s="92"/>
      <c r="H187" s="92"/>
      <c r="I187" s="92"/>
      <c r="J187" s="93"/>
      <c r="K187" s="93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46"/>
      <c r="D188" s="9"/>
      <c r="E188" s="9"/>
      <c r="F188" s="91"/>
      <c r="G188" s="92"/>
      <c r="H188" s="92"/>
      <c r="I188" s="92"/>
      <c r="J188" s="93"/>
      <c r="K188" s="93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46"/>
      <c r="D189" s="9"/>
      <c r="E189" s="9"/>
      <c r="F189" s="91"/>
      <c r="G189" s="92"/>
      <c r="H189" s="92"/>
      <c r="I189" s="92"/>
      <c r="J189" s="93"/>
      <c r="K189" s="93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46"/>
      <c r="D190" s="9"/>
      <c r="E190" s="9"/>
      <c r="F190" s="91"/>
      <c r="G190" s="92"/>
      <c r="H190" s="92"/>
      <c r="I190" s="92"/>
      <c r="J190" s="93"/>
      <c r="K190" s="93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46"/>
      <c r="D191" s="9"/>
      <c r="E191" s="9"/>
      <c r="F191" s="91"/>
      <c r="G191" s="92"/>
      <c r="H191" s="92"/>
      <c r="I191" s="92"/>
      <c r="J191" s="93"/>
      <c r="K191" s="93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46"/>
      <c r="D192" s="9"/>
      <c r="E192" s="9"/>
      <c r="F192" s="91"/>
      <c r="G192" s="92"/>
      <c r="H192" s="92"/>
      <c r="I192" s="92"/>
      <c r="J192" s="93"/>
      <c r="K192" s="93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46"/>
      <c r="D193" s="9"/>
      <c r="E193" s="9"/>
      <c r="F193" s="91"/>
      <c r="G193" s="92"/>
      <c r="H193" s="92"/>
      <c r="I193" s="92"/>
      <c r="J193" s="93"/>
      <c r="K193" s="93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46"/>
      <c r="D194" s="9"/>
      <c r="E194" s="9"/>
      <c r="F194" s="91"/>
      <c r="G194" s="92"/>
      <c r="H194" s="92"/>
      <c r="I194" s="92"/>
      <c r="J194" s="93"/>
      <c r="K194" s="93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46"/>
      <c r="D195" s="9"/>
      <c r="E195" s="9"/>
      <c r="F195" s="91"/>
      <c r="G195" s="92"/>
      <c r="H195" s="92"/>
      <c r="I195" s="92"/>
      <c r="J195" s="93"/>
      <c r="K195" s="93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46"/>
      <c r="D196" s="9"/>
      <c r="E196" s="9"/>
      <c r="F196" s="91"/>
      <c r="G196" s="92"/>
      <c r="H196" s="92"/>
      <c r="I196" s="92"/>
      <c r="J196" s="93"/>
      <c r="K196" s="93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46"/>
      <c r="D197" s="9"/>
      <c r="E197" s="9"/>
      <c r="F197" s="91"/>
      <c r="G197" s="92"/>
      <c r="H197" s="92"/>
      <c r="I197" s="92"/>
      <c r="J197" s="93"/>
      <c r="K197" s="93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46"/>
      <c r="D198" s="9"/>
      <c r="E198" s="9"/>
      <c r="F198" s="91"/>
      <c r="G198" s="92"/>
      <c r="H198" s="92"/>
      <c r="I198" s="92"/>
      <c r="J198" s="93"/>
      <c r="K198" s="93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46"/>
      <c r="D199" s="9"/>
      <c r="E199" s="9"/>
      <c r="F199" s="91"/>
      <c r="G199" s="92"/>
      <c r="H199" s="92"/>
      <c r="I199" s="92"/>
      <c r="J199" s="93"/>
      <c r="K199" s="93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46"/>
      <c r="D200" s="9"/>
      <c r="E200" s="9"/>
      <c r="F200" s="91"/>
      <c r="G200" s="92"/>
      <c r="H200" s="92"/>
      <c r="I200" s="92"/>
      <c r="J200" s="93"/>
      <c r="K200" s="93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46"/>
      <c r="D201" s="9"/>
      <c r="E201" s="9"/>
      <c r="F201" s="91"/>
      <c r="G201" s="92"/>
      <c r="H201" s="92"/>
      <c r="I201" s="92"/>
      <c r="J201" s="93"/>
      <c r="K201" s="93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46"/>
      <c r="D202" s="9"/>
      <c r="E202" s="9"/>
      <c r="F202" s="91"/>
      <c r="G202" s="92"/>
      <c r="H202" s="92"/>
      <c r="I202" s="92"/>
      <c r="J202" s="93"/>
      <c r="K202" s="93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46"/>
      <c r="D203" s="9"/>
      <c r="E203" s="9"/>
      <c r="F203" s="91"/>
      <c r="G203" s="92"/>
      <c r="H203" s="92"/>
      <c r="I203" s="92"/>
      <c r="J203" s="93"/>
      <c r="K203" s="93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46"/>
      <c r="D204" s="9"/>
      <c r="E204" s="9"/>
      <c r="F204" s="91"/>
      <c r="G204" s="92"/>
      <c r="H204" s="92"/>
      <c r="I204" s="92"/>
      <c r="J204" s="93"/>
      <c r="K204" s="93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46"/>
      <c r="D205" s="9"/>
      <c r="E205" s="9"/>
      <c r="F205" s="91"/>
      <c r="G205" s="92"/>
      <c r="H205" s="92"/>
      <c r="I205" s="92"/>
      <c r="J205" s="93"/>
      <c r="K205" s="93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46"/>
      <c r="D206" s="9"/>
      <c r="E206" s="9"/>
      <c r="F206" s="91"/>
      <c r="G206" s="92"/>
      <c r="H206" s="92"/>
      <c r="I206" s="92"/>
      <c r="J206" s="93"/>
      <c r="K206" s="93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46"/>
      <c r="D207" s="9"/>
      <c r="E207" s="9"/>
      <c r="F207" s="91"/>
      <c r="G207" s="92"/>
      <c r="H207" s="92"/>
      <c r="I207" s="92"/>
      <c r="J207" s="93"/>
      <c r="K207" s="93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46"/>
      <c r="D208" s="9"/>
      <c r="E208" s="9"/>
      <c r="F208" s="91"/>
      <c r="G208" s="92"/>
      <c r="H208" s="92"/>
      <c r="I208" s="92"/>
      <c r="J208" s="93"/>
      <c r="K208" s="93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46"/>
      <c r="D209" s="9"/>
      <c r="E209" s="9"/>
      <c r="F209" s="91"/>
      <c r="G209" s="92"/>
      <c r="H209" s="92"/>
      <c r="I209" s="92"/>
      <c r="J209" s="93"/>
      <c r="K209" s="93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46"/>
      <c r="D210" s="9"/>
      <c r="E210" s="9"/>
      <c r="F210" s="91"/>
      <c r="G210" s="92"/>
      <c r="H210" s="92"/>
      <c r="I210" s="92"/>
      <c r="J210" s="93"/>
      <c r="K210" s="93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46"/>
      <c r="D211" s="9"/>
      <c r="E211" s="9"/>
      <c r="F211" s="91"/>
      <c r="G211" s="92"/>
      <c r="H211" s="92"/>
      <c r="I211" s="92"/>
      <c r="J211" s="93"/>
      <c r="K211" s="93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46"/>
      <c r="D212" s="9"/>
      <c r="E212" s="9"/>
      <c r="F212" s="91"/>
      <c r="G212" s="92"/>
      <c r="H212" s="92"/>
      <c r="I212" s="92"/>
      <c r="J212" s="93"/>
      <c r="K212" s="93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46"/>
      <c r="D213" s="9"/>
      <c r="E213" s="9"/>
      <c r="F213" s="91"/>
      <c r="G213" s="92"/>
      <c r="H213" s="92"/>
      <c r="I213" s="92"/>
      <c r="J213" s="93"/>
      <c r="K213" s="93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46"/>
      <c r="D214" s="9"/>
      <c r="E214" s="9"/>
      <c r="F214" s="91"/>
      <c r="G214" s="92"/>
      <c r="H214" s="92"/>
      <c r="I214" s="92"/>
      <c r="J214" s="93"/>
      <c r="K214" s="93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46"/>
      <c r="D215" s="9"/>
      <c r="E215" s="9"/>
      <c r="F215" s="91"/>
      <c r="G215" s="92"/>
      <c r="H215" s="92"/>
      <c r="I215" s="92"/>
      <c r="J215" s="93"/>
      <c r="K215" s="93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46"/>
      <c r="D216" s="9"/>
      <c r="E216" s="9"/>
      <c r="F216" s="91"/>
      <c r="G216" s="92"/>
      <c r="H216" s="92"/>
      <c r="I216" s="92"/>
      <c r="J216" s="93"/>
      <c r="K216" s="93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46"/>
      <c r="D217" s="9"/>
      <c r="E217" s="9"/>
      <c r="F217" s="91"/>
      <c r="G217" s="92"/>
      <c r="H217" s="92"/>
      <c r="I217" s="92"/>
      <c r="J217" s="93"/>
      <c r="K217" s="93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46"/>
      <c r="D218" s="9"/>
      <c r="E218" s="9"/>
      <c r="F218" s="91"/>
      <c r="G218" s="92"/>
      <c r="H218" s="92"/>
      <c r="I218" s="92"/>
      <c r="J218" s="93"/>
      <c r="K218" s="93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46"/>
      <c r="D219" s="9"/>
      <c r="E219" s="9"/>
      <c r="F219" s="91"/>
      <c r="G219" s="92"/>
      <c r="H219" s="92"/>
      <c r="I219" s="92"/>
      <c r="J219" s="93"/>
      <c r="K219" s="93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46"/>
      <c r="D220" s="9"/>
      <c r="E220" s="9"/>
      <c r="F220" s="91"/>
      <c r="G220" s="92"/>
      <c r="H220" s="92"/>
      <c r="I220" s="92"/>
      <c r="J220" s="93"/>
      <c r="K220" s="93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46"/>
      <c r="D221" s="9"/>
      <c r="E221" s="9"/>
      <c r="F221" s="91"/>
      <c r="G221" s="92"/>
      <c r="H221" s="92"/>
      <c r="I221" s="92"/>
      <c r="J221" s="93"/>
      <c r="K221" s="93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46"/>
      <c r="D222" s="9"/>
      <c r="E222" s="9"/>
      <c r="F222" s="91"/>
      <c r="G222" s="92"/>
      <c r="H222" s="92"/>
      <c r="I222" s="92"/>
      <c r="J222" s="93"/>
      <c r="K222" s="93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46"/>
      <c r="D223" s="9"/>
      <c r="E223" s="9"/>
      <c r="F223" s="91"/>
      <c r="G223" s="92"/>
      <c r="H223" s="92"/>
      <c r="I223" s="92"/>
      <c r="J223" s="93"/>
      <c r="K223" s="93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46"/>
      <c r="D224" s="9"/>
      <c r="E224" s="9"/>
      <c r="F224" s="91"/>
      <c r="G224" s="92"/>
      <c r="H224" s="92"/>
      <c r="I224" s="92"/>
      <c r="J224" s="93"/>
      <c r="K224" s="93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46"/>
      <c r="D225" s="9"/>
      <c r="E225" s="9"/>
      <c r="F225" s="91"/>
      <c r="G225" s="92"/>
      <c r="H225" s="92"/>
      <c r="I225" s="92"/>
      <c r="J225" s="93"/>
      <c r="K225" s="93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46"/>
      <c r="D226" s="9"/>
      <c r="E226" s="9"/>
      <c r="F226" s="91"/>
      <c r="G226" s="92"/>
      <c r="H226" s="92"/>
      <c r="I226" s="92"/>
      <c r="J226" s="93"/>
      <c r="K226" s="93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46"/>
      <c r="D227" s="9"/>
      <c r="E227" s="9"/>
      <c r="F227" s="91"/>
      <c r="G227" s="92"/>
      <c r="H227" s="92"/>
      <c r="I227" s="92"/>
      <c r="J227" s="93"/>
      <c r="K227" s="93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46"/>
      <c r="D228" s="9"/>
      <c r="E228" s="9"/>
      <c r="F228" s="91"/>
      <c r="G228" s="92"/>
      <c r="H228" s="92"/>
      <c r="I228" s="92"/>
      <c r="J228" s="93"/>
      <c r="K228" s="93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46"/>
      <c r="D229" s="9"/>
      <c r="E229" s="9"/>
      <c r="F229" s="91"/>
      <c r="G229" s="92"/>
      <c r="H229" s="92"/>
      <c r="I229" s="92"/>
      <c r="J229" s="93"/>
      <c r="K229" s="93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46"/>
      <c r="D230" s="9"/>
      <c r="E230" s="9"/>
      <c r="F230" s="91"/>
      <c r="G230" s="92"/>
      <c r="H230" s="92"/>
      <c r="I230" s="92"/>
      <c r="J230" s="93"/>
      <c r="K230" s="93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46"/>
      <c r="D231" s="9"/>
      <c r="E231" s="9"/>
      <c r="F231" s="91"/>
      <c r="G231" s="92"/>
      <c r="H231" s="92"/>
      <c r="I231" s="92"/>
      <c r="J231" s="93"/>
      <c r="K231" s="93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46"/>
      <c r="D232" s="9"/>
      <c r="E232" s="9"/>
      <c r="F232" s="91"/>
      <c r="G232" s="92"/>
      <c r="H232" s="92"/>
      <c r="I232" s="92"/>
      <c r="J232" s="93"/>
      <c r="K232" s="93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46"/>
      <c r="D233" s="9"/>
      <c r="E233" s="9"/>
      <c r="F233" s="91"/>
      <c r="G233" s="92"/>
      <c r="H233" s="92"/>
      <c r="I233" s="92"/>
      <c r="J233" s="93"/>
      <c r="K233" s="93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46"/>
      <c r="D234" s="9"/>
      <c r="E234" s="9"/>
      <c r="F234" s="91"/>
      <c r="G234" s="92"/>
      <c r="H234" s="92"/>
      <c r="I234" s="92"/>
      <c r="J234" s="93"/>
      <c r="K234" s="93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46"/>
      <c r="D235" s="9"/>
      <c r="E235" s="9"/>
      <c r="F235" s="91"/>
      <c r="G235" s="92"/>
      <c r="H235" s="92"/>
      <c r="I235" s="92"/>
      <c r="J235" s="93"/>
      <c r="K235" s="93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46"/>
      <c r="D236" s="9"/>
      <c r="E236" s="9"/>
      <c r="F236" s="91"/>
      <c r="G236" s="92"/>
      <c r="H236" s="92"/>
      <c r="I236" s="92"/>
      <c r="J236" s="93"/>
      <c r="K236" s="93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46"/>
      <c r="D237" s="9"/>
      <c r="E237" s="9"/>
      <c r="F237" s="91"/>
      <c r="G237" s="92"/>
      <c r="H237" s="92"/>
      <c r="I237" s="92"/>
      <c r="J237" s="93"/>
      <c r="K237" s="93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46"/>
      <c r="D238" s="9"/>
      <c r="E238" s="9"/>
      <c r="F238" s="91"/>
      <c r="G238" s="92"/>
      <c r="H238" s="92"/>
      <c r="I238" s="92"/>
      <c r="J238" s="93"/>
      <c r="K238" s="93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46"/>
      <c r="D239" s="9"/>
      <c r="E239" s="9"/>
      <c r="F239" s="91"/>
      <c r="G239" s="92"/>
      <c r="H239" s="92"/>
      <c r="I239" s="92"/>
      <c r="J239" s="93"/>
      <c r="K239" s="93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46"/>
      <c r="D240" s="9"/>
      <c r="E240" s="9"/>
      <c r="F240" s="91"/>
      <c r="G240" s="92"/>
      <c r="H240" s="92"/>
      <c r="I240" s="92"/>
      <c r="J240" s="93"/>
      <c r="K240" s="93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46"/>
      <c r="D241" s="9"/>
      <c r="E241" s="9"/>
      <c r="F241" s="91"/>
      <c r="G241" s="92"/>
      <c r="H241" s="92"/>
      <c r="I241" s="92"/>
      <c r="J241" s="93"/>
      <c r="K241" s="93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46"/>
      <c r="D242" s="9"/>
      <c r="E242" s="9"/>
      <c r="F242" s="91"/>
      <c r="G242" s="92"/>
      <c r="H242" s="92"/>
      <c r="I242" s="92"/>
      <c r="J242" s="93"/>
      <c r="K242" s="93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46"/>
      <c r="D243" s="9"/>
      <c r="E243" s="9"/>
      <c r="F243" s="91"/>
      <c r="G243" s="92"/>
      <c r="H243" s="92"/>
      <c r="I243" s="92"/>
      <c r="J243" s="93"/>
      <c r="K243" s="93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46"/>
      <c r="D244" s="9"/>
      <c r="E244" s="9"/>
      <c r="F244" s="91"/>
      <c r="G244" s="92"/>
      <c r="H244" s="92"/>
      <c r="I244" s="92"/>
      <c r="J244" s="93"/>
      <c r="K244" s="93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46"/>
      <c r="D245" s="9"/>
      <c r="E245" s="9"/>
      <c r="F245" s="91"/>
      <c r="G245" s="92"/>
      <c r="H245" s="92"/>
      <c r="I245" s="92"/>
      <c r="J245" s="93"/>
      <c r="K245" s="93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46"/>
      <c r="D246" s="9"/>
      <c r="E246" s="9"/>
      <c r="F246" s="91"/>
      <c r="G246" s="92"/>
      <c r="H246" s="92"/>
      <c r="I246" s="92"/>
      <c r="J246" s="93"/>
      <c r="K246" s="93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46"/>
      <c r="D247" s="9"/>
      <c r="E247" s="9"/>
      <c r="F247" s="91"/>
      <c r="G247" s="92"/>
      <c r="H247" s="92"/>
      <c r="I247" s="92"/>
      <c r="J247" s="93"/>
      <c r="K247" s="93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46"/>
      <c r="D248" s="9"/>
      <c r="E248" s="9"/>
      <c r="F248" s="91"/>
      <c r="G248" s="92"/>
      <c r="H248" s="92"/>
      <c r="I248" s="92"/>
      <c r="J248" s="93"/>
      <c r="K248" s="93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46"/>
      <c r="D249" s="9"/>
      <c r="E249" s="9"/>
      <c r="F249" s="91"/>
      <c r="G249" s="92"/>
      <c r="H249" s="92"/>
      <c r="I249" s="92"/>
      <c r="J249" s="93"/>
      <c r="K249" s="93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46"/>
      <c r="D250" s="9"/>
      <c r="E250" s="9"/>
      <c r="F250" s="91"/>
      <c r="G250" s="92"/>
      <c r="H250" s="92"/>
      <c r="I250" s="92"/>
      <c r="J250" s="93"/>
      <c r="K250" s="93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46"/>
      <c r="D251" s="9"/>
      <c r="E251" s="9"/>
      <c r="F251" s="91"/>
      <c r="G251" s="92"/>
      <c r="H251" s="92"/>
      <c r="I251" s="92"/>
      <c r="J251" s="93"/>
      <c r="K251" s="93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46"/>
      <c r="D252" s="9"/>
      <c r="E252" s="9"/>
      <c r="F252" s="91"/>
      <c r="G252" s="92"/>
      <c r="H252" s="92"/>
      <c r="I252" s="92"/>
      <c r="J252" s="93"/>
      <c r="K252" s="93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46"/>
      <c r="D253" s="9"/>
      <c r="E253" s="9"/>
      <c r="F253" s="91"/>
      <c r="G253" s="92"/>
      <c r="H253" s="92"/>
      <c r="I253" s="92"/>
      <c r="J253" s="93"/>
      <c r="K253" s="93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46"/>
      <c r="D254" s="9"/>
      <c r="E254" s="9"/>
      <c r="F254" s="91"/>
      <c r="G254" s="92"/>
      <c r="H254" s="92"/>
      <c r="I254" s="92"/>
      <c r="J254" s="93"/>
      <c r="K254" s="93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46"/>
      <c r="D255" s="9"/>
      <c r="E255" s="9"/>
      <c r="F255" s="91"/>
      <c r="G255" s="92"/>
      <c r="H255" s="92"/>
      <c r="I255" s="92"/>
      <c r="J255" s="93"/>
      <c r="K255" s="93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46"/>
      <c r="D256" s="9"/>
      <c r="E256" s="9"/>
      <c r="F256" s="91"/>
      <c r="G256" s="92"/>
      <c r="H256" s="92"/>
      <c r="I256" s="92"/>
      <c r="J256" s="93"/>
      <c r="K256" s="93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46"/>
      <c r="D257" s="9"/>
      <c r="E257" s="9"/>
      <c r="F257" s="91"/>
      <c r="G257" s="92"/>
      <c r="H257" s="92"/>
      <c r="I257" s="92"/>
      <c r="J257" s="93"/>
      <c r="K257" s="93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46"/>
      <c r="D258" s="9"/>
      <c r="E258" s="9"/>
      <c r="F258" s="91"/>
      <c r="G258" s="92"/>
      <c r="H258" s="92"/>
      <c r="I258" s="92"/>
      <c r="J258" s="93"/>
      <c r="K258" s="93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46"/>
      <c r="D259" s="9"/>
      <c r="E259" s="9"/>
      <c r="F259" s="91"/>
      <c r="G259" s="92"/>
      <c r="H259" s="92"/>
      <c r="I259" s="92"/>
      <c r="J259" s="93"/>
      <c r="K259" s="93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46"/>
      <c r="D260" s="9"/>
      <c r="E260" s="9"/>
      <c r="F260" s="91"/>
      <c r="G260" s="92"/>
      <c r="H260" s="92"/>
      <c r="I260" s="92"/>
      <c r="J260" s="93"/>
      <c r="K260" s="93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46"/>
      <c r="D261" s="9"/>
      <c r="E261" s="9"/>
      <c r="F261" s="91"/>
      <c r="G261" s="92"/>
      <c r="H261" s="92"/>
      <c r="I261" s="92"/>
      <c r="J261" s="93"/>
      <c r="K261" s="93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46"/>
      <c r="D262" s="9"/>
      <c r="E262" s="9"/>
      <c r="F262" s="91"/>
      <c r="G262" s="92"/>
      <c r="H262" s="92"/>
      <c r="I262" s="92"/>
      <c r="J262" s="93"/>
      <c r="K262" s="93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46"/>
      <c r="D263" s="9"/>
      <c r="E263" s="9"/>
      <c r="F263" s="91"/>
      <c r="G263" s="92"/>
      <c r="H263" s="92"/>
      <c r="I263" s="92"/>
      <c r="J263" s="93"/>
      <c r="K263" s="93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46"/>
      <c r="D264" s="9"/>
      <c r="E264" s="9"/>
      <c r="F264" s="91"/>
      <c r="G264" s="92"/>
      <c r="H264" s="92"/>
      <c r="I264" s="92"/>
      <c r="J264" s="93"/>
      <c r="K264" s="93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46"/>
      <c r="D265" s="9"/>
      <c r="E265" s="9"/>
      <c r="F265" s="91"/>
      <c r="G265" s="92"/>
      <c r="H265" s="92"/>
      <c r="I265" s="92"/>
      <c r="J265" s="93"/>
      <c r="K265" s="93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46"/>
      <c r="D266" s="9"/>
      <c r="E266" s="9"/>
      <c r="F266" s="91"/>
      <c r="G266" s="92"/>
      <c r="H266" s="92"/>
      <c r="I266" s="92"/>
      <c r="J266" s="93"/>
      <c r="K266" s="93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46"/>
      <c r="D267" s="9"/>
      <c r="E267" s="9"/>
      <c r="F267" s="91"/>
      <c r="G267" s="92"/>
      <c r="H267" s="92"/>
      <c r="I267" s="92"/>
      <c r="J267" s="93"/>
      <c r="K267" s="93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46"/>
      <c r="D268" s="9"/>
      <c r="E268" s="9"/>
      <c r="F268" s="91"/>
      <c r="G268" s="92"/>
      <c r="H268" s="92"/>
      <c r="I268" s="92"/>
      <c r="J268" s="93"/>
      <c r="K268" s="93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46"/>
      <c r="D269" s="9"/>
      <c r="E269" s="9"/>
      <c r="F269" s="91"/>
      <c r="G269" s="92"/>
      <c r="H269" s="92"/>
      <c r="I269" s="92"/>
      <c r="J269" s="93"/>
      <c r="K269" s="93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46"/>
      <c r="D270" s="9"/>
      <c r="E270" s="9"/>
      <c r="F270" s="91"/>
      <c r="G270" s="92"/>
      <c r="H270" s="92"/>
      <c r="I270" s="92"/>
      <c r="J270" s="93"/>
      <c r="K270" s="93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46"/>
      <c r="D271" s="9"/>
      <c r="E271" s="9"/>
      <c r="F271" s="91"/>
      <c r="G271" s="92"/>
      <c r="H271" s="92"/>
      <c r="I271" s="92"/>
      <c r="J271" s="93"/>
      <c r="K271" s="93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46"/>
      <c r="D272" s="9"/>
      <c r="E272" s="9"/>
      <c r="F272" s="91"/>
      <c r="G272" s="92"/>
      <c r="H272" s="92"/>
      <c r="I272" s="92"/>
      <c r="J272" s="93"/>
      <c r="K272" s="93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46"/>
      <c r="D273" s="9"/>
      <c r="E273" s="9"/>
      <c r="F273" s="91"/>
      <c r="G273" s="92"/>
      <c r="H273" s="92"/>
      <c r="I273" s="92"/>
      <c r="J273" s="93"/>
      <c r="K273" s="93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46"/>
      <c r="D274" s="9"/>
      <c r="E274" s="9"/>
      <c r="F274" s="91"/>
      <c r="G274" s="92"/>
      <c r="H274" s="92"/>
      <c r="I274" s="92"/>
      <c r="J274" s="93"/>
      <c r="K274" s="93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46"/>
      <c r="D275" s="9"/>
      <c r="E275" s="9"/>
      <c r="F275" s="91"/>
      <c r="G275" s="92"/>
      <c r="H275" s="92"/>
      <c r="I275" s="92"/>
      <c r="J275" s="93"/>
      <c r="K275" s="93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46"/>
      <c r="D276" s="9"/>
      <c r="E276" s="9"/>
      <c r="F276" s="91"/>
      <c r="G276" s="92"/>
      <c r="H276" s="92"/>
      <c r="I276" s="92"/>
      <c r="J276" s="93"/>
      <c r="K276" s="93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46"/>
      <c r="D277" s="9"/>
      <c r="E277" s="9"/>
      <c r="F277" s="91"/>
      <c r="G277" s="92"/>
      <c r="H277" s="92"/>
      <c r="I277" s="92"/>
      <c r="J277" s="93"/>
      <c r="K277" s="93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46"/>
      <c r="D278" s="9"/>
      <c r="E278" s="9"/>
      <c r="F278" s="91"/>
      <c r="G278" s="92"/>
      <c r="H278" s="92"/>
      <c r="I278" s="92"/>
      <c r="J278" s="93"/>
      <c r="K278" s="93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46"/>
      <c r="D279" s="9"/>
      <c r="E279" s="9"/>
      <c r="F279" s="91"/>
      <c r="G279" s="92"/>
      <c r="H279" s="92"/>
      <c r="I279" s="92"/>
      <c r="J279" s="93"/>
      <c r="K279" s="93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46"/>
      <c r="D280" s="9"/>
      <c r="E280" s="9"/>
      <c r="F280" s="91"/>
      <c r="G280" s="92"/>
      <c r="H280" s="92"/>
      <c r="I280" s="92"/>
      <c r="J280" s="93"/>
      <c r="K280" s="93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46"/>
      <c r="D281" s="9"/>
      <c r="E281" s="9"/>
      <c r="F281" s="91"/>
      <c r="G281" s="92"/>
      <c r="H281" s="92"/>
      <c r="I281" s="92"/>
      <c r="J281" s="93"/>
      <c r="K281" s="93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46"/>
      <c r="D282" s="9"/>
      <c r="E282" s="9"/>
      <c r="F282" s="91"/>
      <c r="G282" s="92"/>
      <c r="H282" s="92"/>
      <c r="I282" s="92"/>
      <c r="J282" s="93"/>
      <c r="K282" s="93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46"/>
      <c r="D283" s="9"/>
      <c r="E283" s="9"/>
      <c r="F283" s="91"/>
      <c r="G283" s="92"/>
      <c r="H283" s="92"/>
      <c r="I283" s="92"/>
      <c r="J283" s="93"/>
      <c r="K283" s="93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46"/>
      <c r="D284" s="9"/>
      <c r="E284" s="9"/>
      <c r="F284" s="91"/>
      <c r="G284" s="92"/>
      <c r="H284" s="92"/>
      <c r="I284" s="92"/>
      <c r="J284" s="93"/>
      <c r="K284" s="93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46"/>
      <c r="D285" s="9"/>
      <c r="E285" s="9"/>
      <c r="F285" s="91"/>
      <c r="G285" s="92"/>
      <c r="H285" s="92"/>
      <c r="I285" s="92"/>
      <c r="J285" s="93"/>
      <c r="K285" s="93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46"/>
      <c r="D286" s="9"/>
      <c r="E286" s="9"/>
      <c r="F286" s="91"/>
      <c r="G286" s="92"/>
      <c r="H286" s="92"/>
      <c r="I286" s="92"/>
      <c r="J286" s="93"/>
      <c r="K286" s="93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46"/>
      <c r="D287" s="9"/>
      <c r="E287" s="9"/>
      <c r="F287" s="91"/>
      <c r="G287" s="92"/>
      <c r="H287" s="92"/>
      <c r="I287" s="92"/>
      <c r="J287" s="93"/>
      <c r="K287" s="93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46"/>
      <c r="D288" s="9"/>
      <c r="E288" s="9"/>
      <c r="F288" s="91"/>
      <c r="G288" s="92"/>
      <c r="H288" s="92"/>
      <c r="I288" s="92"/>
      <c r="J288" s="93"/>
      <c r="K288" s="93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46"/>
      <c r="D289" s="9"/>
      <c r="E289" s="9"/>
      <c r="F289" s="91"/>
      <c r="G289" s="92"/>
      <c r="H289" s="92"/>
      <c r="I289" s="92"/>
      <c r="J289" s="93"/>
      <c r="K289" s="93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46"/>
      <c r="D290" s="9"/>
      <c r="E290" s="9"/>
      <c r="F290" s="91"/>
      <c r="G290" s="92"/>
      <c r="H290" s="92"/>
      <c r="I290" s="92"/>
      <c r="J290" s="93"/>
      <c r="K290" s="93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46"/>
      <c r="D291" s="9"/>
      <c r="E291" s="9"/>
      <c r="F291" s="91"/>
      <c r="G291" s="92"/>
      <c r="H291" s="92"/>
      <c r="I291" s="92"/>
      <c r="J291" s="93"/>
      <c r="K291" s="93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46"/>
      <c r="D292" s="9"/>
      <c r="E292" s="9"/>
      <c r="F292" s="91"/>
      <c r="G292" s="92"/>
      <c r="H292" s="92"/>
      <c r="I292" s="92"/>
      <c r="J292" s="93"/>
      <c r="K292" s="93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46"/>
      <c r="D293" s="9"/>
      <c r="E293" s="9"/>
      <c r="F293" s="91"/>
      <c r="G293" s="92"/>
      <c r="H293" s="92"/>
      <c r="I293" s="92"/>
      <c r="J293" s="93"/>
      <c r="K293" s="93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46"/>
      <c r="D294" s="9"/>
      <c r="E294" s="9"/>
      <c r="F294" s="91"/>
      <c r="G294" s="92"/>
      <c r="H294" s="92"/>
      <c r="I294" s="92"/>
      <c r="J294" s="93"/>
      <c r="K294" s="93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46"/>
      <c r="D295" s="9"/>
      <c r="E295" s="9"/>
      <c r="F295" s="91"/>
      <c r="G295" s="92"/>
      <c r="H295" s="92"/>
      <c r="I295" s="92"/>
      <c r="J295" s="93"/>
      <c r="K295" s="93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46"/>
      <c r="D296" s="9"/>
      <c r="E296" s="9"/>
      <c r="F296" s="91"/>
      <c r="G296" s="92"/>
      <c r="H296" s="92"/>
      <c r="I296" s="92"/>
      <c r="J296" s="93"/>
      <c r="K296" s="93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46"/>
      <c r="D297" s="9"/>
      <c r="E297" s="9"/>
      <c r="F297" s="91"/>
      <c r="G297" s="92"/>
      <c r="H297" s="92"/>
      <c r="I297" s="92"/>
      <c r="J297" s="93"/>
      <c r="K297" s="93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46"/>
      <c r="D298" s="9"/>
      <c r="E298" s="9"/>
      <c r="F298" s="91"/>
      <c r="G298" s="92"/>
      <c r="H298" s="92"/>
      <c r="I298" s="92"/>
      <c r="J298" s="93"/>
      <c r="K298" s="93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46"/>
      <c r="D299" s="9"/>
      <c r="E299" s="9"/>
      <c r="F299" s="91"/>
      <c r="G299" s="92"/>
      <c r="H299" s="92"/>
      <c r="I299" s="92"/>
      <c r="J299" s="93"/>
      <c r="K299" s="93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46"/>
      <c r="D300" s="9"/>
      <c r="E300" s="9"/>
      <c r="F300" s="91"/>
      <c r="G300" s="92"/>
      <c r="H300" s="92"/>
      <c r="I300" s="92"/>
      <c r="J300" s="93"/>
      <c r="K300" s="93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46"/>
      <c r="D301" s="9"/>
      <c r="E301" s="9"/>
      <c r="F301" s="91"/>
      <c r="G301" s="92"/>
      <c r="H301" s="92"/>
      <c r="I301" s="92"/>
      <c r="J301" s="93"/>
      <c r="K301" s="93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46"/>
      <c r="D302" s="9"/>
      <c r="E302" s="9"/>
      <c r="F302" s="91"/>
      <c r="G302" s="92"/>
      <c r="H302" s="92"/>
      <c r="I302" s="92"/>
      <c r="J302" s="93"/>
      <c r="K302" s="93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46"/>
      <c r="D303" s="9"/>
      <c r="E303" s="9"/>
      <c r="F303" s="91"/>
      <c r="G303" s="92"/>
      <c r="H303" s="92"/>
      <c r="I303" s="92"/>
      <c r="J303" s="93"/>
      <c r="K303" s="93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46"/>
      <c r="D304" s="9"/>
      <c r="E304" s="9"/>
      <c r="F304" s="91"/>
      <c r="G304" s="92"/>
      <c r="H304" s="92"/>
      <c r="I304" s="92"/>
      <c r="J304" s="93"/>
      <c r="K304" s="93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46"/>
      <c r="D305" s="9"/>
      <c r="E305" s="9"/>
      <c r="F305" s="91"/>
      <c r="G305" s="92"/>
      <c r="H305" s="92"/>
      <c r="I305" s="92"/>
      <c r="J305" s="93"/>
      <c r="K305" s="93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46"/>
      <c r="D306" s="9"/>
      <c r="E306" s="9"/>
      <c r="F306" s="91"/>
      <c r="G306" s="92"/>
      <c r="H306" s="92"/>
      <c r="I306" s="92"/>
      <c r="J306" s="93"/>
      <c r="K306" s="93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46"/>
      <c r="D307" s="9"/>
      <c r="E307" s="9"/>
      <c r="F307" s="91"/>
      <c r="G307" s="92"/>
      <c r="H307" s="92"/>
      <c r="I307" s="92"/>
      <c r="J307" s="93"/>
      <c r="K307" s="93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46"/>
      <c r="D308" s="9"/>
      <c r="E308" s="9"/>
      <c r="F308" s="91"/>
      <c r="G308" s="92"/>
      <c r="H308" s="92"/>
      <c r="I308" s="92"/>
      <c r="J308" s="93"/>
      <c r="K308" s="93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46"/>
      <c r="D309" s="9"/>
      <c r="E309" s="9"/>
      <c r="F309" s="91"/>
      <c r="G309" s="92"/>
      <c r="H309" s="92"/>
      <c r="I309" s="92"/>
      <c r="J309" s="93"/>
      <c r="K309" s="93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46"/>
      <c r="D310" s="9"/>
      <c r="E310" s="9"/>
      <c r="F310" s="91"/>
      <c r="G310" s="92"/>
      <c r="H310" s="92"/>
      <c r="I310" s="92"/>
      <c r="J310" s="93"/>
      <c r="K310" s="93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46"/>
      <c r="D311" s="9"/>
      <c r="E311" s="9"/>
      <c r="F311" s="91"/>
      <c r="G311" s="92"/>
      <c r="H311" s="92"/>
      <c r="I311" s="92"/>
      <c r="J311" s="93"/>
      <c r="K311" s="93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46"/>
      <c r="D312" s="9"/>
      <c r="E312" s="9"/>
      <c r="F312" s="91"/>
      <c r="G312" s="92"/>
      <c r="H312" s="92"/>
      <c r="I312" s="92"/>
      <c r="J312" s="93"/>
      <c r="K312" s="93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46"/>
      <c r="D313" s="9"/>
      <c r="E313" s="9"/>
      <c r="F313" s="91"/>
      <c r="G313" s="92"/>
      <c r="H313" s="92"/>
      <c r="I313" s="92"/>
      <c r="J313" s="93"/>
      <c r="K313" s="93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46"/>
      <c r="D314" s="9"/>
      <c r="E314" s="9"/>
      <c r="F314" s="91"/>
      <c r="G314" s="92"/>
      <c r="H314" s="92"/>
      <c r="I314" s="92"/>
      <c r="J314" s="93"/>
      <c r="K314" s="93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46"/>
      <c r="D315" s="9"/>
      <c r="E315" s="9"/>
      <c r="F315" s="91"/>
      <c r="G315" s="92"/>
      <c r="H315" s="92"/>
      <c r="I315" s="92"/>
      <c r="J315" s="93"/>
      <c r="K315" s="93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46"/>
      <c r="D316" s="9"/>
      <c r="E316" s="9"/>
      <c r="F316" s="91"/>
      <c r="G316" s="92"/>
      <c r="H316" s="92"/>
      <c r="I316" s="92"/>
      <c r="J316" s="93"/>
      <c r="K316" s="93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46"/>
      <c r="D317" s="9"/>
      <c r="E317" s="9"/>
      <c r="F317" s="91"/>
      <c r="G317" s="92"/>
      <c r="H317" s="92"/>
      <c r="I317" s="92"/>
      <c r="J317" s="93"/>
      <c r="K317" s="93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46"/>
      <c r="D318" s="9"/>
      <c r="E318" s="9"/>
      <c r="F318" s="91"/>
      <c r="G318" s="92"/>
      <c r="H318" s="92"/>
      <c r="I318" s="92"/>
      <c r="J318" s="93"/>
      <c r="K318" s="93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46"/>
      <c r="D319" s="9"/>
      <c r="E319" s="9"/>
      <c r="F319" s="91"/>
      <c r="G319" s="92"/>
      <c r="H319" s="92"/>
      <c r="I319" s="92"/>
      <c r="J319" s="93"/>
      <c r="K319" s="93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46"/>
      <c r="D320" s="9"/>
      <c r="E320" s="9"/>
      <c r="F320" s="91"/>
      <c r="G320" s="92"/>
      <c r="H320" s="92"/>
      <c r="I320" s="92"/>
      <c r="J320" s="93"/>
      <c r="K320" s="93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46"/>
      <c r="D321" s="9"/>
      <c r="E321" s="9"/>
      <c r="F321" s="91"/>
      <c r="G321" s="92"/>
      <c r="H321" s="92"/>
      <c r="I321" s="92"/>
      <c r="J321" s="93"/>
      <c r="K321" s="93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46"/>
      <c r="D322" s="9"/>
      <c r="E322" s="9"/>
      <c r="F322" s="91"/>
      <c r="G322" s="92"/>
      <c r="H322" s="92"/>
      <c r="I322" s="92"/>
      <c r="J322" s="93"/>
      <c r="K322" s="93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46"/>
      <c r="D323" s="9"/>
      <c r="E323" s="9"/>
      <c r="F323" s="91"/>
      <c r="G323" s="92"/>
      <c r="H323" s="92"/>
      <c r="I323" s="92"/>
      <c r="J323" s="93"/>
      <c r="K323" s="93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46"/>
      <c r="D324" s="9"/>
      <c r="E324" s="9"/>
      <c r="F324" s="91"/>
      <c r="G324" s="92"/>
      <c r="H324" s="92"/>
      <c r="I324" s="92"/>
      <c r="J324" s="93"/>
      <c r="K324" s="93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46"/>
      <c r="D325" s="9"/>
      <c r="E325" s="9"/>
      <c r="F325" s="91"/>
      <c r="G325" s="92"/>
      <c r="H325" s="92"/>
      <c r="I325" s="92"/>
      <c r="J325" s="93"/>
      <c r="K325" s="93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46"/>
      <c r="D326" s="9"/>
      <c r="E326" s="9"/>
      <c r="F326" s="91"/>
      <c r="G326" s="92"/>
      <c r="H326" s="92"/>
      <c r="I326" s="92"/>
      <c r="J326" s="93"/>
      <c r="K326" s="93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46"/>
      <c r="D327" s="9"/>
      <c r="E327" s="9"/>
      <c r="F327" s="91"/>
      <c r="G327" s="92"/>
      <c r="H327" s="92"/>
      <c r="I327" s="92"/>
      <c r="J327" s="93"/>
      <c r="K327" s="93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46"/>
      <c r="D328" s="9"/>
      <c r="E328" s="9"/>
      <c r="F328" s="91"/>
      <c r="G328" s="92"/>
      <c r="H328" s="92"/>
      <c r="I328" s="92"/>
      <c r="J328" s="93"/>
      <c r="K328" s="93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46"/>
      <c r="D329" s="9"/>
      <c r="E329" s="9"/>
      <c r="F329" s="91"/>
      <c r="G329" s="92"/>
      <c r="H329" s="92"/>
      <c r="I329" s="92"/>
      <c r="J329" s="93"/>
      <c r="K329" s="93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46"/>
      <c r="D330" s="9"/>
      <c r="E330" s="9"/>
      <c r="F330" s="91"/>
      <c r="G330" s="92"/>
      <c r="H330" s="92"/>
      <c r="I330" s="92"/>
      <c r="J330" s="93"/>
      <c r="K330" s="93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46"/>
      <c r="D331" s="9"/>
      <c r="E331" s="9"/>
      <c r="F331" s="91"/>
      <c r="G331" s="92"/>
      <c r="H331" s="92"/>
      <c r="I331" s="92"/>
      <c r="J331" s="93"/>
      <c r="K331" s="93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46"/>
      <c r="D332" s="9"/>
      <c r="E332" s="9"/>
      <c r="F332" s="91"/>
      <c r="G332" s="92"/>
      <c r="H332" s="92"/>
      <c r="I332" s="92"/>
      <c r="J332" s="93"/>
      <c r="K332" s="93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46"/>
      <c r="D333" s="9"/>
      <c r="E333" s="9"/>
      <c r="F333" s="91"/>
      <c r="G333" s="92"/>
      <c r="H333" s="92"/>
      <c r="I333" s="92"/>
      <c r="J333" s="93"/>
      <c r="K333" s="93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46"/>
      <c r="D334" s="9"/>
      <c r="E334" s="9"/>
      <c r="F334" s="91"/>
      <c r="G334" s="92"/>
      <c r="H334" s="92"/>
      <c r="I334" s="92"/>
      <c r="J334" s="93"/>
      <c r="K334" s="93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46"/>
      <c r="D335" s="9"/>
      <c r="E335" s="9"/>
      <c r="F335" s="91"/>
      <c r="G335" s="92"/>
      <c r="H335" s="92"/>
      <c r="I335" s="92"/>
      <c r="J335" s="93"/>
      <c r="K335" s="93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46"/>
      <c r="D336" s="9"/>
      <c r="E336" s="9"/>
      <c r="F336" s="91"/>
      <c r="G336" s="92"/>
      <c r="H336" s="92"/>
      <c r="I336" s="92"/>
      <c r="J336" s="93"/>
      <c r="K336" s="93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46"/>
      <c r="D337" s="9"/>
      <c r="E337" s="9"/>
      <c r="F337" s="91"/>
      <c r="G337" s="92"/>
      <c r="H337" s="92"/>
      <c r="I337" s="92"/>
      <c r="J337" s="93"/>
      <c r="K337" s="93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46"/>
      <c r="D338" s="9"/>
      <c r="E338" s="9"/>
      <c r="F338" s="91"/>
      <c r="G338" s="92"/>
      <c r="H338" s="92"/>
      <c r="I338" s="92"/>
      <c r="J338" s="93"/>
      <c r="K338" s="93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46"/>
      <c r="D339" s="9"/>
      <c r="E339" s="9"/>
      <c r="F339" s="91"/>
      <c r="G339" s="92"/>
      <c r="H339" s="92"/>
      <c r="I339" s="92"/>
      <c r="J339" s="93"/>
      <c r="K339" s="93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46"/>
      <c r="D340" s="9"/>
      <c r="E340" s="9"/>
      <c r="F340" s="91"/>
      <c r="G340" s="92"/>
      <c r="H340" s="92"/>
      <c r="I340" s="92"/>
      <c r="J340" s="93"/>
      <c r="K340" s="93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46"/>
      <c r="D341" s="9"/>
      <c r="E341" s="9"/>
      <c r="F341" s="91"/>
      <c r="G341" s="92"/>
      <c r="H341" s="92"/>
      <c r="I341" s="92"/>
      <c r="J341" s="93"/>
      <c r="K341" s="93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46"/>
      <c r="D342" s="9"/>
      <c r="E342" s="9"/>
      <c r="F342" s="91"/>
      <c r="G342" s="92"/>
      <c r="H342" s="92"/>
      <c r="I342" s="92"/>
      <c r="J342" s="93"/>
      <c r="K342" s="93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46"/>
      <c r="D343" s="9"/>
      <c r="E343" s="9"/>
      <c r="F343" s="91"/>
      <c r="G343" s="92"/>
      <c r="H343" s="92"/>
      <c r="I343" s="92"/>
      <c r="J343" s="93"/>
      <c r="K343" s="93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46"/>
      <c r="D344" s="9"/>
      <c r="E344" s="9"/>
      <c r="F344" s="91"/>
      <c r="G344" s="92"/>
      <c r="H344" s="92"/>
      <c r="I344" s="92"/>
      <c r="J344" s="93"/>
      <c r="K344" s="93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46"/>
      <c r="D345" s="9"/>
      <c r="E345" s="9"/>
      <c r="F345" s="91"/>
      <c r="G345" s="92"/>
      <c r="H345" s="92"/>
      <c r="I345" s="92"/>
      <c r="J345" s="93"/>
      <c r="K345" s="93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46"/>
      <c r="D346" s="9"/>
      <c r="E346" s="9"/>
      <c r="F346" s="91"/>
      <c r="G346" s="92"/>
      <c r="H346" s="92"/>
      <c r="I346" s="92"/>
      <c r="J346" s="93"/>
      <c r="K346" s="93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46"/>
      <c r="D347" s="9"/>
      <c r="E347" s="9"/>
      <c r="F347" s="91"/>
      <c r="G347" s="92"/>
      <c r="H347" s="92"/>
      <c r="I347" s="92"/>
      <c r="J347" s="93"/>
      <c r="K347" s="93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46"/>
      <c r="D348" s="9"/>
      <c r="E348" s="9"/>
      <c r="F348" s="91"/>
      <c r="G348" s="92"/>
      <c r="H348" s="92"/>
      <c r="I348" s="92"/>
      <c r="J348" s="93"/>
      <c r="K348" s="93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46"/>
      <c r="D349" s="9"/>
      <c r="E349" s="9"/>
      <c r="F349" s="91"/>
      <c r="G349" s="92"/>
      <c r="H349" s="92"/>
      <c r="I349" s="92"/>
      <c r="J349" s="93"/>
      <c r="K349" s="93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46"/>
      <c r="D350" s="9"/>
      <c r="E350" s="9"/>
      <c r="F350" s="91"/>
      <c r="G350" s="92"/>
      <c r="H350" s="92"/>
      <c r="I350" s="92"/>
      <c r="J350" s="93"/>
      <c r="K350" s="93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46"/>
      <c r="D351" s="9"/>
      <c r="E351" s="9"/>
      <c r="F351" s="91"/>
      <c r="G351" s="92"/>
      <c r="H351" s="92"/>
      <c r="I351" s="92"/>
      <c r="J351" s="93"/>
      <c r="K351" s="93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46"/>
      <c r="D352" s="9"/>
      <c r="E352" s="9"/>
      <c r="F352" s="91"/>
      <c r="G352" s="92"/>
      <c r="H352" s="92"/>
      <c r="I352" s="92"/>
      <c r="J352" s="93"/>
      <c r="K352" s="93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46"/>
      <c r="D353" s="9"/>
      <c r="E353" s="9"/>
      <c r="F353" s="91"/>
      <c r="G353" s="92"/>
      <c r="H353" s="92"/>
      <c r="I353" s="92"/>
      <c r="J353" s="93"/>
      <c r="K353" s="93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46"/>
      <c r="D354" s="9"/>
      <c r="E354" s="9"/>
      <c r="F354" s="91"/>
      <c r="G354" s="92"/>
      <c r="H354" s="92"/>
      <c r="I354" s="92"/>
      <c r="J354" s="93"/>
      <c r="K354" s="93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46"/>
      <c r="D355" s="9"/>
      <c r="E355" s="9"/>
      <c r="F355" s="91"/>
      <c r="G355" s="92"/>
      <c r="H355" s="92"/>
      <c r="I355" s="92"/>
      <c r="J355" s="93"/>
      <c r="K355" s="93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46"/>
      <c r="D356" s="9"/>
      <c r="E356" s="9"/>
      <c r="F356" s="91"/>
      <c r="G356" s="92"/>
      <c r="H356" s="92"/>
      <c r="I356" s="92"/>
      <c r="J356" s="93"/>
      <c r="K356" s="93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46"/>
      <c r="D357" s="9"/>
      <c r="E357" s="9"/>
      <c r="F357" s="91"/>
      <c r="G357" s="92"/>
      <c r="H357" s="92"/>
      <c r="I357" s="92"/>
      <c r="J357" s="93"/>
      <c r="K357" s="93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46"/>
      <c r="D358" s="9"/>
      <c r="E358" s="9"/>
      <c r="F358" s="91"/>
      <c r="G358" s="92"/>
      <c r="H358" s="92"/>
      <c r="I358" s="92"/>
      <c r="J358" s="93"/>
      <c r="K358" s="93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46"/>
      <c r="D359" s="9"/>
      <c r="E359" s="9"/>
      <c r="F359" s="91"/>
      <c r="G359" s="92"/>
      <c r="H359" s="92"/>
      <c r="I359" s="92"/>
      <c r="J359" s="93"/>
      <c r="K359" s="93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46"/>
      <c r="D360" s="9"/>
      <c r="E360" s="9"/>
      <c r="F360" s="91"/>
      <c r="G360" s="92"/>
      <c r="H360" s="92"/>
      <c r="I360" s="92"/>
      <c r="J360" s="93"/>
      <c r="K360" s="93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46"/>
      <c r="D361" s="9"/>
      <c r="E361" s="9"/>
      <c r="F361" s="91"/>
      <c r="G361" s="92"/>
      <c r="H361" s="92"/>
      <c r="I361" s="92"/>
      <c r="J361" s="93"/>
      <c r="K361" s="93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46"/>
      <c r="D362" s="9"/>
      <c r="E362" s="9"/>
      <c r="F362" s="91"/>
      <c r="G362" s="92"/>
      <c r="H362" s="92"/>
      <c r="I362" s="92"/>
      <c r="J362" s="93"/>
      <c r="K362" s="93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46"/>
      <c r="D363" s="9"/>
      <c r="E363" s="9"/>
      <c r="F363" s="91"/>
      <c r="G363" s="92"/>
      <c r="H363" s="92"/>
      <c r="I363" s="92"/>
      <c r="J363" s="93"/>
      <c r="K363" s="93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46"/>
      <c r="D364" s="9"/>
      <c r="E364" s="9"/>
      <c r="F364" s="91"/>
      <c r="G364" s="92"/>
      <c r="H364" s="92"/>
      <c r="I364" s="92"/>
      <c r="J364" s="93"/>
      <c r="K364" s="93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46"/>
      <c r="D365" s="9"/>
      <c r="E365" s="9"/>
      <c r="F365" s="91"/>
      <c r="G365" s="92"/>
      <c r="H365" s="92"/>
      <c r="I365" s="92"/>
      <c r="J365" s="93"/>
      <c r="K365" s="93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46"/>
      <c r="D366" s="9"/>
      <c r="E366" s="9"/>
      <c r="F366" s="91"/>
      <c r="G366" s="92"/>
      <c r="H366" s="92"/>
      <c r="I366" s="92"/>
      <c r="J366" s="93"/>
      <c r="K366" s="93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46"/>
      <c r="D367" s="9"/>
      <c r="E367" s="9"/>
      <c r="F367" s="91"/>
      <c r="G367" s="92"/>
      <c r="H367" s="92"/>
      <c r="I367" s="92"/>
      <c r="J367" s="93"/>
      <c r="K367" s="93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46"/>
      <c r="D368" s="9"/>
      <c r="E368" s="9"/>
      <c r="F368" s="91"/>
      <c r="G368" s="92"/>
      <c r="H368" s="92"/>
      <c r="I368" s="92"/>
      <c r="J368" s="93"/>
      <c r="K368" s="93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46"/>
      <c r="D369" s="9"/>
      <c r="E369" s="9"/>
      <c r="F369" s="91"/>
      <c r="G369" s="92"/>
      <c r="H369" s="92"/>
      <c r="I369" s="92"/>
      <c r="J369" s="93"/>
      <c r="K369" s="93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46"/>
      <c r="D370" s="9"/>
      <c r="E370" s="9"/>
      <c r="F370" s="91"/>
      <c r="G370" s="92"/>
      <c r="H370" s="92"/>
      <c r="I370" s="92"/>
      <c r="J370" s="93"/>
      <c r="K370" s="93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46"/>
      <c r="D371" s="9"/>
      <c r="E371" s="9"/>
      <c r="F371" s="91"/>
      <c r="G371" s="92"/>
      <c r="H371" s="92"/>
      <c r="I371" s="92"/>
      <c r="J371" s="93"/>
      <c r="K371" s="93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46"/>
      <c r="D372" s="9"/>
      <c r="E372" s="9"/>
      <c r="F372" s="91"/>
      <c r="G372" s="92"/>
      <c r="H372" s="92"/>
      <c r="I372" s="92"/>
      <c r="J372" s="93"/>
      <c r="K372" s="93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46"/>
      <c r="D373" s="9"/>
      <c r="E373" s="9"/>
      <c r="F373" s="91"/>
      <c r="G373" s="92"/>
      <c r="H373" s="92"/>
      <c r="I373" s="92"/>
      <c r="J373" s="93"/>
      <c r="K373" s="93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46"/>
      <c r="D374" s="9"/>
      <c r="E374" s="9"/>
      <c r="F374" s="91"/>
      <c r="G374" s="92"/>
      <c r="H374" s="92"/>
      <c r="I374" s="92"/>
      <c r="J374" s="93"/>
      <c r="K374" s="93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46"/>
      <c r="D375" s="9"/>
      <c r="E375" s="9"/>
      <c r="F375" s="91"/>
      <c r="G375" s="92"/>
      <c r="H375" s="92"/>
      <c r="I375" s="92"/>
      <c r="J375" s="93"/>
      <c r="K375" s="93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46"/>
      <c r="D376" s="9"/>
      <c r="E376" s="9"/>
      <c r="F376" s="91"/>
      <c r="G376" s="92"/>
      <c r="H376" s="92"/>
      <c r="I376" s="92"/>
      <c r="J376" s="93"/>
      <c r="K376" s="93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46"/>
      <c r="D377" s="9"/>
      <c r="E377" s="9"/>
      <c r="F377" s="91"/>
      <c r="G377" s="92"/>
      <c r="H377" s="92"/>
      <c r="I377" s="92"/>
      <c r="J377" s="93"/>
      <c r="K377" s="93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46"/>
      <c r="D378" s="9"/>
      <c r="E378" s="9"/>
      <c r="F378" s="91"/>
      <c r="G378" s="92"/>
      <c r="H378" s="92"/>
      <c r="I378" s="92"/>
      <c r="J378" s="93"/>
      <c r="K378" s="93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46"/>
      <c r="D379" s="9"/>
      <c r="E379" s="9"/>
      <c r="F379" s="91"/>
      <c r="G379" s="92"/>
      <c r="H379" s="92"/>
      <c r="I379" s="92"/>
      <c r="J379" s="93"/>
      <c r="K379" s="93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46"/>
      <c r="D380" s="9"/>
      <c r="E380" s="9"/>
      <c r="F380" s="91"/>
      <c r="G380" s="92"/>
      <c r="H380" s="92"/>
      <c r="I380" s="92"/>
      <c r="J380" s="93"/>
      <c r="K380" s="93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46"/>
      <c r="D381" s="9"/>
      <c r="E381" s="9"/>
      <c r="F381" s="91"/>
      <c r="G381" s="92"/>
      <c r="H381" s="92"/>
      <c r="I381" s="92"/>
      <c r="J381" s="93"/>
      <c r="K381" s="93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46"/>
      <c r="D382" s="9"/>
      <c r="E382" s="9"/>
      <c r="F382" s="91"/>
      <c r="G382" s="92"/>
      <c r="H382" s="92"/>
      <c r="I382" s="92"/>
      <c r="J382" s="93"/>
      <c r="K382" s="93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46"/>
      <c r="D383" s="9"/>
      <c r="E383" s="9"/>
      <c r="F383" s="91"/>
      <c r="G383" s="92"/>
      <c r="H383" s="92"/>
      <c r="I383" s="92"/>
      <c r="J383" s="93"/>
      <c r="K383" s="93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46"/>
      <c r="D384" s="9"/>
      <c r="E384" s="9"/>
      <c r="F384" s="91"/>
      <c r="G384" s="92"/>
      <c r="H384" s="92"/>
      <c r="I384" s="92"/>
      <c r="J384" s="93"/>
      <c r="K384" s="93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46"/>
      <c r="D385" s="9"/>
      <c r="E385" s="9"/>
      <c r="F385" s="91"/>
      <c r="G385" s="92"/>
      <c r="H385" s="92"/>
      <c r="I385" s="92"/>
      <c r="J385" s="93"/>
      <c r="K385" s="93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46"/>
      <c r="D386" s="9"/>
      <c r="E386" s="9"/>
      <c r="F386" s="91"/>
      <c r="G386" s="92"/>
      <c r="H386" s="92"/>
      <c r="I386" s="92"/>
      <c r="J386" s="93"/>
      <c r="K386" s="93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46"/>
      <c r="D387" s="9"/>
      <c r="E387" s="9"/>
      <c r="F387" s="91"/>
      <c r="G387" s="92"/>
      <c r="H387" s="92"/>
      <c r="I387" s="92"/>
      <c r="J387" s="93"/>
      <c r="K387" s="93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46"/>
      <c r="D388" s="9"/>
      <c r="E388" s="9"/>
      <c r="F388" s="91"/>
      <c r="G388" s="92"/>
      <c r="H388" s="92"/>
      <c r="I388" s="92"/>
      <c r="J388" s="93"/>
      <c r="K388" s="93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46"/>
      <c r="D389" s="9"/>
      <c r="E389" s="9"/>
      <c r="F389" s="91"/>
      <c r="G389" s="92"/>
      <c r="H389" s="92"/>
      <c r="I389" s="92"/>
      <c r="J389" s="93"/>
      <c r="K389" s="93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46"/>
      <c r="D390" s="9"/>
      <c r="E390" s="9"/>
      <c r="F390" s="91"/>
      <c r="G390" s="92"/>
      <c r="H390" s="92"/>
      <c r="I390" s="92"/>
      <c r="J390" s="93"/>
      <c r="K390" s="93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46"/>
      <c r="D391" s="9"/>
      <c r="E391" s="9"/>
      <c r="F391" s="91"/>
      <c r="G391" s="92"/>
      <c r="H391" s="92"/>
      <c r="I391" s="92"/>
      <c r="J391" s="93"/>
      <c r="K391" s="93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46"/>
      <c r="D392" s="9"/>
      <c r="E392" s="9"/>
      <c r="F392" s="91"/>
      <c r="G392" s="92"/>
      <c r="H392" s="92"/>
      <c r="I392" s="92"/>
      <c r="J392" s="93"/>
      <c r="K392" s="93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46"/>
      <c r="D393" s="9"/>
      <c r="E393" s="9"/>
      <c r="F393" s="91"/>
      <c r="G393" s="92"/>
      <c r="H393" s="92"/>
      <c r="I393" s="92"/>
      <c r="J393" s="93"/>
      <c r="K393" s="93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46"/>
      <c r="D394" s="9"/>
      <c r="E394" s="9"/>
      <c r="F394" s="91"/>
      <c r="G394" s="92"/>
      <c r="H394" s="92"/>
      <c r="I394" s="92"/>
      <c r="J394" s="93"/>
      <c r="K394" s="93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46"/>
      <c r="D395" s="9"/>
      <c r="E395" s="9"/>
      <c r="F395" s="91"/>
      <c r="G395" s="92"/>
      <c r="H395" s="92"/>
      <c r="I395" s="92"/>
      <c r="J395" s="93"/>
      <c r="K395" s="93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46"/>
      <c r="D396" s="9"/>
      <c r="E396" s="9"/>
      <c r="F396" s="91"/>
      <c r="G396" s="92"/>
      <c r="H396" s="92"/>
      <c r="I396" s="92"/>
      <c r="J396" s="93"/>
      <c r="K396" s="93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46"/>
      <c r="D397" s="9"/>
      <c r="E397" s="9"/>
      <c r="F397" s="91"/>
      <c r="G397" s="92"/>
      <c r="H397" s="92"/>
      <c r="I397" s="92"/>
      <c r="J397" s="93"/>
      <c r="K397" s="93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46"/>
      <c r="D398" s="9"/>
      <c r="E398" s="9"/>
      <c r="F398" s="91"/>
      <c r="G398" s="92"/>
      <c r="H398" s="92"/>
      <c r="I398" s="92"/>
      <c r="J398" s="93"/>
      <c r="K398" s="93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46"/>
      <c r="D399" s="9"/>
      <c r="E399" s="9"/>
      <c r="F399" s="91"/>
      <c r="G399" s="92"/>
      <c r="H399" s="92"/>
      <c r="I399" s="92"/>
      <c r="J399" s="93"/>
      <c r="K399" s="93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46"/>
      <c r="D400" s="9"/>
      <c r="E400" s="9"/>
      <c r="F400" s="91"/>
      <c r="G400" s="92"/>
      <c r="H400" s="92"/>
      <c r="I400" s="92"/>
      <c r="J400" s="93"/>
      <c r="K400" s="93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46"/>
      <c r="D401" s="9"/>
      <c r="E401" s="9"/>
      <c r="F401" s="91"/>
      <c r="G401" s="92"/>
      <c r="H401" s="92"/>
      <c r="I401" s="92"/>
      <c r="J401" s="93"/>
      <c r="K401" s="93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46"/>
      <c r="D402" s="9"/>
      <c r="E402" s="9"/>
      <c r="F402" s="91"/>
      <c r="G402" s="92"/>
      <c r="H402" s="92"/>
      <c r="I402" s="92"/>
      <c r="J402" s="93"/>
      <c r="K402" s="93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46"/>
      <c r="D403" s="9"/>
      <c r="E403" s="9"/>
      <c r="F403" s="91"/>
      <c r="G403" s="92"/>
      <c r="H403" s="92"/>
      <c r="I403" s="92"/>
      <c r="J403" s="93"/>
      <c r="K403" s="93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46"/>
      <c r="D404" s="9"/>
      <c r="E404" s="9"/>
      <c r="F404" s="91"/>
      <c r="G404" s="92"/>
      <c r="H404" s="92"/>
      <c r="I404" s="92"/>
      <c r="J404" s="93"/>
      <c r="K404" s="93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46"/>
      <c r="D405" s="9"/>
      <c r="E405" s="9"/>
      <c r="F405" s="91"/>
      <c r="G405" s="92"/>
      <c r="H405" s="92"/>
      <c r="I405" s="92"/>
      <c r="J405" s="93"/>
      <c r="K405" s="93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46"/>
      <c r="D406" s="9"/>
      <c r="E406" s="9"/>
      <c r="F406" s="91"/>
      <c r="G406" s="92"/>
      <c r="H406" s="92"/>
      <c r="I406" s="92"/>
      <c r="J406" s="93"/>
      <c r="K406" s="93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46"/>
      <c r="D407" s="9"/>
      <c r="E407" s="9"/>
      <c r="F407" s="91"/>
      <c r="G407" s="92"/>
      <c r="H407" s="92"/>
      <c r="I407" s="92"/>
      <c r="J407" s="93"/>
      <c r="K407" s="93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46"/>
      <c r="D408" s="9"/>
      <c r="E408" s="9"/>
      <c r="F408" s="91"/>
      <c r="G408" s="92"/>
      <c r="H408" s="92"/>
      <c r="I408" s="92"/>
      <c r="J408" s="93"/>
      <c r="K408" s="93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46"/>
      <c r="D409" s="9"/>
      <c r="E409" s="9"/>
      <c r="F409" s="91"/>
      <c r="G409" s="92"/>
      <c r="H409" s="92"/>
      <c r="I409" s="92"/>
      <c r="J409" s="93"/>
      <c r="K409" s="93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46"/>
      <c r="D410" s="9"/>
      <c r="E410" s="9"/>
      <c r="F410" s="91"/>
      <c r="G410" s="92"/>
      <c r="H410" s="92"/>
      <c r="I410" s="92"/>
      <c r="J410" s="93"/>
      <c r="K410" s="93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46"/>
      <c r="D411" s="9"/>
      <c r="E411" s="9"/>
      <c r="F411" s="91"/>
      <c r="G411" s="92"/>
      <c r="H411" s="92"/>
      <c r="I411" s="92"/>
      <c r="J411" s="93"/>
      <c r="K411" s="93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46"/>
      <c r="D412" s="9"/>
      <c r="E412" s="9"/>
      <c r="F412" s="91"/>
      <c r="G412" s="92"/>
      <c r="H412" s="92"/>
      <c r="I412" s="92"/>
      <c r="J412" s="93"/>
      <c r="K412" s="93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46"/>
      <c r="D413" s="9"/>
      <c r="E413" s="9"/>
      <c r="F413" s="91"/>
      <c r="G413" s="92"/>
      <c r="H413" s="92"/>
      <c r="I413" s="92"/>
      <c r="J413" s="93"/>
      <c r="K413" s="93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46"/>
      <c r="D414" s="9"/>
      <c r="E414" s="9"/>
      <c r="F414" s="91"/>
      <c r="G414" s="92"/>
      <c r="H414" s="92"/>
      <c r="I414" s="92"/>
      <c r="J414" s="93"/>
      <c r="K414" s="93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46"/>
      <c r="D415" s="9"/>
      <c r="E415" s="9"/>
      <c r="F415" s="91"/>
      <c r="G415" s="92"/>
      <c r="H415" s="92"/>
      <c r="I415" s="92"/>
      <c r="J415" s="93"/>
      <c r="K415" s="93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46"/>
      <c r="D416" s="9"/>
      <c r="E416" s="9"/>
      <c r="F416" s="91"/>
      <c r="G416" s="92"/>
      <c r="H416" s="92"/>
      <c r="I416" s="92"/>
      <c r="J416" s="93"/>
      <c r="K416" s="93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46"/>
      <c r="D417" s="9"/>
      <c r="E417" s="9"/>
      <c r="F417" s="91"/>
      <c r="G417" s="92"/>
      <c r="H417" s="92"/>
      <c r="I417" s="92"/>
      <c r="J417" s="93"/>
      <c r="K417" s="93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46"/>
      <c r="D418" s="9"/>
      <c r="E418" s="9"/>
      <c r="F418" s="91"/>
      <c r="G418" s="92"/>
      <c r="H418" s="92"/>
      <c r="I418" s="92"/>
      <c r="J418" s="93"/>
      <c r="K418" s="93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46"/>
      <c r="D419" s="9"/>
      <c r="E419" s="9"/>
      <c r="F419" s="91"/>
      <c r="G419" s="92"/>
      <c r="H419" s="92"/>
      <c r="I419" s="92"/>
      <c r="J419" s="93"/>
      <c r="K419" s="93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46"/>
      <c r="D420" s="9"/>
      <c r="E420" s="9"/>
      <c r="F420" s="91"/>
      <c r="G420" s="92"/>
      <c r="H420" s="92"/>
      <c r="I420" s="92"/>
      <c r="J420" s="93"/>
      <c r="K420" s="93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46"/>
      <c r="D421" s="9"/>
      <c r="E421" s="9"/>
      <c r="F421" s="91"/>
      <c r="G421" s="92"/>
      <c r="H421" s="92"/>
      <c r="I421" s="92"/>
      <c r="J421" s="93"/>
      <c r="K421" s="93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46"/>
      <c r="D422" s="9"/>
      <c r="E422" s="9"/>
      <c r="F422" s="91"/>
      <c r="G422" s="92"/>
      <c r="H422" s="92"/>
      <c r="I422" s="92"/>
      <c r="J422" s="93"/>
      <c r="K422" s="93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46"/>
      <c r="D423" s="9"/>
      <c r="E423" s="9"/>
      <c r="F423" s="91"/>
      <c r="G423" s="92"/>
      <c r="H423" s="92"/>
      <c r="I423" s="92"/>
      <c r="J423" s="93"/>
      <c r="K423" s="93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46"/>
      <c r="D424" s="9"/>
      <c r="E424" s="9"/>
      <c r="F424" s="91"/>
      <c r="G424" s="92"/>
      <c r="H424" s="92"/>
      <c r="I424" s="92"/>
      <c r="J424" s="93"/>
      <c r="K424" s="93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46"/>
      <c r="D425" s="9"/>
      <c r="E425" s="9"/>
      <c r="F425" s="91"/>
      <c r="G425" s="92"/>
      <c r="H425" s="92"/>
      <c r="I425" s="92"/>
      <c r="J425" s="93"/>
      <c r="K425" s="93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46"/>
      <c r="D426" s="9"/>
      <c r="E426" s="9"/>
      <c r="F426" s="91"/>
      <c r="G426" s="92"/>
      <c r="H426" s="92"/>
      <c r="I426" s="92"/>
      <c r="J426" s="93"/>
      <c r="K426" s="93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46"/>
      <c r="D427" s="9"/>
      <c r="E427" s="9"/>
      <c r="F427" s="91"/>
      <c r="G427" s="92"/>
      <c r="H427" s="92"/>
      <c r="I427" s="92"/>
      <c r="J427" s="93"/>
      <c r="K427" s="93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46"/>
      <c r="D428" s="9"/>
      <c r="E428" s="9"/>
      <c r="F428" s="91"/>
      <c r="G428" s="92"/>
      <c r="H428" s="92"/>
      <c r="I428" s="92"/>
      <c r="J428" s="93"/>
      <c r="K428" s="93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46"/>
      <c r="D429" s="9"/>
      <c r="E429" s="9"/>
      <c r="F429" s="91"/>
      <c r="G429" s="92"/>
      <c r="H429" s="92"/>
      <c r="I429" s="92"/>
      <c r="J429" s="93"/>
      <c r="K429" s="93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46"/>
      <c r="D430" s="9"/>
      <c r="E430" s="9"/>
      <c r="F430" s="91"/>
      <c r="G430" s="92"/>
      <c r="H430" s="92"/>
      <c r="I430" s="92"/>
      <c r="J430" s="93"/>
      <c r="K430" s="93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46"/>
      <c r="D431" s="9"/>
      <c r="E431" s="9"/>
      <c r="F431" s="91"/>
      <c r="G431" s="92"/>
      <c r="H431" s="92"/>
      <c r="I431" s="92"/>
      <c r="J431" s="93"/>
      <c r="K431" s="93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46"/>
      <c r="D432" s="9"/>
      <c r="E432" s="9"/>
      <c r="F432" s="91"/>
      <c r="G432" s="92"/>
      <c r="H432" s="92"/>
      <c r="I432" s="92"/>
      <c r="J432" s="93"/>
      <c r="K432" s="93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46"/>
      <c r="D433" s="9"/>
      <c r="E433" s="9"/>
      <c r="F433" s="91"/>
      <c r="G433" s="92"/>
      <c r="H433" s="92"/>
      <c r="I433" s="92"/>
      <c r="J433" s="93"/>
      <c r="K433" s="93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46"/>
      <c r="D434" s="9"/>
      <c r="E434" s="9"/>
      <c r="F434" s="91"/>
      <c r="G434" s="92"/>
      <c r="H434" s="92"/>
      <c r="I434" s="92"/>
      <c r="J434" s="93"/>
      <c r="K434" s="93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46"/>
      <c r="D435" s="9"/>
      <c r="E435" s="9"/>
      <c r="F435" s="91"/>
      <c r="G435" s="92"/>
      <c r="H435" s="92"/>
      <c r="I435" s="92"/>
      <c r="J435" s="93"/>
      <c r="K435" s="93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46"/>
      <c r="D436" s="9"/>
      <c r="E436" s="9"/>
      <c r="F436" s="91"/>
      <c r="G436" s="92"/>
      <c r="H436" s="92"/>
      <c r="I436" s="92"/>
      <c r="J436" s="93"/>
      <c r="K436" s="93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46"/>
      <c r="D437" s="9"/>
      <c r="E437" s="9"/>
      <c r="F437" s="91"/>
      <c r="G437" s="92"/>
      <c r="H437" s="92"/>
      <c r="I437" s="92"/>
      <c r="J437" s="93"/>
      <c r="K437" s="93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46"/>
      <c r="D438" s="9"/>
      <c r="E438" s="9"/>
      <c r="F438" s="91"/>
      <c r="G438" s="92"/>
      <c r="H438" s="92"/>
      <c r="I438" s="92"/>
      <c r="J438" s="93"/>
      <c r="K438" s="93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46"/>
      <c r="D439" s="9"/>
      <c r="E439" s="9"/>
      <c r="F439" s="91"/>
      <c r="G439" s="92"/>
      <c r="H439" s="92"/>
      <c r="I439" s="92"/>
      <c r="J439" s="93"/>
      <c r="K439" s="93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46"/>
      <c r="D440" s="9"/>
      <c r="E440" s="9"/>
      <c r="F440" s="91"/>
      <c r="G440" s="92"/>
      <c r="H440" s="92"/>
      <c r="I440" s="92"/>
      <c r="J440" s="93"/>
      <c r="K440" s="93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46"/>
      <c r="D441" s="9"/>
      <c r="E441" s="9"/>
      <c r="F441" s="91"/>
      <c r="G441" s="92"/>
      <c r="H441" s="92"/>
      <c r="I441" s="92"/>
      <c r="J441" s="93"/>
      <c r="K441" s="93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46"/>
      <c r="D442" s="9"/>
      <c r="E442" s="9"/>
      <c r="F442" s="91"/>
      <c r="G442" s="92"/>
      <c r="H442" s="92"/>
      <c r="I442" s="92"/>
      <c r="J442" s="93"/>
      <c r="K442" s="93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46"/>
      <c r="D443" s="9"/>
      <c r="E443" s="9"/>
      <c r="F443" s="91"/>
      <c r="G443" s="92"/>
      <c r="H443" s="92"/>
      <c r="I443" s="92"/>
      <c r="J443" s="93"/>
      <c r="K443" s="93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46"/>
      <c r="D444" s="9"/>
      <c r="E444" s="9"/>
      <c r="F444" s="91"/>
      <c r="G444" s="92"/>
      <c r="H444" s="92"/>
      <c r="I444" s="92"/>
      <c r="J444" s="93"/>
      <c r="K444" s="93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46"/>
      <c r="D445" s="9"/>
      <c r="E445" s="9"/>
      <c r="F445" s="91"/>
      <c r="G445" s="92"/>
      <c r="H445" s="92"/>
      <c r="I445" s="92"/>
      <c r="J445" s="93"/>
      <c r="K445" s="93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46"/>
      <c r="D446" s="9"/>
      <c r="E446" s="9"/>
      <c r="F446" s="91"/>
      <c r="G446" s="92"/>
      <c r="H446" s="92"/>
      <c r="I446" s="92"/>
      <c r="J446" s="93"/>
      <c r="K446" s="93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46"/>
      <c r="D447" s="9"/>
      <c r="E447" s="9"/>
      <c r="F447" s="91"/>
      <c r="G447" s="92"/>
      <c r="H447" s="92"/>
      <c r="I447" s="92"/>
      <c r="J447" s="93"/>
      <c r="K447" s="93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46"/>
      <c r="D448" s="9"/>
      <c r="E448" s="9"/>
      <c r="F448" s="91"/>
      <c r="G448" s="92"/>
      <c r="H448" s="92"/>
      <c r="I448" s="92"/>
      <c r="J448" s="93"/>
      <c r="K448" s="93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46"/>
      <c r="D449" s="9"/>
      <c r="E449" s="9"/>
      <c r="F449" s="91"/>
      <c r="G449" s="92"/>
      <c r="H449" s="92"/>
      <c r="I449" s="92"/>
      <c r="J449" s="93"/>
      <c r="K449" s="93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46"/>
      <c r="D450" s="9"/>
      <c r="E450" s="9"/>
      <c r="F450" s="91"/>
      <c r="G450" s="92"/>
      <c r="H450" s="92"/>
      <c r="I450" s="92"/>
      <c r="J450" s="93"/>
      <c r="K450" s="93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46"/>
      <c r="D451" s="9"/>
      <c r="E451" s="9"/>
      <c r="F451" s="91"/>
      <c r="G451" s="92"/>
      <c r="H451" s="92"/>
      <c r="I451" s="92"/>
      <c r="J451" s="93"/>
      <c r="K451" s="93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46"/>
      <c r="D452" s="9"/>
      <c r="E452" s="9"/>
      <c r="F452" s="91"/>
      <c r="G452" s="92"/>
      <c r="H452" s="92"/>
      <c r="I452" s="92"/>
      <c r="J452" s="93"/>
      <c r="K452" s="93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46"/>
      <c r="D453" s="9"/>
      <c r="E453" s="9"/>
      <c r="F453" s="91"/>
      <c r="G453" s="92"/>
      <c r="H453" s="92"/>
      <c r="I453" s="92"/>
      <c r="J453" s="93"/>
      <c r="K453" s="93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46"/>
      <c r="D454" s="9"/>
      <c r="E454" s="9"/>
      <c r="F454" s="91"/>
      <c r="G454" s="92"/>
      <c r="H454" s="92"/>
      <c r="I454" s="92"/>
      <c r="J454" s="93"/>
      <c r="K454" s="93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46"/>
      <c r="D455" s="9"/>
      <c r="E455" s="9"/>
      <c r="F455" s="91"/>
      <c r="G455" s="92"/>
      <c r="H455" s="92"/>
      <c r="I455" s="92"/>
      <c r="J455" s="93"/>
      <c r="K455" s="93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46"/>
      <c r="D456" s="9"/>
      <c r="E456" s="9"/>
      <c r="F456" s="91"/>
      <c r="G456" s="92"/>
      <c r="H456" s="92"/>
      <c r="I456" s="92"/>
      <c r="J456" s="93"/>
      <c r="K456" s="93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46"/>
      <c r="D457" s="9"/>
      <c r="E457" s="9"/>
      <c r="F457" s="91"/>
      <c r="G457" s="92"/>
      <c r="H457" s="92"/>
      <c r="I457" s="92"/>
      <c r="J457" s="93"/>
      <c r="K457" s="93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46"/>
      <c r="D458" s="9"/>
      <c r="E458" s="9"/>
      <c r="F458" s="91"/>
      <c r="G458" s="92"/>
      <c r="H458" s="92"/>
      <c r="I458" s="92"/>
      <c r="J458" s="93"/>
      <c r="K458" s="93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46"/>
      <c r="D459" s="9"/>
      <c r="E459" s="9"/>
      <c r="F459" s="91"/>
      <c r="G459" s="92"/>
      <c r="H459" s="92"/>
      <c r="I459" s="92"/>
      <c r="J459" s="93"/>
      <c r="K459" s="93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46"/>
      <c r="D460" s="9"/>
      <c r="E460" s="9"/>
      <c r="F460" s="91"/>
      <c r="G460" s="92"/>
      <c r="H460" s="92"/>
      <c r="I460" s="92"/>
      <c r="J460" s="93"/>
      <c r="K460" s="93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46"/>
      <c r="D461" s="9"/>
      <c r="E461" s="9"/>
      <c r="F461" s="91"/>
      <c r="G461" s="92"/>
      <c r="H461" s="92"/>
      <c r="I461" s="92"/>
      <c r="J461" s="93"/>
      <c r="K461" s="93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46"/>
      <c r="D462" s="9"/>
      <c r="E462" s="9"/>
      <c r="F462" s="91"/>
      <c r="G462" s="92"/>
      <c r="H462" s="92"/>
      <c r="I462" s="92"/>
      <c r="J462" s="93"/>
      <c r="K462" s="93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46"/>
      <c r="D463" s="9"/>
      <c r="E463" s="9"/>
      <c r="F463" s="91"/>
      <c r="G463" s="92"/>
      <c r="H463" s="92"/>
      <c r="I463" s="92"/>
      <c r="J463" s="93"/>
      <c r="K463" s="93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46"/>
      <c r="D464" s="9"/>
      <c r="E464" s="9"/>
      <c r="F464" s="91"/>
      <c r="G464" s="92"/>
      <c r="H464" s="92"/>
      <c r="I464" s="92"/>
      <c r="J464" s="93"/>
      <c r="K464" s="93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46"/>
      <c r="D465" s="9"/>
      <c r="E465" s="9"/>
      <c r="F465" s="91"/>
      <c r="G465" s="92"/>
      <c r="H465" s="92"/>
      <c r="I465" s="92"/>
      <c r="J465" s="93"/>
      <c r="K465" s="93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46"/>
      <c r="D466" s="9"/>
      <c r="E466" s="9"/>
      <c r="F466" s="91"/>
      <c r="G466" s="92"/>
      <c r="H466" s="92"/>
      <c r="I466" s="92"/>
      <c r="J466" s="93"/>
      <c r="K466" s="93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46"/>
      <c r="D467" s="9"/>
      <c r="E467" s="9"/>
      <c r="F467" s="91"/>
      <c r="G467" s="92"/>
      <c r="H467" s="92"/>
      <c r="I467" s="92"/>
      <c r="J467" s="93"/>
      <c r="K467" s="93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46"/>
      <c r="D468" s="9"/>
      <c r="E468" s="9"/>
      <c r="F468" s="91"/>
      <c r="G468" s="92"/>
      <c r="H468" s="92"/>
      <c r="I468" s="92"/>
      <c r="J468" s="93"/>
      <c r="K468" s="93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46"/>
      <c r="D469" s="9"/>
      <c r="E469" s="9"/>
      <c r="F469" s="91"/>
      <c r="G469" s="92"/>
      <c r="H469" s="92"/>
      <c r="I469" s="92"/>
      <c r="J469" s="93"/>
      <c r="K469" s="93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46"/>
      <c r="D470" s="9"/>
      <c r="E470" s="9"/>
      <c r="F470" s="91"/>
      <c r="G470" s="92"/>
      <c r="H470" s="92"/>
      <c r="I470" s="92"/>
      <c r="J470" s="93"/>
      <c r="K470" s="93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46"/>
      <c r="D471" s="9"/>
      <c r="E471" s="9"/>
      <c r="F471" s="91"/>
      <c r="G471" s="92"/>
      <c r="H471" s="92"/>
      <c r="I471" s="92"/>
      <c r="J471" s="93"/>
      <c r="K471" s="93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46"/>
      <c r="D472" s="9"/>
      <c r="E472" s="9"/>
      <c r="F472" s="91"/>
      <c r="G472" s="92"/>
      <c r="H472" s="92"/>
      <c r="I472" s="92"/>
      <c r="J472" s="93"/>
      <c r="K472" s="93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46"/>
      <c r="D473" s="9"/>
      <c r="E473" s="9"/>
      <c r="F473" s="91"/>
      <c r="G473" s="92"/>
      <c r="H473" s="92"/>
      <c r="I473" s="92"/>
      <c r="J473" s="93"/>
      <c r="K473" s="93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46"/>
      <c r="D474" s="9"/>
      <c r="E474" s="9"/>
      <c r="F474" s="91"/>
      <c r="G474" s="92"/>
      <c r="H474" s="92"/>
      <c r="I474" s="92"/>
      <c r="J474" s="93"/>
      <c r="K474" s="93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46"/>
      <c r="D475" s="9"/>
      <c r="E475" s="9"/>
      <c r="F475" s="91"/>
      <c r="G475" s="92"/>
      <c r="H475" s="92"/>
      <c r="I475" s="92"/>
      <c r="J475" s="93"/>
      <c r="K475" s="93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46"/>
      <c r="D476" s="9"/>
      <c r="E476" s="9"/>
      <c r="F476" s="91"/>
      <c r="G476" s="92"/>
      <c r="H476" s="92"/>
      <c r="I476" s="92"/>
      <c r="J476" s="93"/>
      <c r="K476" s="93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46"/>
      <c r="D477" s="9"/>
      <c r="E477" s="9"/>
      <c r="F477" s="91"/>
      <c r="G477" s="92"/>
      <c r="H477" s="92"/>
      <c r="I477" s="92"/>
      <c r="J477" s="93"/>
      <c r="K477" s="93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46"/>
      <c r="D478" s="9"/>
      <c r="E478" s="9"/>
      <c r="F478" s="91"/>
      <c r="G478" s="92"/>
      <c r="H478" s="92"/>
      <c r="I478" s="92"/>
      <c r="J478" s="93"/>
      <c r="K478" s="93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46"/>
      <c r="D479" s="9"/>
      <c r="E479" s="9"/>
      <c r="F479" s="91"/>
      <c r="G479" s="92"/>
      <c r="H479" s="92"/>
      <c r="I479" s="92"/>
      <c r="J479" s="93"/>
      <c r="K479" s="93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46"/>
      <c r="D480" s="9"/>
      <c r="E480" s="9"/>
      <c r="F480" s="91"/>
      <c r="G480" s="92"/>
      <c r="H480" s="92"/>
      <c r="I480" s="92"/>
      <c r="J480" s="93"/>
      <c r="K480" s="93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46"/>
      <c r="D481" s="9"/>
      <c r="E481" s="9"/>
      <c r="F481" s="91"/>
      <c r="G481" s="92"/>
      <c r="H481" s="92"/>
      <c r="I481" s="92"/>
      <c r="J481" s="93"/>
      <c r="K481" s="93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46"/>
      <c r="D482" s="9"/>
      <c r="E482" s="9"/>
      <c r="F482" s="91"/>
      <c r="G482" s="92"/>
      <c r="H482" s="92"/>
      <c r="I482" s="92"/>
      <c r="J482" s="93"/>
      <c r="K482" s="93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46"/>
      <c r="D483" s="9"/>
      <c r="E483" s="9"/>
      <c r="F483" s="91"/>
      <c r="G483" s="92"/>
      <c r="H483" s="92"/>
      <c r="I483" s="92"/>
      <c r="J483" s="93"/>
      <c r="K483" s="93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46"/>
      <c r="D484" s="9"/>
      <c r="E484" s="9"/>
      <c r="F484" s="91"/>
      <c r="G484" s="92"/>
      <c r="H484" s="92"/>
      <c r="I484" s="92"/>
      <c r="J484" s="93"/>
      <c r="K484" s="93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46"/>
      <c r="D485" s="9"/>
      <c r="E485" s="9"/>
      <c r="F485" s="91"/>
      <c r="G485" s="92"/>
      <c r="H485" s="92"/>
      <c r="I485" s="92"/>
      <c r="J485" s="93"/>
      <c r="K485" s="93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46"/>
      <c r="D486" s="9"/>
      <c r="E486" s="9"/>
      <c r="F486" s="91"/>
      <c r="G486" s="92"/>
      <c r="H486" s="92"/>
      <c r="I486" s="92"/>
      <c r="J486" s="93"/>
      <c r="K486" s="93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46"/>
      <c r="D487" s="9"/>
      <c r="E487" s="9"/>
      <c r="F487" s="91"/>
      <c r="G487" s="92"/>
      <c r="H487" s="92"/>
      <c r="I487" s="92"/>
      <c r="J487" s="93"/>
      <c r="K487" s="93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46"/>
      <c r="D488" s="9"/>
      <c r="E488" s="9"/>
      <c r="F488" s="91"/>
      <c r="G488" s="92"/>
      <c r="H488" s="92"/>
      <c r="I488" s="92"/>
      <c r="J488" s="93"/>
      <c r="K488" s="93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46"/>
      <c r="D489" s="9"/>
      <c r="E489" s="9"/>
      <c r="F489" s="91"/>
      <c r="G489" s="92"/>
      <c r="H489" s="92"/>
      <c r="I489" s="92"/>
      <c r="J489" s="93"/>
      <c r="K489" s="93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46"/>
      <c r="D490" s="9"/>
      <c r="E490" s="9"/>
      <c r="F490" s="91"/>
      <c r="G490" s="92"/>
      <c r="H490" s="92"/>
      <c r="I490" s="92"/>
      <c r="J490" s="93"/>
      <c r="K490" s="93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46"/>
      <c r="D491" s="9"/>
      <c r="E491" s="9"/>
      <c r="F491" s="91"/>
      <c r="G491" s="92"/>
      <c r="H491" s="92"/>
      <c r="I491" s="92"/>
      <c r="J491" s="93"/>
      <c r="K491" s="93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46"/>
      <c r="D492" s="9"/>
      <c r="E492" s="9"/>
      <c r="F492" s="91"/>
      <c r="G492" s="92"/>
      <c r="H492" s="92"/>
      <c r="I492" s="92"/>
      <c r="J492" s="93"/>
      <c r="K492" s="93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46"/>
      <c r="D493" s="9"/>
      <c r="E493" s="9"/>
      <c r="F493" s="91"/>
      <c r="G493" s="92"/>
      <c r="H493" s="92"/>
      <c r="I493" s="92"/>
      <c r="J493" s="93"/>
      <c r="K493" s="93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46"/>
      <c r="D494" s="9"/>
      <c r="E494" s="9"/>
      <c r="F494" s="91"/>
      <c r="G494" s="92"/>
      <c r="H494" s="92"/>
      <c r="I494" s="92"/>
      <c r="J494" s="93"/>
      <c r="K494" s="93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46"/>
      <c r="D495" s="9"/>
      <c r="E495" s="9"/>
      <c r="F495" s="91"/>
      <c r="G495" s="92"/>
      <c r="H495" s="92"/>
      <c r="I495" s="92"/>
      <c r="J495" s="93"/>
      <c r="K495" s="93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46"/>
      <c r="D496" s="9"/>
      <c r="E496" s="9"/>
      <c r="F496" s="91"/>
      <c r="G496" s="92"/>
      <c r="H496" s="92"/>
      <c r="I496" s="92"/>
      <c r="J496" s="93"/>
      <c r="K496" s="93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46"/>
      <c r="D497" s="9"/>
      <c r="E497" s="9"/>
      <c r="F497" s="91"/>
      <c r="G497" s="92"/>
      <c r="H497" s="92"/>
      <c r="I497" s="92"/>
      <c r="J497" s="93"/>
      <c r="K497" s="93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46"/>
      <c r="D498" s="9"/>
      <c r="E498" s="9"/>
      <c r="F498" s="91"/>
      <c r="G498" s="92"/>
      <c r="H498" s="92"/>
      <c r="I498" s="92"/>
      <c r="J498" s="93"/>
      <c r="K498" s="93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46"/>
      <c r="D499" s="9"/>
      <c r="E499" s="9"/>
      <c r="F499" s="91"/>
      <c r="G499" s="92"/>
      <c r="H499" s="92"/>
      <c r="I499" s="92"/>
      <c r="J499" s="93"/>
      <c r="K499" s="93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46"/>
      <c r="D500" s="9"/>
      <c r="E500" s="9"/>
      <c r="F500" s="91"/>
      <c r="G500" s="92"/>
      <c r="H500" s="92"/>
      <c r="I500" s="92"/>
      <c r="J500" s="93"/>
      <c r="K500" s="93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46"/>
      <c r="D501" s="9"/>
      <c r="E501" s="9"/>
      <c r="F501" s="91"/>
      <c r="G501" s="92"/>
      <c r="H501" s="92"/>
      <c r="I501" s="92"/>
      <c r="J501" s="93"/>
      <c r="K501" s="93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46"/>
      <c r="D502" s="9"/>
      <c r="E502" s="9"/>
      <c r="F502" s="91"/>
      <c r="G502" s="92"/>
      <c r="H502" s="92"/>
      <c r="I502" s="92"/>
      <c r="J502" s="93"/>
      <c r="K502" s="93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46"/>
      <c r="D503" s="9"/>
      <c r="E503" s="9"/>
      <c r="F503" s="91"/>
      <c r="G503" s="92"/>
      <c r="H503" s="92"/>
      <c r="I503" s="92"/>
      <c r="J503" s="93"/>
      <c r="K503" s="93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46"/>
      <c r="D504" s="9"/>
      <c r="E504" s="9"/>
      <c r="F504" s="91"/>
      <c r="G504" s="92"/>
      <c r="H504" s="92"/>
      <c r="I504" s="92"/>
      <c r="J504" s="93"/>
      <c r="K504" s="93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46"/>
      <c r="D505" s="9"/>
      <c r="E505" s="9"/>
      <c r="F505" s="91"/>
      <c r="G505" s="92"/>
      <c r="H505" s="92"/>
      <c r="I505" s="92"/>
      <c r="J505" s="93"/>
      <c r="K505" s="93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46"/>
      <c r="D506" s="9"/>
      <c r="E506" s="9"/>
      <c r="F506" s="91"/>
      <c r="G506" s="92"/>
      <c r="H506" s="92"/>
      <c r="I506" s="92"/>
      <c r="J506" s="93"/>
      <c r="K506" s="93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46"/>
      <c r="D507" s="9"/>
      <c r="E507" s="9"/>
      <c r="F507" s="91"/>
      <c r="G507" s="92"/>
      <c r="H507" s="92"/>
      <c r="I507" s="92"/>
      <c r="J507" s="93"/>
      <c r="K507" s="93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46"/>
      <c r="D508" s="9"/>
      <c r="E508" s="9"/>
      <c r="F508" s="91"/>
      <c r="G508" s="92"/>
      <c r="H508" s="92"/>
      <c r="I508" s="92"/>
      <c r="J508" s="93"/>
      <c r="K508" s="93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46"/>
      <c r="D509" s="9"/>
      <c r="E509" s="9"/>
      <c r="F509" s="91"/>
      <c r="G509" s="92"/>
      <c r="H509" s="92"/>
      <c r="I509" s="92"/>
      <c r="J509" s="93"/>
      <c r="K509" s="93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46"/>
      <c r="D510" s="9"/>
      <c r="E510" s="9"/>
      <c r="F510" s="91"/>
      <c r="G510" s="92"/>
      <c r="H510" s="92"/>
      <c r="I510" s="92"/>
      <c r="J510" s="93"/>
      <c r="K510" s="93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46"/>
      <c r="D511" s="9"/>
      <c r="E511" s="9"/>
      <c r="F511" s="91"/>
      <c r="G511" s="92"/>
      <c r="H511" s="92"/>
      <c r="I511" s="92"/>
      <c r="J511" s="93"/>
      <c r="K511" s="93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46"/>
      <c r="D512" s="9"/>
      <c r="E512" s="9"/>
      <c r="F512" s="91"/>
      <c r="G512" s="92"/>
      <c r="H512" s="92"/>
      <c r="I512" s="92"/>
      <c r="J512" s="93"/>
      <c r="K512" s="93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46"/>
      <c r="D513" s="9"/>
      <c r="E513" s="9"/>
      <c r="F513" s="91"/>
      <c r="G513" s="92"/>
      <c r="H513" s="92"/>
      <c r="I513" s="92"/>
      <c r="J513" s="93"/>
      <c r="K513" s="93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46"/>
      <c r="D514" s="9"/>
      <c r="E514" s="9"/>
      <c r="F514" s="91"/>
      <c r="G514" s="92"/>
      <c r="H514" s="92"/>
      <c r="I514" s="92"/>
      <c r="J514" s="93"/>
      <c r="K514" s="93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46"/>
      <c r="D515" s="9"/>
      <c r="E515" s="9"/>
      <c r="F515" s="91"/>
      <c r="G515" s="92"/>
      <c r="H515" s="92"/>
      <c r="I515" s="92"/>
      <c r="J515" s="93"/>
      <c r="K515" s="93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46"/>
      <c r="D516" s="9"/>
      <c r="E516" s="9"/>
      <c r="F516" s="91"/>
      <c r="G516" s="92"/>
      <c r="H516" s="92"/>
      <c r="I516" s="92"/>
      <c r="J516" s="93"/>
      <c r="K516" s="93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46"/>
      <c r="D517" s="9"/>
      <c r="E517" s="9"/>
      <c r="F517" s="91"/>
      <c r="G517" s="92"/>
      <c r="H517" s="92"/>
      <c r="I517" s="92"/>
      <c r="J517" s="93"/>
      <c r="K517" s="93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46"/>
      <c r="D518" s="9"/>
      <c r="E518" s="9"/>
      <c r="F518" s="91"/>
      <c r="G518" s="92"/>
      <c r="H518" s="92"/>
      <c r="I518" s="92"/>
      <c r="J518" s="93"/>
      <c r="K518" s="93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46"/>
      <c r="D519" s="9"/>
      <c r="E519" s="9"/>
      <c r="F519" s="91"/>
      <c r="G519" s="92"/>
      <c r="H519" s="92"/>
      <c r="I519" s="92"/>
      <c r="J519" s="93"/>
      <c r="K519" s="93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46"/>
      <c r="D520" s="9"/>
      <c r="E520" s="9"/>
      <c r="F520" s="91"/>
      <c r="G520" s="92"/>
      <c r="H520" s="92"/>
      <c r="I520" s="92"/>
      <c r="J520" s="93"/>
      <c r="K520" s="93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46"/>
      <c r="D521" s="9"/>
      <c r="E521" s="9"/>
      <c r="F521" s="91"/>
      <c r="G521" s="92"/>
      <c r="H521" s="92"/>
      <c r="I521" s="92"/>
      <c r="J521" s="93"/>
      <c r="K521" s="93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46"/>
      <c r="D522" s="9"/>
      <c r="E522" s="9"/>
      <c r="F522" s="91"/>
      <c r="G522" s="92"/>
      <c r="H522" s="92"/>
      <c r="I522" s="92"/>
      <c r="J522" s="93"/>
      <c r="K522" s="93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46"/>
      <c r="D523" s="9"/>
      <c r="E523" s="9"/>
      <c r="F523" s="91"/>
      <c r="G523" s="92"/>
      <c r="H523" s="92"/>
      <c r="I523" s="92"/>
      <c r="J523" s="93"/>
      <c r="K523" s="93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46"/>
      <c r="D524" s="9"/>
      <c r="E524" s="9"/>
      <c r="F524" s="91"/>
      <c r="G524" s="92"/>
      <c r="H524" s="92"/>
      <c r="I524" s="92"/>
      <c r="J524" s="93"/>
      <c r="K524" s="93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46"/>
      <c r="D525" s="9"/>
      <c r="E525" s="9"/>
      <c r="F525" s="91"/>
      <c r="G525" s="92"/>
      <c r="H525" s="92"/>
      <c r="I525" s="92"/>
      <c r="J525" s="93"/>
      <c r="K525" s="93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46"/>
      <c r="D526" s="9"/>
      <c r="E526" s="9"/>
      <c r="F526" s="91"/>
      <c r="G526" s="92"/>
      <c r="H526" s="92"/>
      <c r="I526" s="92"/>
      <c r="J526" s="93"/>
      <c r="K526" s="93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46"/>
      <c r="D527" s="9"/>
      <c r="E527" s="9"/>
      <c r="F527" s="91"/>
      <c r="G527" s="92"/>
      <c r="H527" s="92"/>
      <c r="I527" s="92"/>
      <c r="J527" s="93"/>
      <c r="K527" s="93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46"/>
      <c r="D528" s="9"/>
      <c r="E528" s="9"/>
      <c r="F528" s="91"/>
      <c r="G528" s="92"/>
      <c r="H528" s="92"/>
      <c r="I528" s="92"/>
      <c r="J528" s="93"/>
      <c r="K528" s="93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46"/>
      <c r="D529" s="9"/>
      <c r="E529" s="9"/>
      <c r="F529" s="91"/>
      <c r="G529" s="92"/>
      <c r="H529" s="92"/>
      <c r="I529" s="92"/>
      <c r="J529" s="93"/>
      <c r="K529" s="93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46"/>
      <c r="D530" s="9"/>
      <c r="E530" s="9"/>
      <c r="F530" s="91"/>
      <c r="G530" s="92"/>
      <c r="H530" s="92"/>
      <c r="I530" s="92"/>
      <c r="J530" s="93"/>
      <c r="K530" s="93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46"/>
      <c r="D531" s="9"/>
      <c r="E531" s="9"/>
      <c r="F531" s="91"/>
      <c r="G531" s="92"/>
      <c r="H531" s="92"/>
      <c r="I531" s="92"/>
      <c r="J531" s="93"/>
      <c r="K531" s="93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46"/>
      <c r="D532" s="9"/>
      <c r="E532" s="9"/>
      <c r="F532" s="91"/>
      <c r="G532" s="92"/>
      <c r="H532" s="92"/>
      <c r="I532" s="92"/>
      <c r="J532" s="93"/>
      <c r="K532" s="93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46"/>
      <c r="D533" s="9"/>
      <c r="E533" s="9"/>
      <c r="F533" s="91"/>
      <c r="G533" s="92"/>
      <c r="H533" s="92"/>
      <c r="I533" s="92"/>
      <c r="J533" s="93"/>
      <c r="K533" s="93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46"/>
      <c r="D534" s="9"/>
      <c r="E534" s="9"/>
      <c r="F534" s="91"/>
      <c r="G534" s="92"/>
      <c r="H534" s="92"/>
      <c r="I534" s="92"/>
      <c r="J534" s="93"/>
      <c r="K534" s="93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46"/>
      <c r="D535" s="9"/>
      <c r="E535" s="9"/>
      <c r="F535" s="91"/>
      <c r="G535" s="92"/>
      <c r="H535" s="92"/>
      <c r="I535" s="92"/>
      <c r="J535" s="93"/>
      <c r="K535" s="93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46"/>
      <c r="D536" s="9"/>
      <c r="E536" s="9"/>
      <c r="F536" s="91"/>
      <c r="G536" s="92"/>
      <c r="H536" s="92"/>
      <c r="I536" s="92"/>
      <c r="J536" s="93"/>
      <c r="K536" s="93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46"/>
      <c r="D537" s="9"/>
      <c r="E537" s="9"/>
      <c r="F537" s="91"/>
      <c r="G537" s="92"/>
      <c r="H537" s="92"/>
      <c r="I537" s="92"/>
      <c r="J537" s="93"/>
      <c r="K537" s="93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46"/>
      <c r="D538" s="9"/>
      <c r="E538" s="9"/>
      <c r="F538" s="91"/>
      <c r="G538" s="92"/>
      <c r="H538" s="92"/>
      <c r="I538" s="92"/>
      <c r="J538" s="93"/>
      <c r="K538" s="93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46"/>
      <c r="D539" s="9"/>
      <c r="E539" s="9"/>
      <c r="F539" s="91"/>
      <c r="G539" s="92"/>
      <c r="H539" s="92"/>
      <c r="I539" s="92"/>
      <c r="J539" s="93"/>
      <c r="K539" s="93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46"/>
      <c r="D540" s="9"/>
      <c r="E540" s="9"/>
      <c r="F540" s="91"/>
      <c r="G540" s="92"/>
      <c r="H540" s="92"/>
      <c r="I540" s="92"/>
      <c r="J540" s="93"/>
      <c r="K540" s="93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46"/>
      <c r="D541" s="9"/>
      <c r="E541" s="9"/>
      <c r="F541" s="91"/>
      <c r="G541" s="92"/>
      <c r="H541" s="92"/>
      <c r="I541" s="92"/>
      <c r="J541" s="93"/>
      <c r="K541" s="93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46"/>
      <c r="D542" s="9"/>
      <c r="E542" s="9"/>
      <c r="F542" s="91"/>
      <c r="G542" s="92"/>
      <c r="H542" s="92"/>
      <c r="I542" s="92"/>
      <c r="J542" s="93"/>
      <c r="K542" s="93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46"/>
      <c r="D543" s="9"/>
      <c r="E543" s="9"/>
      <c r="F543" s="91"/>
      <c r="G543" s="92"/>
      <c r="H543" s="92"/>
      <c r="I543" s="92"/>
      <c r="J543" s="93"/>
      <c r="K543" s="93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46"/>
      <c r="D544" s="9"/>
      <c r="E544" s="9"/>
      <c r="F544" s="91"/>
      <c r="G544" s="92"/>
      <c r="H544" s="92"/>
      <c r="I544" s="92"/>
      <c r="J544" s="93"/>
      <c r="K544" s="93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46"/>
      <c r="D545" s="9"/>
      <c r="E545" s="9"/>
      <c r="F545" s="91"/>
      <c r="G545" s="92"/>
      <c r="H545" s="92"/>
      <c r="I545" s="92"/>
      <c r="J545" s="93"/>
      <c r="K545" s="93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46"/>
      <c r="D546" s="9"/>
      <c r="E546" s="9"/>
      <c r="F546" s="91"/>
      <c r="G546" s="92"/>
      <c r="H546" s="92"/>
      <c r="I546" s="92"/>
      <c r="J546" s="93"/>
      <c r="K546" s="93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46"/>
      <c r="D547" s="9"/>
      <c r="E547" s="9"/>
      <c r="F547" s="91"/>
      <c r="G547" s="92"/>
      <c r="H547" s="92"/>
      <c r="I547" s="92"/>
      <c r="J547" s="93"/>
      <c r="K547" s="93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46"/>
      <c r="D548" s="9"/>
      <c r="E548" s="9"/>
      <c r="F548" s="91"/>
      <c r="G548" s="92"/>
      <c r="H548" s="92"/>
      <c r="I548" s="92"/>
      <c r="J548" s="93"/>
      <c r="K548" s="93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46"/>
      <c r="D549" s="9"/>
      <c r="E549" s="9"/>
      <c r="F549" s="91"/>
      <c r="G549" s="92"/>
      <c r="H549" s="92"/>
      <c r="I549" s="92"/>
      <c r="J549" s="93"/>
      <c r="K549" s="93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46"/>
      <c r="D550" s="9"/>
      <c r="E550" s="9"/>
      <c r="F550" s="91"/>
      <c r="G550" s="92"/>
      <c r="H550" s="92"/>
      <c r="I550" s="92"/>
      <c r="J550" s="93"/>
      <c r="K550" s="93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46"/>
      <c r="D551" s="9"/>
      <c r="E551" s="9"/>
      <c r="F551" s="91"/>
      <c r="G551" s="92"/>
      <c r="H551" s="92"/>
      <c r="I551" s="92"/>
      <c r="J551" s="93"/>
      <c r="K551" s="93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46"/>
      <c r="D552" s="9"/>
      <c r="E552" s="9"/>
      <c r="F552" s="91"/>
      <c r="G552" s="92"/>
      <c r="H552" s="92"/>
      <c r="I552" s="92"/>
      <c r="J552" s="93"/>
      <c r="K552" s="93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46"/>
      <c r="D553" s="9"/>
      <c r="E553" s="9"/>
      <c r="F553" s="91"/>
      <c r="G553" s="92"/>
      <c r="H553" s="92"/>
      <c r="I553" s="92"/>
      <c r="J553" s="93"/>
      <c r="K553" s="93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46"/>
      <c r="D554" s="9"/>
      <c r="E554" s="9"/>
      <c r="F554" s="91"/>
      <c r="G554" s="92"/>
      <c r="H554" s="92"/>
      <c r="I554" s="92"/>
      <c r="J554" s="93"/>
      <c r="K554" s="93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46"/>
      <c r="D555" s="9"/>
      <c r="E555" s="9"/>
      <c r="F555" s="91"/>
      <c r="G555" s="92"/>
      <c r="H555" s="92"/>
      <c r="I555" s="92"/>
      <c r="J555" s="93"/>
      <c r="K555" s="93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46"/>
      <c r="D556" s="9"/>
      <c r="E556" s="9"/>
      <c r="F556" s="91"/>
      <c r="G556" s="92"/>
      <c r="H556" s="92"/>
      <c r="I556" s="92"/>
      <c r="J556" s="93"/>
      <c r="K556" s="93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46"/>
      <c r="D557" s="9"/>
      <c r="E557" s="9"/>
      <c r="F557" s="91"/>
      <c r="G557" s="92"/>
      <c r="H557" s="92"/>
      <c r="I557" s="92"/>
      <c r="J557" s="93"/>
      <c r="K557" s="93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46"/>
      <c r="D558" s="9"/>
      <c r="E558" s="9"/>
      <c r="F558" s="91"/>
      <c r="G558" s="92"/>
      <c r="H558" s="92"/>
      <c r="I558" s="92"/>
      <c r="J558" s="93"/>
      <c r="K558" s="93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46"/>
      <c r="D559" s="9"/>
      <c r="E559" s="9"/>
      <c r="F559" s="91"/>
      <c r="G559" s="92"/>
      <c r="H559" s="92"/>
      <c r="I559" s="92"/>
      <c r="J559" s="93"/>
      <c r="K559" s="93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46"/>
      <c r="D560" s="9"/>
      <c r="E560" s="9"/>
      <c r="F560" s="91"/>
      <c r="G560" s="92"/>
      <c r="H560" s="92"/>
      <c r="I560" s="92"/>
      <c r="J560" s="93"/>
      <c r="K560" s="93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46"/>
      <c r="D561" s="9"/>
      <c r="E561" s="9"/>
      <c r="F561" s="91"/>
      <c r="G561" s="92"/>
      <c r="H561" s="92"/>
      <c r="I561" s="92"/>
      <c r="J561" s="93"/>
      <c r="K561" s="93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46"/>
      <c r="D562" s="9"/>
      <c r="E562" s="9"/>
      <c r="F562" s="91"/>
      <c r="G562" s="92"/>
      <c r="H562" s="92"/>
      <c r="I562" s="92"/>
      <c r="J562" s="93"/>
      <c r="K562" s="93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46"/>
      <c r="D563" s="9"/>
      <c r="E563" s="9"/>
      <c r="F563" s="91"/>
      <c r="G563" s="92"/>
      <c r="H563" s="92"/>
      <c r="I563" s="92"/>
      <c r="J563" s="93"/>
      <c r="K563" s="93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46"/>
      <c r="D564" s="9"/>
      <c r="E564" s="9"/>
      <c r="F564" s="91"/>
      <c r="G564" s="92"/>
      <c r="H564" s="92"/>
      <c r="I564" s="92"/>
      <c r="J564" s="93"/>
      <c r="K564" s="93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46"/>
      <c r="D565" s="9"/>
      <c r="E565" s="9"/>
      <c r="F565" s="91"/>
      <c r="G565" s="92"/>
      <c r="H565" s="92"/>
      <c r="I565" s="92"/>
      <c r="J565" s="93"/>
      <c r="K565" s="93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46"/>
      <c r="D566" s="9"/>
      <c r="E566" s="9"/>
      <c r="F566" s="91"/>
      <c r="G566" s="92"/>
      <c r="H566" s="92"/>
      <c r="I566" s="92"/>
      <c r="J566" s="93"/>
      <c r="K566" s="93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46"/>
      <c r="D567" s="9"/>
      <c r="E567" s="9"/>
      <c r="F567" s="91"/>
      <c r="G567" s="92"/>
      <c r="H567" s="92"/>
      <c r="I567" s="92"/>
      <c r="J567" s="93"/>
      <c r="K567" s="93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46"/>
      <c r="D568" s="9"/>
      <c r="E568" s="9"/>
      <c r="F568" s="91"/>
      <c r="G568" s="92"/>
      <c r="H568" s="92"/>
      <c r="I568" s="92"/>
      <c r="J568" s="93"/>
      <c r="K568" s="93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46"/>
      <c r="D569" s="9"/>
      <c r="E569" s="9"/>
      <c r="F569" s="91"/>
      <c r="G569" s="92"/>
      <c r="H569" s="92"/>
      <c r="I569" s="92"/>
      <c r="J569" s="93"/>
      <c r="K569" s="93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46"/>
      <c r="D570" s="9"/>
      <c r="E570" s="9"/>
      <c r="F570" s="91"/>
      <c r="G570" s="92"/>
      <c r="H570" s="92"/>
      <c r="I570" s="92"/>
      <c r="J570" s="93"/>
      <c r="K570" s="93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46"/>
      <c r="D571" s="9"/>
      <c r="E571" s="9"/>
      <c r="F571" s="91"/>
      <c r="G571" s="92"/>
      <c r="H571" s="92"/>
      <c r="I571" s="92"/>
      <c r="J571" s="93"/>
      <c r="K571" s="93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46"/>
      <c r="D572" s="9"/>
      <c r="E572" s="9"/>
      <c r="F572" s="91"/>
      <c r="G572" s="92"/>
      <c r="H572" s="92"/>
      <c r="I572" s="92"/>
      <c r="J572" s="93"/>
      <c r="K572" s="93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46"/>
      <c r="D573" s="9"/>
      <c r="E573" s="9"/>
      <c r="F573" s="91"/>
      <c r="G573" s="92"/>
      <c r="H573" s="92"/>
      <c r="I573" s="92"/>
      <c r="J573" s="93"/>
      <c r="K573" s="93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46"/>
      <c r="D574" s="9"/>
      <c r="E574" s="9"/>
      <c r="F574" s="91"/>
      <c r="G574" s="92"/>
      <c r="H574" s="92"/>
      <c r="I574" s="92"/>
      <c r="J574" s="93"/>
      <c r="K574" s="93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46"/>
      <c r="D575" s="9"/>
      <c r="E575" s="9"/>
      <c r="F575" s="91"/>
      <c r="G575" s="92"/>
      <c r="H575" s="92"/>
      <c r="I575" s="92"/>
      <c r="J575" s="93"/>
      <c r="K575" s="93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46"/>
      <c r="D576" s="9"/>
      <c r="E576" s="9"/>
      <c r="F576" s="91"/>
      <c r="G576" s="92"/>
      <c r="H576" s="92"/>
      <c r="I576" s="92"/>
      <c r="J576" s="93"/>
      <c r="K576" s="93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46"/>
      <c r="D577" s="9"/>
      <c r="E577" s="9"/>
      <c r="F577" s="91"/>
      <c r="G577" s="92"/>
      <c r="H577" s="92"/>
      <c r="I577" s="92"/>
      <c r="J577" s="93"/>
      <c r="K577" s="93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46"/>
      <c r="D578" s="9"/>
      <c r="E578" s="9"/>
      <c r="F578" s="91"/>
      <c r="G578" s="92"/>
      <c r="H578" s="92"/>
      <c r="I578" s="92"/>
      <c r="J578" s="93"/>
      <c r="K578" s="93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46"/>
      <c r="D579" s="9"/>
      <c r="E579" s="9"/>
      <c r="F579" s="91"/>
      <c r="G579" s="92"/>
      <c r="H579" s="92"/>
      <c r="I579" s="92"/>
      <c r="J579" s="93"/>
      <c r="K579" s="93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46"/>
      <c r="D580" s="9"/>
      <c r="E580" s="9"/>
      <c r="F580" s="91"/>
      <c r="G580" s="92"/>
      <c r="H580" s="92"/>
      <c r="I580" s="92"/>
      <c r="J580" s="93"/>
      <c r="K580" s="93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46"/>
      <c r="D581" s="9"/>
      <c r="E581" s="9"/>
      <c r="F581" s="91"/>
      <c r="G581" s="92"/>
      <c r="H581" s="92"/>
      <c r="I581" s="92"/>
      <c r="J581" s="93"/>
      <c r="K581" s="93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46"/>
      <c r="D582" s="9"/>
      <c r="E582" s="9"/>
      <c r="F582" s="91"/>
      <c r="G582" s="92"/>
      <c r="H582" s="92"/>
      <c r="I582" s="92"/>
      <c r="J582" s="93"/>
      <c r="K582" s="93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46"/>
      <c r="D583" s="9"/>
      <c r="E583" s="9"/>
      <c r="F583" s="91"/>
      <c r="G583" s="92"/>
      <c r="H583" s="92"/>
      <c r="I583" s="92"/>
      <c r="J583" s="93"/>
      <c r="K583" s="93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46"/>
      <c r="D584" s="9"/>
      <c r="E584" s="9"/>
      <c r="F584" s="91"/>
      <c r="G584" s="92"/>
      <c r="H584" s="92"/>
      <c r="I584" s="92"/>
      <c r="J584" s="93"/>
      <c r="K584" s="93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46"/>
      <c r="D585" s="9"/>
      <c r="E585" s="9"/>
      <c r="F585" s="91"/>
      <c r="G585" s="92"/>
      <c r="H585" s="92"/>
      <c r="I585" s="92"/>
      <c r="J585" s="93"/>
      <c r="K585" s="93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46"/>
      <c r="D586" s="9"/>
      <c r="E586" s="9"/>
      <c r="F586" s="91"/>
      <c r="G586" s="92"/>
      <c r="H586" s="92"/>
      <c r="I586" s="92"/>
      <c r="J586" s="93"/>
      <c r="K586" s="93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46"/>
      <c r="D587" s="9"/>
      <c r="E587" s="9"/>
      <c r="F587" s="91"/>
      <c r="G587" s="92"/>
      <c r="H587" s="92"/>
      <c r="I587" s="92"/>
      <c r="J587" s="93"/>
      <c r="K587" s="93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46"/>
      <c r="D588" s="9"/>
      <c r="E588" s="9"/>
      <c r="F588" s="91"/>
      <c r="G588" s="92"/>
      <c r="H588" s="92"/>
      <c r="I588" s="92"/>
      <c r="J588" s="93"/>
      <c r="K588" s="93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46"/>
      <c r="D589" s="9"/>
      <c r="E589" s="9"/>
      <c r="F589" s="91"/>
      <c r="G589" s="92"/>
      <c r="H589" s="92"/>
      <c r="I589" s="92"/>
      <c r="J589" s="93"/>
      <c r="K589" s="93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46"/>
      <c r="D590" s="9"/>
      <c r="E590" s="9"/>
      <c r="F590" s="91"/>
      <c r="G590" s="92"/>
      <c r="H590" s="92"/>
      <c r="I590" s="92"/>
      <c r="J590" s="93"/>
      <c r="K590" s="93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46"/>
      <c r="D591" s="9"/>
      <c r="E591" s="9"/>
      <c r="F591" s="91"/>
      <c r="G591" s="92"/>
      <c r="H591" s="92"/>
      <c r="I591" s="92"/>
      <c r="J591" s="93"/>
      <c r="K591" s="93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46"/>
      <c r="D592" s="9"/>
      <c r="E592" s="9"/>
      <c r="F592" s="91"/>
      <c r="G592" s="92"/>
      <c r="H592" s="92"/>
      <c r="I592" s="92"/>
      <c r="J592" s="93"/>
      <c r="K592" s="93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46"/>
      <c r="D593" s="9"/>
      <c r="E593" s="9"/>
      <c r="F593" s="91"/>
      <c r="G593" s="92"/>
      <c r="H593" s="92"/>
      <c r="I593" s="92"/>
      <c r="J593" s="93"/>
      <c r="K593" s="93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46"/>
      <c r="D594" s="9"/>
      <c r="E594" s="9"/>
      <c r="F594" s="91"/>
      <c r="G594" s="92"/>
      <c r="H594" s="92"/>
      <c r="I594" s="92"/>
      <c r="J594" s="93"/>
      <c r="K594" s="93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46"/>
      <c r="D595" s="9"/>
      <c r="E595" s="9"/>
      <c r="F595" s="91"/>
      <c r="G595" s="92"/>
      <c r="H595" s="92"/>
      <c r="I595" s="92"/>
      <c r="J595" s="93"/>
      <c r="K595" s="93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46"/>
      <c r="D596" s="9"/>
      <c r="E596" s="9"/>
      <c r="F596" s="91"/>
      <c r="G596" s="92"/>
      <c r="H596" s="92"/>
      <c r="I596" s="92"/>
      <c r="J596" s="93"/>
      <c r="K596" s="93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46"/>
      <c r="D597" s="9"/>
      <c r="E597" s="9"/>
      <c r="F597" s="91"/>
      <c r="G597" s="92"/>
      <c r="H597" s="92"/>
      <c r="I597" s="92"/>
      <c r="J597" s="93"/>
      <c r="K597" s="93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46"/>
      <c r="D598" s="9"/>
      <c r="E598" s="9"/>
      <c r="F598" s="91"/>
      <c r="G598" s="92"/>
      <c r="H598" s="92"/>
      <c r="I598" s="92"/>
      <c r="J598" s="93"/>
      <c r="K598" s="93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46"/>
      <c r="D599" s="9"/>
      <c r="E599" s="9"/>
      <c r="F599" s="91"/>
      <c r="G599" s="92"/>
      <c r="H599" s="92"/>
      <c r="I599" s="92"/>
      <c r="J599" s="93"/>
      <c r="K599" s="93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46"/>
      <c r="D600" s="9"/>
      <c r="E600" s="9"/>
      <c r="F600" s="91"/>
      <c r="G600" s="92"/>
      <c r="H600" s="92"/>
      <c r="I600" s="92"/>
      <c r="J600" s="93"/>
      <c r="K600" s="93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46"/>
      <c r="D601" s="9"/>
      <c r="E601" s="9"/>
      <c r="F601" s="91"/>
      <c r="G601" s="92"/>
      <c r="H601" s="92"/>
      <c r="I601" s="92"/>
      <c r="J601" s="93"/>
      <c r="K601" s="93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46"/>
      <c r="D602" s="9"/>
      <c r="E602" s="9"/>
      <c r="F602" s="91"/>
      <c r="G602" s="92"/>
      <c r="H602" s="92"/>
      <c r="I602" s="92"/>
      <c r="J602" s="93"/>
      <c r="K602" s="93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46"/>
      <c r="D603" s="9"/>
      <c r="E603" s="9"/>
      <c r="F603" s="91"/>
      <c r="G603" s="92"/>
      <c r="H603" s="92"/>
      <c r="I603" s="92"/>
      <c r="J603" s="93"/>
      <c r="K603" s="93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46"/>
      <c r="D604" s="9"/>
      <c r="E604" s="9"/>
      <c r="F604" s="91"/>
      <c r="G604" s="92"/>
      <c r="H604" s="92"/>
      <c r="I604" s="92"/>
      <c r="J604" s="93"/>
      <c r="K604" s="93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46"/>
      <c r="D605" s="9"/>
      <c r="E605" s="9"/>
      <c r="F605" s="91"/>
      <c r="G605" s="92"/>
      <c r="H605" s="92"/>
      <c r="I605" s="92"/>
      <c r="J605" s="93"/>
      <c r="K605" s="93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46"/>
      <c r="D606" s="9"/>
      <c r="E606" s="9"/>
      <c r="F606" s="91"/>
      <c r="G606" s="92"/>
      <c r="H606" s="92"/>
      <c r="I606" s="92"/>
      <c r="J606" s="93"/>
      <c r="K606" s="93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46"/>
      <c r="D607" s="9"/>
      <c r="E607" s="9"/>
      <c r="F607" s="91"/>
      <c r="G607" s="92"/>
      <c r="H607" s="92"/>
      <c r="I607" s="92"/>
      <c r="J607" s="93"/>
      <c r="K607" s="93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46"/>
      <c r="D608" s="9"/>
      <c r="E608" s="9"/>
      <c r="F608" s="91"/>
      <c r="G608" s="92"/>
      <c r="H608" s="92"/>
      <c r="I608" s="92"/>
      <c r="J608" s="93"/>
      <c r="K608" s="93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46"/>
      <c r="D609" s="9"/>
      <c r="E609" s="9"/>
      <c r="F609" s="91"/>
      <c r="G609" s="92"/>
      <c r="H609" s="92"/>
      <c r="I609" s="92"/>
      <c r="J609" s="93"/>
      <c r="K609" s="93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46"/>
      <c r="D610" s="9"/>
      <c r="E610" s="9"/>
      <c r="F610" s="91"/>
      <c r="G610" s="92"/>
      <c r="H610" s="92"/>
      <c r="I610" s="92"/>
      <c r="J610" s="93"/>
      <c r="K610" s="93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46"/>
      <c r="D611" s="9"/>
      <c r="E611" s="9"/>
      <c r="F611" s="91"/>
      <c r="G611" s="92"/>
      <c r="H611" s="92"/>
      <c r="I611" s="92"/>
      <c r="J611" s="93"/>
      <c r="K611" s="93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46"/>
      <c r="D612" s="9"/>
      <c r="E612" s="9"/>
      <c r="F612" s="91"/>
      <c r="G612" s="92"/>
      <c r="H612" s="92"/>
      <c r="I612" s="92"/>
      <c r="J612" s="93"/>
      <c r="K612" s="93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46"/>
      <c r="D613" s="9"/>
      <c r="E613" s="9"/>
      <c r="F613" s="91"/>
      <c r="G613" s="92"/>
      <c r="H613" s="92"/>
      <c r="I613" s="92"/>
      <c r="J613" s="93"/>
      <c r="K613" s="93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46"/>
      <c r="D614" s="9"/>
      <c r="E614" s="9"/>
      <c r="F614" s="91"/>
      <c r="G614" s="92"/>
      <c r="H614" s="92"/>
      <c r="I614" s="92"/>
      <c r="J614" s="93"/>
      <c r="K614" s="93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46"/>
      <c r="D615" s="9"/>
      <c r="E615" s="9"/>
      <c r="F615" s="91"/>
      <c r="G615" s="92"/>
      <c r="H615" s="92"/>
      <c r="I615" s="92"/>
      <c r="J615" s="93"/>
      <c r="K615" s="93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46"/>
      <c r="D616" s="9"/>
      <c r="E616" s="9"/>
      <c r="F616" s="91"/>
      <c r="G616" s="92"/>
      <c r="H616" s="92"/>
      <c r="I616" s="92"/>
      <c r="J616" s="93"/>
      <c r="K616" s="93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46"/>
      <c r="D617" s="9"/>
      <c r="E617" s="9"/>
      <c r="F617" s="91"/>
      <c r="G617" s="92"/>
      <c r="H617" s="92"/>
      <c r="I617" s="92"/>
      <c r="J617" s="93"/>
      <c r="K617" s="93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46"/>
      <c r="D618" s="9"/>
      <c r="E618" s="9"/>
      <c r="F618" s="91"/>
      <c r="G618" s="92"/>
      <c r="H618" s="92"/>
      <c r="I618" s="92"/>
      <c r="J618" s="93"/>
      <c r="K618" s="93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46"/>
      <c r="D619" s="9"/>
      <c r="E619" s="9"/>
      <c r="F619" s="91"/>
      <c r="G619" s="92"/>
      <c r="H619" s="92"/>
      <c r="I619" s="92"/>
      <c r="J619" s="93"/>
      <c r="K619" s="93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46"/>
      <c r="D620" s="9"/>
      <c r="E620" s="9"/>
      <c r="F620" s="91"/>
      <c r="G620" s="92"/>
      <c r="H620" s="92"/>
      <c r="I620" s="92"/>
      <c r="J620" s="93"/>
      <c r="K620" s="93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46"/>
      <c r="D621" s="9"/>
      <c r="E621" s="9"/>
      <c r="F621" s="91"/>
      <c r="G621" s="92"/>
      <c r="H621" s="92"/>
      <c r="I621" s="92"/>
      <c r="J621" s="93"/>
      <c r="K621" s="93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46"/>
      <c r="D622" s="9"/>
      <c r="E622" s="9"/>
      <c r="F622" s="91"/>
      <c r="G622" s="92"/>
      <c r="H622" s="92"/>
      <c r="I622" s="92"/>
      <c r="J622" s="93"/>
      <c r="K622" s="93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46"/>
      <c r="D623" s="9"/>
      <c r="E623" s="9"/>
      <c r="F623" s="91"/>
      <c r="G623" s="92"/>
      <c r="H623" s="92"/>
      <c r="I623" s="92"/>
      <c r="J623" s="93"/>
      <c r="K623" s="93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46"/>
      <c r="D624" s="9"/>
      <c r="E624" s="9"/>
      <c r="F624" s="91"/>
      <c r="G624" s="92"/>
      <c r="H624" s="92"/>
      <c r="I624" s="92"/>
      <c r="J624" s="93"/>
      <c r="K624" s="93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46"/>
      <c r="D625" s="9"/>
      <c r="E625" s="9"/>
      <c r="F625" s="91"/>
      <c r="G625" s="92"/>
      <c r="H625" s="92"/>
      <c r="I625" s="92"/>
      <c r="J625" s="93"/>
      <c r="K625" s="93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46"/>
      <c r="D626" s="9"/>
      <c r="E626" s="9"/>
      <c r="F626" s="91"/>
      <c r="G626" s="92"/>
      <c r="H626" s="92"/>
      <c r="I626" s="92"/>
      <c r="J626" s="93"/>
      <c r="K626" s="93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46"/>
      <c r="D627" s="9"/>
      <c r="E627" s="9"/>
      <c r="F627" s="91"/>
      <c r="G627" s="92"/>
      <c r="H627" s="92"/>
      <c r="I627" s="92"/>
      <c r="J627" s="93"/>
      <c r="K627" s="93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46"/>
      <c r="D628" s="9"/>
      <c r="E628" s="9"/>
      <c r="F628" s="91"/>
      <c r="G628" s="92"/>
      <c r="H628" s="92"/>
      <c r="I628" s="92"/>
      <c r="J628" s="93"/>
      <c r="K628" s="93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46"/>
      <c r="D629" s="9"/>
      <c r="E629" s="9"/>
      <c r="F629" s="91"/>
      <c r="G629" s="92"/>
      <c r="H629" s="92"/>
      <c r="I629" s="92"/>
      <c r="J629" s="93"/>
      <c r="K629" s="93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46"/>
      <c r="D630" s="9"/>
      <c r="E630" s="9"/>
      <c r="F630" s="91"/>
      <c r="G630" s="92"/>
      <c r="H630" s="92"/>
      <c r="I630" s="92"/>
      <c r="J630" s="93"/>
      <c r="K630" s="93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46"/>
      <c r="D631" s="9"/>
      <c r="E631" s="9"/>
      <c r="F631" s="91"/>
      <c r="G631" s="92"/>
      <c r="H631" s="92"/>
      <c r="I631" s="92"/>
      <c r="J631" s="93"/>
      <c r="K631" s="93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46"/>
      <c r="D632" s="9"/>
      <c r="E632" s="9"/>
      <c r="F632" s="91"/>
      <c r="G632" s="92"/>
      <c r="H632" s="92"/>
      <c r="I632" s="92"/>
      <c r="J632" s="93"/>
      <c r="K632" s="93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46"/>
      <c r="D633" s="9"/>
      <c r="E633" s="9"/>
      <c r="F633" s="91"/>
      <c r="G633" s="92"/>
      <c r="H633" s="92"/>
      <c r="I633" s="92"/>
      <c r="J633" s="93"/>
      <c r="K633" s="93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46"/>
      <c r="D634" s="9"/>
      <c r="E634" s="9"/>
      <c r="F634" s="91"/>
      <c r="G634" s="92"/>
      <c r="H634" s="92"/>
      <c r="I634" s="92"/>
      <c r="J634" s="93"/>
      <c r="K634" s="93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46"/>
      <c r="D635" s="9"/>
      <c r="E635" s="9"/>
      <c r="F635" s="91"/>
      <c r="G635" s="92"/>
      <c r="H635" s="92"/>
      <c r="I635" s="92"/>
      <c r="J635" s="93"/>
      <c r="K635" s="93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46"/>
      <c r="D636" s="9"/>
      <c r="E636" s="9"/>
      <c r="F636" s="91"/>
      <c r="G636" s="92"/>
      <c r="H636" s="92"/>
      <c r="I636" s="92"/>
      <c r="J636" s="93"/>
      <c r="K636" s="93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46"/>
      <c r="D637" s="9"/>
      <c r="E637" s="9"/>
      <c r="F637" s="91"/>
      <c r="G637" s="92"/>
      <c r="H637" s="92"/>
      <c r="I637" s="92"/>
      <c r="J637" s="93"/>
      <c r="K637" s="93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46"/>
      <c r="D638" s="9"/>
      <c r="E638" s="9"/>
      <c r="F638" s="91"/>
      <c r="G638" s="92"/>
      <c r="H638" s="92"/>
      <c r="I638" s="92"/>
      <c r="J638" s="93"/>
      <c r="K638" s="93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46"/>
      <c r="D639" s="9"/>
      <c r="E639" s="9"/>
      <c r="F639" s="91"/>
      <c r="G639" s="92"/>
      <c r="H639" s="92"/>
      <c r="I639" s="92"/>
      <c r="J639" s="93"/>
      <c r="K639" s="93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46"/>
      <c r="D640" s="9"/>
      <c r="E640" s="9"/>
      <c r="F640" s="91"/>
      <c r="G640" s="92"/>
      <c r="H640" s="92"/>
      <c r="I640" s="92"/>
      <c r="J640" s="93"/>
      <c r="K640" s="93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46"/>
      <c r="D641" s="9"/>
      <c r="E641" s="9"/>
      <c r="F641" s="91"/>
      <c r="G641" s="92"/>
      <c r="H641" s="92"/>
      <c r="I641" s="92"/>
      <c r="J641" s="93"/>
      <c r="K641" s="93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46"/>
      <c r="D642" s="9"/>
      <c r="E642" s="9"/>
      <c r="F642" s="91"/>
      <c r="G642" s="92"/>
      <c r="H642" s="92"/>
      <c r="I642" s="92"/>
      <c r="J642" s="93"/>
      <c r="K642" s="93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46"/>
      <c r="D643" s="9"/>
      <c r="E643" s="9"/>
      <c r="F643" s="91"/>
      <c r="G643" s="92"/>
      <c r="H643" s="92"/>
      <c r="I643" s="92"/>
      <c r="J643" s="93"/>
      <c r="K643" s="93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46"/>
      <c r="D644" s="9"/>
      <c r="E644" s="9"/>
      <c r="F644" s="91"/>
      <c r="G644" s="92"/>
      <c r="H644" s="92"/>
      <c r="I644" s="92"/>
      <c r="J644" s="93"/>
      <c r="K644" s="93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46"/>
      <c r="D645" s="9"/>
      <c r="E645" s="9"/>
      <c r="F645" s="91"/>
      <c r="G645" s="92"/>
      <c r="H645" s="92"/>
      <c r="I645" s="92"/>
      <c r="J645" s="93"/>
      <c r="K645" s="93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46"/>
      <c r="D646" s="9"/>
      <c r="E646" s="9"/>
      <c r="F646" s="91"/>
      <c r="G646" s="92"/>
      <c r="H646" s="92"/>
      <c r="I646" s="92"/>
      <c r="J646" s="93"/>
      <c r="K646" s="93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46"/>
      <c r="D647" s="9"/>
      <c r="E647" s="9"/>
      <c r="F647" s="91"/>
      <c r="G647" s="92"/>
      <c r="H647" s="92"/>
      <c r="I647" s="92"/>
      <c r="J647" s="93"/>
      <c r="K647" s="93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46"/>
      <c r="D648" s="9"/>
      <c r="E648" s="9"/>
      <c r="F648" s="91"/>
      <c r="G648" s="92"/>
      <c r="H648" s="92"/>
      <c r="I648" s="92"/>
      <c r="J648" s="93"/>
      <c r="K648" s="93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46"/>
      <c r="D649" s="9"/>
      <c r="E649" s="9"/>
      <c r="F649" s="91"/>
      <c r="G649" s="92"/>
      <c r="H649" s="92"/>
      <c r="I649" s="92"/>
      <c r="J649" s="93"/>
      <c r="K649" s="93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46"/>
      <c r="D650" s="9"/>
      <c r="E650" s="9"/>
      <c r="F650" s="91"/>
      <c r="G650" s="92"/>
      <c r="H650" s="92"/>
      <c r="I650" s="92"/>
      <c r="J650" s="93"/>
      <c r="K650" s="93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46"/>
      <c r="D651" s="9"/>
      <c r="E651" s="9"/>
      <c r="F651" s="91"/>
      <c r="G651" s="92"/>
      <c r="H651" s="92"/>
      <c r="I651" s="92"/>
      <c r="J651" s="93"/>
      <c r="K651" s="93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46"/>
      <c r="D652" s="9"/>
      <c r="E652" s="9"/>
      <c r="F652" s="91"/>
      <c r="G652" s="92"/>
      <c r="H652" s="92"/>
      <c r="I652" s="92"/>
      <c r="J652" s="93"/>
      <c r="K652" s="93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46"/>
      <c r="D653" s="9"/>
      <c r="E653" s="9"/>
      <c r="F653" s="91"/>
      <c r="G653" s="92"/>
      <c r="H653" s="92"/>
      <c r="I653" s="92"/>
      <c r="J653" s="93"/>
      <c r="K653" s="93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46"/>
      <c r="D654" s="9"/>
      <c r="E654" s="9"/>
      <c r="F654" s="91"/>
      <c r="G654" s="92"/>
      <c r="H654" s="92"/>
      <c r="I654" s="92"/>
      <c r="J654" s="93"/>
      <c r="K654" s="93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46"/>
      <c r="D655" s="9"/>
      <c r="E655" s="9"/>
      <c r="F655" s="91"/>
      <c r="G655" s="92"/>
      <c r="H655" s="92"/>
      <c r="I655" s="92"/>
      <c r="J655" s="93"/>
      <c r="K655" s="93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46"/>
      <c r="D656" s="9"/>
      <c r="E656" s="9"/>
      <c r="F656" s="91"/>
      <c r="G656" s="92"/>
      <c r="H656" s="92"/>
      <c r="I656" s="92"/>
      <c r="J656" s="93"/>
      <c r="K656" s="93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46"/>
      <c r="D657" s="9"/>
      <c r="E657" s="9"/>
      <c r="F657" s="91"/>
      <c r="G657" s="92"/>
      <c r="H657" s="92"/>
      <c r="I657" s="92"/>
      <c r="J657" s="93"/>
      <c r="K657" s="93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46"/>
      <c r="D658" s="9"/>
      <c r="E658" s="9"/>
      <c r="F658" s="91"/>
      <c r="G658" s="92"/>
      <c r="H658" s="92"/>
      <c r="I658" s="92"/>
      <c r="J658" s="93"/>
      <c r="K658" s="93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46"/>
      <c r="D659" s="9"/>
      <c r="E659" s="9"/>
      <c r="F659" s="91"/>
      <c r="G659" s="92"/>
      <c r="H659" s="92"/>
      <c r="I659" s="92"/>
      <c r="J659" s="93"/>
      <c r="K659" s="93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46"/>
      <c r="D660" s="9"/>
      <c r="E660" s="9"/>
      <c r="F660" s="91"/>
      <c r="G660" s="92"/>
      <c r="H660" s="92"/>
      <c r="I660" s="92"/>
      <c r="J660" s="93"/>
      <c r="K660" s="93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46"/>
      <c r="D661" s="9"/>
      <c r="E661" s="9"/>
      <c r="F661" s="91"/>
      <c r="G661" s="92"/>
      <c r="H661" s="92"/>
      <c r="I661" s="92"/>
      <c r="J661" s="93"/>
      <c r="K661" s="93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46"/>
      <c r="D662" s="9"/>
      <c r="E662" s="9"/>
      <c r="F662" s="91"/>
      <c r="G662" s="92"/>
      <c r="H662" s="92"/>
      <c r="I662" s="92"/>
      <c r="J662" s="93"/>
      <c r="K662" s="93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46"/>
      <c r="D663" s="9"/>
      <c r="E663" s="9"/>
      <c r="F663" s="91"/>
      <c r="G663" s="92"/>
      <c r="H663" s="92"/>
      <c r="I663" s="92"/>
      <c r="J663" s="93"/>
      <c r="K663" s="93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46"/>
      <c r="D664" s="9"/>
      <c r="E664" s="9"/>
      <c r="F664" s="91"/>
      <c r="G664" s="92"/>
      <c r="H664" s="92"/>
      <c r="I664" s="92"/>
      <c r="J664" s="93"/>
      <c r="K664" s="93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46"/>
      <c r="D665" s="9"/>
      <c r="E665" s="9"/>
      <c r="F665" s="91"/>
      <c r="G665" s="92"/>
      <c r="H665" s="92"/>
      <c r="I665" s="92"/>
      <c r="J665" s="93"/>
      <c r="K665" s="93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46"/>
      <c r="D666" s="9"/>
      <c r="E666" s="9"/>
      <c r="F666" s="91"/>
      <c r="G666" s="92"/>
      <c r="H666" s="92"/>
      <c r="I666" s="92"/>
      <c r="J666" s="93"/>
      <c r="K666" s="93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46"/>
      <c r="D667" s="9"/>
      <c r="E667" s="9"/>
      <c r="F667" s="91"/>
      <c r="G667" s="92"/>
      <c r="H667" s="92"/>
      <c r="I667" s="92"/>
      <c r="J667" s="93"/>
      <c r="K667" s="93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46"/>
      <c r="D668" s="9"/>
      <c r="E668" s="9"/>
      <c r="F668" s="91"/>
      <c r="G668" s="92"/>
      <c r="H668" s="92"/>
      <c r="I668" s="92"/>
      <c r="J668" s="93"/>
      <c r="K668" s="93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46"/>
      <c r="D669" s="9"/>
      <c r="E669" s="9"/>
      <c r="F669" s="91"/>
      <c r="G669" s="92"/>
      <c r="H669" s="92"/>
      <c r="I669" s="92"/>
      <c r="J669" s="93"/>
      <c r="K669" s="93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46"/>
      <c r="D670" s="9"/>
      <c r="E670" s="9"/>
      <c r="F670" s="91"/>
      <c r="G670" s="92"/>
      <c r="H670" s="92"/>
      <c r="I670" s="92"/>
      <c r="J670" s="93"/>
      <c r="K670" s="93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46"/>
      <c r="D671" s="9"/>
      <c r="E671" s="9"/>
      <c r="F671" s="91"/>
      <c r="G671" s="92"/>
      <c r="H671" s="92"/>
      <c r="I671" s="92"/>
      <c r="J671" s="93"/>
      <c r="K671" s="93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46"/>
      <c r="D672" s="9"/>
      <c r="E672" s="9"/>
      <c r="F672" s="91"/>
      <c r="G672" s="92"/>
      <c r="H672" s="92"/>
      <c r="I672" s="92"/>
      <c r="J672" s="93"/>
      <c r="K672" s="93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46"/>
      <c r="D673" s="9"/>
      <c r="E673" s="9"/>
      <c r="F673" s="91"/>
      <c r="G673" s="92"/>
      <c r="H673" s="92"/>
      <c r="I673" s="92"/>
      <c r="J673" s="93"/>
      <c r="K673" s="93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46"/>
      <c r="D674" s="9"/>
      <c r="E674" s="9"/>
      <c r="F674" s="91"/>
      <c r="G674" s="92"/>
      <c r="H674" s="92"/>
      <c r="I674" s="92"/>
      <c r="J674" s="93"/>
      <c r="K674" s="93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46"/>
      <c r="D675" s="9"/>
      <c r="E675" s="9"/>
      <c r="F675" s="91"/>
      <c r="G675" s="92"/>
      <c r="H675" s="92"/>
      <c r="I675" s="92"/>
      <c r="J675" s="93"/>
      <c r="K675" s="93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46"/>
      <c r="D676" s="9"/>
      <c r="E676" s="9"/>
      <c r="F676" s="91"/>
      <c r="G676" s="92"/>
      <c r="H676" s="92"/>
      <c r="I676" s="92"/>
      <c r="J676" s="93"/>
      <c r="K676" s="93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46"/>
      <c r="D677" s="9"/>
      <c r="E677" s="9"/>
      <c r="F677" s="91"/>
      <c r="G677" s="92"/>
      <c r="H677" s="92"/>
      <c r="I677" s="92"/>
      <c r="J677" s="93"/>
      <c r="K677" s="93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46"/>
      <c r="D678" s="9"/>
      <c r="E678" s="9"/>
      <c r="F678" s="91"/>
      <c r="G678" s="92"/>
      <c r="H678" s="92"/>
      <c r="I678" s="92"/>
      <c r="J678" s="93"/>
      <c r="K678" s="93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46"/>
      <c r="D679" s="9"/>
      <c r="E679" s="9"/>
      <c r="F679" s="91"/>
      <c r="G679" s="92"/>
      <c r="H679" s="92"/>
      <c r="I679" s="92"/>
      <c r="J679" s="93"/>
      <c r="K679" s="93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46"/>
      <c r="D680" s="9"/>
      <c r="E680" s="9"/>
      <c r="F680" s="91"/>
      <c r="G680" s="92"/>
      <c r="H680" s="92"/>
      <c r="I680" s="92"/>
      <c r="J680" s="93"/>
      <c r="K680" s="93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46"/>
      <c r="D681" s="9"/>
      <c r="E681" s="9"/>
      <c r="F681" s="91"/>
      <c r="G681" s="92"/>
      <c r="H681" s="92"/>
      <c r="I681" s="92"/>
      <c r="J681" s="93"/>
      <c r="K681" s="93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46"/>
      <c r="D682" s="9"/>
      <c r="E682" s="9"/>
      <c r="F682" s="91"/>
      <c r="G682" s="92"/>
      <c r="H682" s="92"/>
      <c r="I682" s="92"/>
      <c r="J682" s="93"/>
      <c r="K682" s="93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46"/>
      <c r="D683" s="9"/>
      <c r="E683" s="9"/>
      <c r="F683" s="91"/>
      <c r="G683" s="92"/>
      <c r="H683" s="92"/>
      <c r="I683" s="92"/>
      <c r="J683" s="93"/>
      <c r="K683" s="93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46"/>
      <c r="D684" s="9"/>
      <c r="E684" s="9"/>
      <c r="F684" s="91"/>
      <c r="G684" s="92"/>
      <c r="H684" s="92"/>
      <c r="I684" s="92"/>
      <c r="J684" s="93"/>
      <c r="K684" s="93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46"/>
      <c r="D685" s="9"/>
      <c r="E685" s="9"/>
      <c r="F685" s="91"/>
      <c r="G685" s="92"/>
      <c r="H685" s="92"/>
      <c r="I685" s="92"/>
      <c r="J685" s="93"/>
      <c r="K685" s="93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46"/>
      <c r="D686" s="9"/>
      <c r="E686" s="9"/>
      <c r="F686" s="91"/>
      <c r="G686" s="92"/>
      <c r="H686" s="92"/>
      <c r="I686" s="92"/>
      <c r="J686" s="93"/>
      <c r="K686" s="93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46"/>
      <c r="D687" s="9"/>
      <c r="E687" s="9"/>
      <c r="F687" s="91"/>
      <c r="G687" s="92"/>
      <c r="H687" s="92"/>
      <c r="I687" s="92"/>
      <c r="J687" s="93"/>
      <c r="K687" s="93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46"/>
      <c r="D688" s="9"/>
      <c r="E688" s="9"/>
      <c r="F688" s="91"/>
      <c r="G688" s="92"/>
      <c r="H688" s="92"/>
      <c r="I688" s="92"/>
      <c r="J688" s="93"/>
      <c r="K688" s="93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46"/>
      <c r="D689" s="9"/>
      <c r="E689" s="9"/>
      <c r="F689" s="91"/>
      <c r="G689" s="92"/>
      <c r="H689" s="92"/>
      <c r="I689" s="92"/>
      <c r="J689" s="93"/>
      <c r="K689" s="93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46"/>
      <c r="D690" s="9"/>
      <c r="E690" s="9"/>
      <c r="F690" s="91"/>
      <c r="G690" s="92"/>
      <c r="H690" s="92"/>
      <c r="I690" s="92"/>
      <c r="J690" s="93"/>
      <c r="K690" s="93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46"/>
      <c r="D691" s="9"/>
      <c r="E691" s="9"/>
      <c r="F691" s="91"/>
      <c r="G691" s="92"/>
      <c r="H691" s="92"/>
      <c r="I691" s="92"/>
      <c r="J691" s="93"/>
      <c r="K691" s="93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46"/>
      <c r="D692" s="9"/>
      <c r="E692" s="9"/>
      <c r="F692" s="91"/>
      <c r="G692" s="92"/>
      <c r="H692" s="92"/>
      <c r="I692" s="92"/>
      <c r="J692" s="93"/>
      <c r="K692" s="93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46"/>
      <c r="D693" s="9"/>
      <c r="E693" s="9"/>
      <c r="F693" s="91"/>
      <c r="G693" s="92"/>
      <c r="H693" s="92"/>
      <c r="I693" s="92"/>
      <c r="J693" s="93"/>
      <c r="K693" s="93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46"/>
      <c r="D694" s="9"/>
      <c r="E694" s="9"/>
      <c r="F694" s="91"/>
      <c r="G694" s="92"/>
      <c r="H694" s="92"/>
      <c r="I694" s="92"/>
      <c r="J694" s="93"/>
      <c r="K694" s="93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46"/>
      <c r="D695" s="9"/>
      <c r="E695" s="9"/>
      <c r="F695" s="91"/>
      <c r="G695" s="92"/>
      <c r="H695" s="92"/>
      <c r="I695" s="92"/>
      <c r="J695" s="93"/>
      <c r="K695" s="93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46"/>
      <c r="D696" s="9"/>
      <c r="E696" s="9"/>
      <c r="F696" s="91"/>
      <c r="G696" s="92"/>
      <c r="H696" s="92"/>
      <c r="I696" s="92"/>
      <c r="J696" s="93"/>
      <c r="K696" s="93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46"/>
      <c r="D697" s="9"/>
      <c r="E697" s="9"/>
      <c r="F697" s="91"/>
      <c r="G697" s="92"/>
      <c r="H697" s="92"/>
      <c r="I697" s="92"/>
      <c r="J697" s="93"/>
      <c r="K697" s="93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46"/>
      <c r="D698" s="9"/>
      <c r="E698" s="9"/>
      <c r="F698" s="91"/>
      <c r="G698" s="92"/>
      <c r="H698" s="92"/>
      <c r="I698" s="92"/>
      <c r="J698" s="93"/>
      <c r="K698" s="93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46"/>
      <c r="D699" s="9"/>
      <c r="E699" s="9"/>
      <c r="F699" s="91"/>
      <c r="G699" s="92"/>
      <c r="H699" s="92"/>
      <c r="I699" s="92"/>
      <c r="J699" s="93"/>
      <c r="K699" s="93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46"/>
      <c r="D700" s="9"/>
      <c r="E700" s="9"/>
      <c r="F700" s="91"/>
      <c r="G700" s="92"/>
      <c r="H700" s="92"/>
      <c r="I700" s="92"/>
      <c r="J700" s="93"/>
      <c r="K700" s="93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46"/>
      <c r="D701" s="9"/>
      <c r="E701" s="9"/>
      <c r="F701" s="91"/>
      <c r="G701" s="92"/>
      <c r="H701" s="92"/>
      <c r="I701" s="92"/>
      <c r="J701" s="93"/>
      <c r="K701" s="93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46"/>
      <c r="D702" s="9"/>
      <c r="E702" s="9"/>
      <c r="F702" s="91"/>
      <c r="G702" s="92"/>
      <c r="H702" s="92"/>
      <c r="I702" s="92"/>
      <c r="J702" s="93"/>
      <c r="K702" s="93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46"/>
      <c r="D703" s="9"/>
      <c r="E703" s="9"/>
      <c r="F703" s="91"/>
      <c r="G703" s="92"/>
      <c r="H703" s="92"/>
      <c r="I703" s="92"/>
      <c r="J703" s="93"/>
      <c r="K703" s="93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46"/>
      <c r="D704" s="9"/>
      <c r="E704" s="9"/>
      <c r="F704" s="91"/>
      <c r="G704" s="92"/>
      <c r="H704" s="92"/>
      <c r="I704" s="92"/>
      <c r="J704" s="93"/>
      <c r="K704" s="93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46"/>
      <c r="D705" s="9"/>
      <c r="E705" s="9"/>
      <c r="F705" s="91"/>
      <c r="G705" s="92"/>
      <c r="H705" s="92"/>
      <c r="I705" s="92"/>
      <c r="J705" s="93"/>
      <c r="K705" s="93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46"/>
      <c r="D706" s="9"/>
      <c r="E706" s="9"/>
      <c r="F706" s="91"/>
      <c r="G706" s="92"/>
      <c r="H706" s="92"/>
      <c r="I706" s="92"/>
      <c r="J706" s="93"/>
      <c r="K706" s="93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46"/>
      <c r="D707" s="9"/>
      <c r="E707" s="9"/>
      <c r="F707" s="91"/>
      <c r="G707" s="92"/>
      <c r="H707" s="92"/>
      <c r="I707" s="92"/>
      <c r="J707" s="93"/>
      <c r="K707" s="93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46"/>
      <c r="D708" s="9"/>
      <c r="E708" s="9"/>
      <c r="F708" s="91"/>
      <c r="G708" s="92"/>
      <c r="H708" s="92"/>
      <c r="I708" s="92"/>
      <c r="J708" s="93"/>
      <c r="K708" s="93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46"/>
      <c r="D709" s="9"/>
      <c r="E709" s="9"/>
      <c r="F709" s="91"/>
      <c r="G709" s="92"/>
      <c r="H709" s="92"/>
      <c r="I709" s="92"/>
      <c r="J709" s="93"/>
      <c r="K709" s="93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46"/>
      <c r="D710" s="9"/>
      <c r="E710" s="9"/>
      <c r="F710" s="91"/>
      <c r="G710" s="92"/>
      <c r="H710" s="92"/>
      <c r="I710" s="92"/>
      <c r="J710" s="93"/>
      <c r="K710" s="93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46"/>
      <c r="D711" s="9"/>
      <c r="E711" s="9"/>
      <c r="F711" s="91"/>
      <c r="G711" s="92"/>
      <c r="H711" s="92"/>
      <c r="I711" s="92"/>
      <c r="J711" s="93"/>
      <c r="K711" s="93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46"/>
      <c r="D712" s="9"/>
      <c r="E712" s="9"/>
      <c r="F712" s="91"/>
      <c r="G712" s="92"/>
      <c r="H712" s="92"/>
      <c r="I712" s="92"/>
      <c r="J712" s="93"/>
      <c r="K712" s="93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46"/>
      <c r="D713" s="9"/>
      <c r="E713" s="9"/>
      <c r="F713" s="91"/>
      <c r="G713" s="92"/>
      <c r="H713" s="92"/>
      <c r="I713" s="92"/>
      <c r="J713" s="93"/>
      <c r="K713" s="93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46"/>
      <c r="D714" s="9"/>
      <c r="E714" s="9"/>
      <c r="F714" s="91"/>
      <c r="G714" s="92"/>
      <c r="H714" s="92"/>
      <c r="I714" s="92"/>
      <c r="J714" s="93"/>
      <c r="K714" s="93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46"/>
      <c r="D715" s="9"/>
      <c r="E715" s="9"/>
      <c r="F715" s="91"/>
      <c r="G715" s="92"/>
      <c r="H715" s="92"/>
      <c r="I715" s="92"/>
      <c r="J715" s="93"/>
      <c r="K715" s="93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46"/>
      <c r="D716" s="9"/>
      <c r="E716" s="9"/>
      <c r="F716" s="91"/>
      <c r="G716" s="92"/>
      <c r="H716" s="92"/>
      <c r="I716" s="92"/>
      <c r="J716" s="93"/>
      <c r="K716" s="93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46"/>
      <c r="D717" s="9"/>
      <c r="E717" s="9"/>
      <c r="F717" s="91"/>
      <c r="G717" s="92"/>
      <c r="H717" s="92"/>
      <c r="I717" s="92"/>
      <c r="J717" s="93"/>
      <c r="K717" s="93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46"/>
      <c r="D718" s="9"/>
      <c r="E718" s="9"/>
      <c r="F718" s="91"/>
      <c r="G718" s="92"/>
      <c r="H718" s="92"/>
      <c r="I718" s="92"/>
      <c r="J718" s="93"/>
      <c r="K718" s="93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46"/>
      <c r="D719" s="9"/>
      <c r="E719" s="9"/>
      <c r="F719" s="91"/>
      <c r="G719" s="92"/>
      <c r="H719" s="92"/>
      <c r="I719" s="92"/>
      <c r="J719" s="93"/>
      <c r="K719" s="93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46"/>
      <c r="D720" s="9"/>
      <c r="E720" s="9"/>
      <c r="F720" s="91"/>
      <c r="G720" s="92"/>
      <c r="H720" s="92"/>
      <c r="I720" s="92"/>
      <c r="J720" s="93"/>
      <c r="K720" s="93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46"/>
      <c r="D721" s="9"/>
      <c r="E721" s="9"/>
      <c r="F721" s="91"/>
      <c r="G721" s="92"/>
      <c r="H721" s="92"/>
      <c r="I721" s="92"/>
      <c r="J721" s="93"/>
      <c r="K721" s="93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46"/>
      <c r="D722" s="9"/>
      <c r="E722" s="9"/>
      <c r="F722" s="91"/>
      <c r="G722" s="92"/>
      <c r="H722" s="92"/>
      <c r="I722" s="92"/>
      <c r="J722" s="93"/>
      <c r="K722" s="93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46"/>
      <c r="D723" s="9"/>
      <c r="E723" s="9"/>
      <c r="F723" s="91"/>
      <c r="G723" s="92"/>
      <c r="H723" s="92"/>
      <c r="I723" s="92"/>
      <c r="J723" s="93"/>
      <c r="K723" s="93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46"/>
      <c r="D724" s="9"/>
      <c r="E724" s="9"/>
      <c r="F724" s="91"/>
      <c r="G724" s="92"/>
      <c r="H724" s="92"/>
      <c r="I724" s="92"/>
      <c r="J724" s="93"/>
      <c r="K724" s="93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46"/>
      <c r="D725" s="9"/>
      <c r="E725" s="9"/>
      <c r="F725" s="91"/>
      <c r="G725" s="92"/>
      <c r="H725" s="92"/>
      <c r="I725" s="92"/>
      <c r="J725" s="93"/>
      <c r="K725" s="93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46"/>
      <c r="D726" s="9"/>
      <c r="E726" s="9"/>
      <c r="F726" s="91"/>
      <c r="G726" s="92"/>
      <c r="H726" s="92"/>
      <c r="I726" s="92"/>
      <c r="J726" s="93"/>
      <c r="K726" s="93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46"/>
      <c r="D727" s="9"/>
      <c r="E727" s="9"/>
      <c r="F727" s="91"/>
      <c r="G727" s="92"/>
      <c r="H727" s="92"/>
      <c r="I727" s="92"/>
      <c r="J727" s="93"/>
      <c r="K727" s="93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46"/>
      <c r="D728" s="9"/>
      <c r="E728" s="9"/>
      <c r="F728" s="91"/>
      <c r="G728" s="92"/>
      <c r="H728" s="92"/>
      <c r="I728" s="92"/>
      <c r="J728" s="93"/>
      <c r="K728" s="93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46"/>
      <c r="D729" s="9"/>
      <c r="E729" s="9"/>
      <c r="F729" s="91"/>
      <c r="G729" s="92"/>
      <c r="H729" s="92"/>
      <c r="I729" s="92"/>
      <c r="J729" s="93"/>
      <c r="K729" s="93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46"/>
      <c r="D730" s="9"/>
      <c r="E730" s="9"/>
      <c r="F730" s="91"/>
      <c r="G730" s="92"/>
      <c r="H730" s="92"/>
      <c r="I730" s="92"/>
      <c r="J730" s="93"/>
      <c r="K730" s="93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46"/>
      <c r="D731" s="9"/>
      <c r="E731" s="9"/>
      <c r="F731" s="91"/>
      <c r="G731" s="92"/>
      <c r="H731" s="92"/>
      <c r="I731" s="92"/>
      <c r="J731" s="93"/>
      <c r="K731" s="93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46"/>
      <c r="D732" s="9"/>
      <c r="E732" s="9"/>
      <c r="F732" s="91"/>
      <c r="G732" s="92"/>
      <c r="H732" s="92"/>
      <c r="I732" s="92"/>
      <c r="J732" s="93"/>
      <c r="K732" s="93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46"/>
      <c r="D733" s="9"/>
      <c r="E733" s="9"/>
      <c r="F733" s="91"/>
      <c r="G733" s="92"/>
      <c r="H733" s="92"/>
      <c r="I733" s="92"/>
      <c r="J733" s="93"/>
      <c r="K733" s="93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46"/>
      <c r="D734" s="9"/>
      <c r="E734" s="9"/>
      <c r="F734" s="91"/>
      <c r="G734" s="92"/>
      <c r="H734" s="92"/>
      <c r="I734" s="92"/>
      <c r="J734" s="93"/>
      <c r="K734" s="93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46"/>
      <c r="D735" s="9"/>
      <c r="E735" s="9"/>
      <c r="F735" s="91"/>
      <c r="G735" s="92"/>
      <c r="H735" s="92"/>
      <c r="I735" s="92"/>
      <c r="J735" s="93"/>
      <c r="K735" s="93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46"/>
      <c r="D736" s="9"/>
      <c r="E736" s="9"/>
      <c r="F736" s="91"/>
      <c r="G736" s="92"/>
      <c r="H736" s="92"/>
      <c r="I736" s="92"/>
      <c r="J736" s="93"/>
      <c r="K736" s="93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46"/>
      <c r="D737" s="9"/>
      <c r="E737" s="9"/>
      <c r="F737" s="91"/>
      <c r="G737" s="92"/>
      <c r="H737" s="92"/>
      <c r="I737" s="92"/>
      <c r="J737" s="93"/>
      <c r="K737" s="93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46"/>
      <c r="D738" s="9"/>
      <c r="E738" s="9"/>
      <c r="F738" s="91"/>
      <c r="G738" s="92"/>
      <c r="H738" s="92"/>
      <c r="I738" s="92"/>
      <c r="J738" s="93"/>
      <c r="K738" s="93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46"/>
      <c r="D739" s="9"/>
      <c r="E739" s="9"/>
      <c r="F739" s="91"/>
      <c r="G739" s="92"/>
      <c r="H739" s="92"/>
      <c r="I739" s="92"/>
      <c r="J739" s="93"/>
      <c r="K739" s="93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46"/>
      <c r="D740" s="9"/>
      <c r="E740" s="9"/>
      <c r="F740" s="91"/>
      <c r="G740" s="92"/>
      <c r="H740" s="92"/>
      <c r="I740" s="92"/>
      <c r="J740" s="93"/>
      <c r="K740" s="93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46"/>
      <c r="D741" s="9"/>
      <c r="E741" s="9"/>
      <c r="F741" s="91"/>
      <c r="G741" s="92"/>
      <c r="H741" s="92"/>
      <c r="I741" s="92"/>
      <c r="J741" s="93"/>
      <c r="K741" s="93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46"/>
      <c r="D742" s="9"/>
      <c r="E742" s="9"/>
      <c r="F742" s="91"/>
      <c r="G742" s="92"/>
      <c r="H742" s="92"/>
      <c r="I742" s="92"/>
      <c r="J742" s="93"/>
      <c r="K742" s="93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46"/>
      <c r="D743" s="9"/>
      <c r="E743" s="9"/>
      <c r="F743" s="91"/>
      <c r="G743" s="92"/>
      <c r="H743" s="92"/>
      <c r="I743" s="92"/>
      <c r="J743" s="93"/>
      <c r="K743" s="93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46"/>
      <c r="D744" s="9"/>
      <c r="E744" s="9"/>
      <c r="F744" s="91"/>
      <c r="G744" s="92"/>
      <c r="H744" s="92"/>
      <c r="I744" s="92"/>
      <c r="J744" s="93"/>
      <c r="K744" s="93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46"/>
      <c r="D745" s="9"/>
      <c r="E745" s="9"/>
      <c r="F745" s="91"/>
      <c r="G745" s="92"/>
      <c r="H745" s="92"/>
      <c r="I745" s="92"/>
      <c r="J745" s="93"/>
      <c r="K745" s="93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46"/>
      <c r="D746" s="9"/>
      <c r="E746" s="9"/>
      <c r="F746" s="91"/>
      <c r="G746" s="92"/>
      <c r="H746" s="92"/>
      <c r="I746" s="92"/>
      <c r="J746" s="93"/>
      <c r="K746" s="93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46"/>
      <c r="D747" s="9"/>
      <c r="E747" s="9"/>
      <c r="F747" s="91"/>
      <c r="G747" s="92"/>
      <c r="H747" s="92"/>
      <c r="I747" s="92"/>
      <c r="J747" s="93"/>
      <c r="K747" s="93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46"/>
      <c r="D748" s="9"/>
      <c r="E748" s="9"/>
      <c r="F748" s="91"/>
      <c r="G748" s="92"/>
      <c r="H748" s="92"/>
      <c r="I748" s="92"/>
      <c r="J748" s="93"/>
      <c r="K748" s="93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46"/>
      <c r="D749" s="9"/>
      <c r="E749" s="9"/>
      <c r="F749" s="91"/>
      <c r="G749" s="92"/>
      <c r="H749" s="92"/>
      <c r="I749" s="92"/>
      <c r="J749" s="93"/>
      <c r="K749" s="93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46"/>
      <c r="D750" s="9"/>
      <c r="E750" s="9"/>
      <c r="F750" s="91"/>
      <c r="G750" s="92"/>
      <c r="H750" s="92"/>
      <c r="I750" s="92"/>
      <c r="J750" s="93"/>
      <c r="K750" s="93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46"/>
      <c r="D751" s="9"/>
      <c r="E751" s="9"/>
      <c r="F751" s="91"/>
      <c r="G751" s="92"/>
      <c r="H751" s="92"/>
      <c r="I751" s="92"/>
      <c r="J751" s="93"/>
      <c r="K751" s="93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46"/>
      <c r="D752" s="9"/>
      <c r="E752" s="9"/>
      <c r="F752" s="91"/>
      <c r="G752" s="92"/>
      <c r="H752" s="92"/>
      <c r="I752" s="92"/>
      <c r="J752" s="93"/>
      <c r="K752" s="93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46"/>
      <c r="D753" s="9"/>
      <c r="E753" s="9"/>
      <c r="F753" s="91"/>
      <c r="G753" s="92"/>
      <c r="H753" s="92"/>
      <c r="I753" s="92"/>
      <c r="J753" s="93"/>
      <c r="K753" s="93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46"/>
      <c r="D754" s="9"/>
      <c r="E754" s="9"/>
      <c r="F754" s="91"/>
      <c r="G754" s="92"/>
      <c r="H754" s="92"/>
      <c r="I754" s="92"/>
      <c r="J754" s="93"/>
      <c r="K754" s="93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46"/>
      <c r="D755" s="9"/>
      <c r="E755" s="9"/>
      <c r="F755" s="91"/>
      <c r="G755" s="92"/>
      <c r="H755" s="92"/>
      <c r="I755" s="92"/>
      <c r="J755" s="93"/>
      <c r="K755" s="93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46"/>
      <c r="D756" s="9"/>
      <c r="E756" s="9"/>
      <c r="F756" s="91"/>
      <c r="G756" s="92"/>
      <c r="H756" s="92"/>
      <c r="I756" s="92"/>
      <c r="J756" s="93"/>
      <c r="K756" s="93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46"/>
      <c r="D757" s="9"/>
      <c r="E757" s="9"/>
      <c r="F757" s="91"/>
      <c r="G757" s="92"/>
      <c r="H757" s="92"/>
      <c r="I757" s="92"/>
      <c r="J757" s="93"/>
      <c r="K757" s="93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46"/>
      <c r="D758" s="9"/>
      <c r="E758" s="9"/>
      <c r="F758" s="91"/>
      <c r="G758" s="92"/>
      <c r="H758" s="92"/>
      <c r="I758" s="92"/>
      <c r="J758" s="93"/>
      <c r="K758" s="93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46"/>
      <c r="D759" s="9"/>
      <c r="E759" s="9"/>
      <c r="F759" s="91"/>
      <c r="G759" s="92"/>
      <c r="H759" s="92"/>
      <c r="I759" s="92"/>
      <c r="J759" s="93"/>
      <c r="K759" s="93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46"/>
      <c r="D760" s="9"/>
      <c r="E760" s="9"/>
      <c r="F760" s="91"/>
      <c r="G760" s="92"/>
      <c r="H760" s="92"/>
      <c r="I760" s="92"/>
      <c r="J760" s="93"/>
      <c r="K760" s="93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46"/>
      <c r="D761" s="9"/>
      <c r="E761" s="9"/>
      <c r="F761" s="91"/>
      <c r="G761" s="92"/>
      <c r="H761" s="92"/>
      <c r="I761" s="92"/>
      <c r="J761" s="93"/>
      <c r="K761" s="93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46"/>
      <c r="D762" s="9"/>
      <c r="E762" s="9"/>
      <c r="F762" s="91"/>
      <c r="G762" s="92"/>
      <c r="H762" s="92"/>
      <c r="I762" s="92"/>
      <c r="J762" s="93"/>
      <c r="K762" s="93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46"/>
      <c r="D763" s="9"/>
      <c r="E763" s="9"/>
      <c r="F763" s="91"/>
      <c r="G763" s="92"/>
      <c r="H763" s="92"/>
      <c r="I763" s="92"/>
      <c r="J763" s="93"/>
      <c r="K763" s="93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46"/>
      <c r="D764" s="9"/>
      <c r="E764" s="9"/>
      <c r="F764" s="91"/>
      <c r="G764" s="92"/>
      <c r="H764" s="92"/>
      <c r="I764" s="92"/>
      <c r="J764" s="93"/>
      <c r="K764" s="93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46"/>
      <c r="D765" s="9"/>
      <c r="E765" s="9"/>
      <c r="F765" s="91"/>
      <c r="G765" s="92"/>
      <c r="H765" s="92"/>
      <c r="I765" s="92"/>
      <c r="J765" s="93"/>
      <c r="K765" s="93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46"/>
      <c r="D766" s="9"/>
      <c r="E766" s="9"/>
      <c r="F766" s="91"/>
      <c r="G766" s="92"/>
      <c r="H766" s="92"/>
      <c r="I766" s="92"/>
      <c r="J766" s="93"/>
      <c r="K766" s="93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46"/>
      <c r="D767" s="9"/>
      <c r="E767" s="9"/>
      <c r="F767" s="91"/>
      <c r="G767" s="92"/>
      <c r="H767" s="92"/>
      <c r="I767" s="92"/>
      <c r="J767" s="93"/>
      <c r="K767" s="93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46"/>
      <c r="D768" s="9"/>
      <c r="E768" s="9"/>
      <c r="F768" s="91"/>
      <c r="G768" s="92"/>
      <c r="H768" s="92"/>
      <c r="I768" s="92"/>
      <c r="J768" s="93"/>
      <c r="K768" s="93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46"/>
      <c r="D769" s="9"/>
      <c r="E769" s="9"/>
      <c r="F769" s="91"/>
      <c r="G769" s="92"/>
      <c r="H769" s="92"/>
      <c r="I769" s="92"/>
      <c r="J769" s="93"/>
      <c r="K769" s="93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46"/>
      <c r="D770" s="9"/>
      <c r="E770" s="9"/>
      <c r="F770" s="91"/>
      <c r="G770" s="92"/>
      <c r="H770" s="92"/>
      <c r="I770" s="92"/>
      <c r="J770" s="93"/>
      <c r="K770" s="93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46"/>
      <c r="D771" s="9"/>
      <c r="E771" s="9"/>
      <c r="F771" s="91"/>
      <c r="G771" s="92"/>
      <c r="H771" s="92"/>
      <c r="I771" s="92"/>
      <c r="J771" s="93"/>
      <c r="K771" s="93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46"/>
      <c r="D772" s="9"/>
      <c r="E772" s="9"/>
      <c r="F772" s="91"/>
      <c r="G772" s="92"/>
      <c r="H772" s="92"/>
      <c r="I772" s="92"/>
      <c r="J772" s="93"/>
      <c r="K772" s="93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46"/>
      <c r="D773" s="9"/>
      <c r="E773" s="9"/>
      <c r="F773" s="91"/>
      <c r="G773" s="92"/>
      <c r="H773" s="92"/>
      <c r="I773" s="92"/>
      <c r="J773" s="93"/>
      <c r="K773" s="93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46"/>
      <c r="D774" s="9"/>
      <c r="E774" s="9"/>
      <c r="F774" s="91"/>
      <c r="G774" s="92"/>
      <c r="H774" s="92"/>
      <c r="I774" s="92"/>
      <c r="J774" s="93"/>
      <c r="K774" s="93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46"/>
      <c r="D775" s="9"/>
      <c r="E775" s="9"/>
      <c r="F775" s="91"/>
      <c r="G775" s="92"/>
      <c r="H775" s="92"/>
      <c r="I775" s="92"/>
      <c r="J775" s="93"/>
      <c r="K775" s="93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46"/>
      <c r="D776" s="9"/>
      <c r="E776" s="9"/>
      <c r="F776" s="91"/>
      <c r="G776" s="92"/>
      <c r="H776" s="92"/>
      <c r="I776" s="92"/>
      <c r="J776" s="93"/>
      <c r="K776" s="93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46"/>
      <c r="D777" s="9"/>
      <c r="E777" s="9"/>
      <c r="F777" s="91"/>
      <c r="G777" s="92"/>
      <c r="H777" s="92"/>
      <c r="I777" s="92"/>
      <c r="J777" s="93"/>
      <c r="K777" s="93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46"/>
      <c r="D778" s="9"/>
      <c r="E778" s="9"/>
      <c r="F778" s="91"/>
      <c r="G778" s="92"/>
      <c r="H778" s="92"/>
      <c r="I778" s="92"/>
      <c r="J778" s="93"/>
      <c r="K778" s="93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46"/>
      <c r="D779" s="9"/>
      <c r="E779" s="9"/>
      <c r="F779" s="91"/>
      <c r="G779" s="92"/>
      <c r="H779" s="92"/>
      <c r="I779" s="92"/>
      <c r="J779" s="93"/>
      <c r="K779" s="93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46"/>
      <c r="D780" s="9"/>
      <c r="E780" s="9"/>
      <c r="F780" s="91"/>
      <c r="G780" s="92"/>
      <c r="H780" s="92"/>
      <c r="I780" s="92"/>
      <c r="J780" s="93"/>
      <c r="K780" s="93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46"/>
      <c r="D781" s="9"/>
      <c r="E781" s="9"/>
      <c r="F781" s="91"/>
      <c r="G781" s="92"/>
      <c r="H781" s="92"/>
      <c r="I781" s="92"/>
      <c r="J781" s="93"/>
      <c r="K781" s="93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46"/>
      <c r="D782" s="9"/>
      <c r="E782" s="9"/>
      <c r="F782" s="91"/>
      <c r="G782" s="92"/>
      <c r="H782" s="92"/>
      <c r="I782" s="92"/>
      <c r="J782" s="93"/>
      <c r="K782" s="93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46"/>
      <c r="D783" s="9"/>
      <c r="E783" s="9"/>
      <c r="F783" s="91"/>
      <c r="G783" s="92"/>
      <c r="H783" s="92"/>
      <c r="I783" s="92"/>
      <c r="J783" s="93"/>
      <c r="K783" s="93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46"/>
      <c r="D784" s="9"/>
      <c r="E784" s="9"/>
      <c r="F784" s="91"/>
      <c r="G784" s="92"/>
      <c r="H784" s="92"/>
      <c r="I784" s="92"/>
      <c r="J784" s="93"/>
      <c r="K784" s="93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46"/>
      <c r="D785" s="9"/>
      <c r="E785" s="9"/>
      <c r="F785" s="91"/>
      <c r="G785" s="92"/>
      <c r="H785" s="92"/>
      <c r="I785" s="92"/>
      <c r="J785" s="93"/>
      <c r="K785" s="93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46"/>
      <c r="D786" s="9"/>
      <c r="E786" s="9"/>
      <c r="F786" s="91"/>
      <c r="G786" s="92"/>
      <c r="H786" s="92"/>
      <c r="I786" s="92"/>
      <c r="J786" s="93"/>
      <c r="K786" s="93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46"/>
      <c r="D787" s="9"/>
      <c r="E787" s="9"/>
      <c r="F787" s="91"/>
      <c r="G787" s="92"/>
      <c r="H787" s="92"/>
      <c r="I787" s="92"/>
      <c r="J787" s="93"/>
      <c r="K787" s="93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46"/>
      <c r="D788" s="9"/>
      <c r="E788" s="9"/>
      <c r="F788" s="91"/>
      <c r="G788" s="92"/>
      <c r="H788" s="92"/>
      <c r="I788" s="92"/>
      <c r="J788" s="93"/>
      <c r="K788" s="93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46"/>
      <c r="D789" s="9"/>
      <c r="E789" s="9"/>
      <c r="F789" s="91"/>
      <c r="G789" s="92"/>
      <c r="H789" s="92"/>
      <c r="I789" s="92"/>
      <c r="J789" s="93"/>
      <c r="K789" s="93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46"/>
      <c r="D790" s="9"/>
      <c r="E790" s="9"/>
      <c r="F790" s="91"/>
      <c r="G790" s="92"/>
      <c r="H790" s="92"/>
      <c r="I790" s="92"/>
      <c r="J790" s="93"/>
      <c r="K790" s="93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46"/>
      <c r="D791" s="9"/>
      <c r="E791" s="9"/>
      <c r="F791" s="91"/>
      <c r="G791" s="92"/>
      <c r="H791" s="92"/>
      <c r="I791" s="92"/>
      <c r="J791" s="93"/>
      <c r="K791" s="93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46"/>
      <c r="D792" s="9"/>
      <c r="E792" s="9"/>
      <c r="F792" s="91"/>
      <c r="G792" s="92"/>
      <c r="H792" s="92"/>
      <c r="I792" s="92"/>
      <c r="J792" s="93"/>
      <c r="K792" s="93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46"/>
      <c r="D793" s="9"/>
      <c r="E793" s="9"/>
      <c r="F793" s="91"/>
      <c r="G793" s="92"/>
      <c r="H793" s="92"/>
      <c r="I793" s="92"/>
      <c r="J793" s="93"/>
      <c r="K793" s="93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46"/>
      <c r="D794" s="9"/>
      <c r="E794" s="9"/>
      <c r="F794" s="91"/>
      <c r="G794" s="92"/>
      <c r="H794" s="92"/>
      <c r="I794" s="92"/>
      <c r="J794" s="93"/>
      <c r="K794" s="93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46"/>
      <c r="D795" s="9"/>
      <c r="E795" s="9"/>
      <c r="F795" s="91"/>
      <c r="G795" s="92"/>
      <c r="H795" s="92"/>
      <c r="I795" s="92"/>
      <c r="J795" s="93"/>
      <c r="K795" s="93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46"/>
      <c r="D796" s="9"/>
      <c r="E796" s="9"/>
      <c r="F796" s="91"/>
      <c r="G796" s="92"/>
      <c r="H796" s="92"/>
      <c r="I796" s="92"/>
      <c r="J796" s="93"/>
      <c r="K796" s="93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46"/>
      <c r="D797" s="9"/>
      <c r="E797" s="9"/>
      <c r="F797" s="91"/>
      <c r="G797" s="92"/>
      <c r="H797" s="92"/>
      <c r="I797" s="92"/>
      <c r="J797" s="93"/>
      <c r="K797" s="93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46"/>
      <c r="D798" s="9"/>
      <c r="E798" s="9"/>
      <c r="F798" s="91"/>
      <c r="G798" s="92"/>
      <c r="H798" s="92"/>
      <c r="I798" s="92"/>
      <c r="J798" s="93"/>
      <c r="K798" s="93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46"/>
      <c r="D799" s="9"/>
      <c r="E799" s="9"/>
      <c r="F799" s="91"/>
      <c r="G799" s="92"/>
      <c r="H799" s="92"/>
      <c r="I799" s="92"/>
      <c r="J799" s="93"/>
      <c r="K799" s="93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46"/>
      <c r="D800" s="9"/>
      <c r="E800" s="9"/>
      <c r="F800" s="91"/>
      <c r="G800" s="92"/>
      <c r="H800" s="92"/>
      <c r="I800" s="92"/>
      <c r="J800" s="93"/>
      <c r="K800" s="93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46"/>
      <c r="D801" s="9"/>
      <c r="E801" s="9"/>
      <c r="F801" s="91"/>
      <c r="G801" s="92"/>
      <c r="H801" s="92"/>
      <c r="I801" s="92"/>
      <c r="J801" s="93"/>
      <c r="K801" s="93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46"/>
      <c r="D802" s="9"/>
      <c r="E802" s="9"/>
      <c r="F802" s="91"/>
      <c r="G802" s="92"/>
      <c r="H802" s="92"/>
      <c r="I802" s="92"/>
      <c r="J802" s="93"/>
      <c r="K802" s="93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46"/>
      <c r="D803" s="9"/>
      <c r="E803" s="9"/>
      <c r="F803" s="91"/>
      <c r="G803" s="92"/>
      <c r="H803" s="92"/>
      <c r="I803" s="92"/>
      <c r="J803" s="93"/>
      <c r="K803" s="93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46"/>
      <c r="D804" s="9"/>
      <c r="E804" s="9"/>
      <c r="F804" s="91"/>
      <c r="G804" s="92"/>
      <c r="H804" s="92"/>
      <c r="I804" s="92"/>
      <c r="J804" s="93"/>
      <c r="K804" s="93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46"/>
      <c r="D805" s="9"/>
      <c r="E805" s="9"/>
      <c r="F805" s="91"/>
      <c r="G805" s="92"/>
      <c r="H805" s="92"/>
      <c r="I805" s="92"/>
      <c r="J805" s="93"/>
      <c r="K805" s="93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46"/>
      <c r="D806" s="9"/>
      <c r="E806" s="9"/>
      <c r="F806" s="91"/>
      <c r="G806" s="92"/>
      <c r="H806" s="92"/>
      <c r="I806" s="92"/>
      <c r="J806" s="93"/>
      <c r="K806" s="93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46"/>
      <c r="D807" s="9"/>
      <c r="E807" s="9"/>
      <c r="F807" s="91"/>
      <c r="G807" s="92"/>
      <c r="H807" s="92"/>
      <c r="I807" s="92"/>
      <c r="J807" s="93"/>
      <c r="K807" s="93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46"/>
      <c r="D808" s="9"/>
      <c r="E808" s="9"/>
      <c r="F808" s="91"/>
      <c r="G808" s="92"/>
      <c r="H808" s="92"/>
      <c r="I808" s="92"/>
      <c r="J808" s="93"/>
      <c r="K808" s="93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46"/>
      <c r="D809" s="9"/>
      <c r="E809" s="9"/>
      <c r="F809" s="91"/>
      <c r="G809" s="92"/>
      <c r="H809" s="92"/>
      <c r="I809" s="92"/>
      <c r="J809" s="93"/>
      <c r="K809" s="93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46"/>
      <c r="D810" s="9"/>
      <c r="E810" s="9"/>
      <c r="F810" s="91"/>
      <c r="G810" s="92"/>
      <c r="H810" s="92"/>
      <c r="I810" s="92"/>
      <c r="J810" s="93"/>
      <c r="K810" s="93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46"/>
      <c r="D811" s="9"/>
      <c r="E811" s="9"/>
      <c r="F811" s="91"/>
      <c r="G811" s="92"/>
      <c r="H811" s="92"/>
      <c r="I811" s="92"/>
      <c r="J811" s="93"/>
      <c r="K811" s="93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46"/>
      <c r="D812" s="9"/>
      <c r="E812" s="9"/>
      <c r="F812" s="91"/>
      <c r="G812" s="92"/>
      <c r="H812" s="92"/>
      <c r="I812" s="92"/>
      <c r="J812" s="93"/>
      <c r="K812" s="93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46"/>
      <c r="D813" s="9"/>
      <c r="E813" s="9"/>
      <c r="F813" s="91"/>
      <c r="G813" s="92"/>
      <c r="H813" s="92"/>
      <c r="I813" s="92"/>
      <c r="J813" s="93"/>
      <c r="K813" s="93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46"/>
      <c r="D814" s="9"/>
      <c r="E814" s="9"/>
      <c r="F814" s="91"/>
      <c r="G814" s="92"/>
      <c r="H814" s="92"/>
      <c r="I814" s="92"/>
      <c r="J814" s="93"/>
      <c r="K814" s="93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46"/>
      <c r="D815" s="9"/>
      <c r="E815" s="9"/>
      <c r="F815" s="91"/>
      <c r="G815" s="92"/>
      <c r="H815" s="92"/>
      <c r="I815" s="92"/>
      <c r="J815" s="93"/>
      <c r="K815" s="93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46"/>
      <c r="D816" s="9"/>
      <c r="E816" s="9"/>
      <c r="F816" s="91"/>
      <c r="G816" s="92"/>
      <c r="H816" s="92"/>
      <c r="I816" s="92"/>
      <c r="J816" s="93"/>
      <c r="K816" s="93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46"/>
      <c r="D817" s="9"/>
      <c r="E817" s="9"/>
      <c r="F817" s="91"/>
      <c r="G817" s="92"/>
      <c r="H817" s="92"/>
      <c r="I817" s="92"/>
      <c r="J817" s="93"/>
      <c r="K817" s="93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46"/>
      <c r="D818" s="9"/>
      <c r="E818" s="9"/>
      <c r="F818" s="91"/>
      <c r="G818" s="92"/>
      <c r="H818" s="92"/>
      <c r="I818" s="92"/>
      <c r="J818" s="93"/>
      <c r="K818" s="93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46"/>
      <c r="D819" s="9"/>
      <c r="E819" s="9"/>
      <c r="F819" s="91"/>
      <c r="G819" s="92"/>
      <c r="H819" s="92"/>
      <c r="I819" s="92"/>
      <c r="J819" s="93"/>
      <c r="K819" s="93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46"/>
      <c r="D820" s="9"/>
      <c r="E820" s="9"/>
      <c r="F820" s="91"/>
      <c r="G820" s="92"/>
      <c r="H820" s="92"/>
      <c r="I820" s="92"/>
      <c r="J820" s="93"/>
      <c r="K820" s="93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46"/>
      <c r="D821" s="9"/>
      <c r="E821" s="9"/>
      <c r="F821" s="91"/>
      <c r="G821" s="92"/>
      <c r="H821" s="92"/>
      <c r="I821" s="92"/>
      <c r="J821" s="93"/>
      <c r="K821" s="93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46"/>
      <c r="D822" s="9"/>
      <c r="E822" s="9"/>
      <c r="F822" s="91"/>
      <c r="G822" s="92"/>
      <c r="H822" s="92"/>
      <c r="I822" s="92"/>
      <c r="J822" s="93"/>
      <c r="K822" s="93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46"/>
      <c r="D823" s="9"/>
      <c r="E823" s="9"/>
      <c r="F823" s="91"/>
      <c r="G823" s="92"/>
      <c r="H823" s="92"/>
      <c r="I823" s="92"/>
      <c r="J823" s="93"/>
      <c r="K823" s="93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46"/>
      <c r="D824" s="9"/>
      <c r="E824" s="9"/>
      <c r="F824" s="91"/>
      <c r="G824" s="92"/>
      <c r="H824" s="92"/>
      <c r="I824" s="92"/>
      <c r="J824" s="93"/>
      <c r="K824" s="93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46"/>
      <c r="D825" s="9"/>
      <c r="E825" s="9"/>
      <c r="F825" s="91"/>
      <c r="G825" s="92"/>
      <c r="H825" s="92"/>
      <c r="I825" s="92"/>
      <c r="J825" s="93"/>
      <c r="K825" s="93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46"/>
      <c r="D826" s="9"/>
      <c r="E826" s="9"/>
      <c r="F826" s="91"/>
      <c r="G826" s="92"/>
      <c r="H826" s="92"/>
      <c r="I826" s="92"/>
      <c r="J826" s="93"/>
      <c r="K826" s="93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46"/>
      <c r="D827" s="9"/>
      <c r="E827" s="9"/>
      <c r="F827" s="91"/>
      <c r="G827" s="92"/>
      <c r="H827" s="92"/>
      <c r="I827" s="92"/>
      <c r="J827" s="93"/>
      <c r="K827" s="93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46"/>
      <c r="D828" s="9"/>
      <c r="E828" s="9"/>
      <c r="F828" s="91"/>
      <c r="G828" s="92"/>
      <c r="H828" s="92"/>
      <c r="I828" s="92"/>
      <c r="J828" s="93"/>
      <c r="K828" s="93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46"/>
      <c r="D829" s="9"/>
      <c r="E829" s="9"/>
      <c r="F829" s="91"/>
      <c r="G829" s="92"/>
      <c r="H829" s="92"/>
      <c r="I829" s="92"/>
      <c r="J829" s="93"/>
      <c r="K829" s="93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46"/>
      <c r="D830" s="9"/>
      <c r="E830" s="9"/>
      <c r="F830" s="91"/>
      <c r="G830" s="92"/>
      <c r="H830" s="92"/>
      <c r="I830" s="92"/>
      <c r="J830" s="93"/>
      <c r="K830" s="93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46"/>
      <c r="D831" s="9"/>
      <c r="E831" s="9"/>
      <c r="F831" s="91"/>
      <c r="G831" s="92"/>
      <c r="H831" s="92"/>
      <c r="I831" s="92"/>
      <c r="J831" s="93"/>
      <c r="K831" s="93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46"/>
      <c r="D832" s="9"/>
      <c r="E832" s="9"/>
      <c r="F832" s="91"/>
      <c r="G832" s="92"/>
      <c r="H832" s="92"/>
      <c r="I832" s="92"/>
      <c r="J832" s="93"/>
      <c r="K832" s="93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46"/>
      <c r="D833" s="9"/>
      <c r="E833" s="9"/>
      <c r="F833" s="91"/>
      <c r="G833" s="92"/>
      <c r="H833" s="92"/>
      <c r="I833" s="92"/>
      <c r="J833" s="93"/>
      <c r="K833" s="93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46"/>
      <c r="D834" s="9"/>
      <c r="E834" s="9"/>
      <c r="F834" s="91"/>
      <c r="G834" s="92"/>
      <c r="H834" s="92"/>
      <c r="I834" s="92"/>
      <c r="J834" s="93"/>
      <c r="K834" s="93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46"/>
      <c r="D835" s="9"/>
      <c r="E835" s="9"/>
      <c r="F835" s="91"/>
      <c r="G835" s="92"/>
      <c r="H835" s="92"/>
      <c r="I835" s="92"/>
      <c r="J835" s="93"/>
      <c r="K835" s="93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46"/>
      <c r="D836" s="9"/>
      <c r="E836" s="9"/>
      <c r="F836" s="91"/>
      <c r="G836" s="92"/>
      <c r="H836" s="92"/>
      <c r="I836" s="92"/>
      <c r="J836" s="93"/>
      <c r="K836" s="93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46"/>
      <c r="D837" s="9"/>
      <c r="E837" s="9"/>
      <c r="F837" s="91"/>
      <c r="G837" s="92"/>
      <c r="H837" s="92"/>
      <c r="I837" s="92"/>
      <c r="J837" s="93"/>
      <c r="K837" s="93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46"/>
      <c r="D838" s="9"/>
      <c r="E838" s="9"/>
      <c r="F838" s="91"/>
      <c r="G838" s="92"/>
      <c r="H838" s="92"/>
      <c r="I838" s="92"/>
      <c r="J838" s="93"/>
      <c r="K838" s="93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46"/>
      <c r="D839" s="9"/>
      <c r="E839" s="9"/>
      <c r="F839" s="91"/>
      <c r="G839" s="92"/>
      <c r="H839" s="92"/>
      <c r="I839" s="92"/>
      <c r="J839" s="93"/>
      <c r="K839" s="93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46"/>
      <c r="D840" s="9"/>
      <c r="E840" s="9"/>
      <c r="F840" s="91"/>
      <c r="G840" s="92"/>
      <c r="H840" s="92"/>
      <c r="I840" s="92"/>
      <c r="J840" s="93"/>
      <c r="K840" s="93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46"/>
      <c r="D841" s="9"/>
      <c r="E841" s="9"/>
      <c r="F841" s="91"/>
      <c r="G841" s="92"/>
      <c r="H841" s="92"/>
      <c r="I841" s="92"/>
      <c r="J841" s="93"/>
      <c r="K841" s="93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46"/>
      <c r="D842" s="9"/>
      <c r="E842" s="9"/>
      <c r="F842" s="91"/>
      <c r="G842" s="92"/>
      <c r="H842" s="92"/>
      <c r="I842" s="92"/>
      <c r="J842" s="93"/>
      <c r="K842" s="93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46"/>
      <c r="D843" s="9"/>
      <c r="E843" s="9"/>
      <c r="F843" s="91"/>
      <c r="G843" s="92"/>
      <c r="H843" s="92"/>
      <c r="I843" s="92"/>
      <c r="J843" s="93"/>
      <c r="K843" s="93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46"/>
      <c r="D844" s="9"/>
      <c r="E844" s="9"/>
      <c r="F844" s="91"/>
      <c r="G844" s="92"/>
      <c r="H844" s="92"/>
      <c r="I844" s="92"/>
      <c r="J844" s="93"/>
      <c r="K844" s="93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46"/>
      <c r="D845" s="9"/>
      <c r="E845" s="9"/>
      <c r="F845" s="91"/>
      <c r="G845" s="92"/>
      <c r="H845" s="92"/>
      <c r="I845" s="92"/>
      <c r="J845" s="93"/>
      <c r="K845" s="93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46"/>
      <c r="D846" s="9"/>
      <c r="E846" s="9"/>
      <c r="F846" s="91"/>
      <c r="G846" s="92"/>
      <c r="H846" s="92"/>
      <c r="I846" s="92"/>
      <c r="J846" s="93"/>
      <c r="K846" s="93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46"/>
      <c r="D847" s="9"/>
      <c r="E847" s="9"/>
      <c r="F847" s="91"/>
      <c r="G847" s="92"/>
      <c r="H847" s="92"/>
      <c r="I847" s="92"/>
      <c r="J847" s="93"/>
      <c r="K847" s="93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46"/>
      <c r="D848" s="9"/>
      <c r="E848" s="9"/>
      <c r="F848" s="91"/>
      <c r="G848" s="92"/>
      <c r="H848" s="92"/>
      <c r="I848" s="92"/>
      <c r="J848" s="93"/>
      <c r="K848" s="93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46"/>
      <c r="D849" s="9"/>
      <c r="E849" s="9"/>
      <c r="F849" s="91"/>
      <c r="G849" s="92"/>
      <c r="H849" s="92"/>
      <c r="I849" s="92"/>
      <c r="J849" s="93"/>
      <c r="K849" s="93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46"/>
      <c r="D850" s="9"/>
      <c r="E850" s="9"/>
      <c r="F850" s="91"/>
      <c r="G850" s="92"/>
      <c r="H850" s="92"/>
      <c r="I850" s="92"/>
      <c r="J850" s="93"/>
      <c r="K850" s="93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46"/>
      <c r="D851" s="9"/>
      <c r="E851" s="9"/>
      <c r="F851" s="91"/>
      <c r="G851" s="92"/>
      <c r="H851" s="92"/>
      <c r="I851" s="92"/>
      <c r="J851" s="93"/>
      <c r="K851" s="93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46"/>
      <c r="D852" s="9"/>
      <c r="E852" s="9"/>
      <c r="F852" s="91"/>
      <c r="G852" s="92"/>
      <c r="H852" s="92"/>
      <c r="I852" s="92"/>
      <c r="J852" s="93"/>
      <c r="K852" s="93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46"/>
      <c r="D853" s="9"/>
      <c r="E853" s="9"/>
      <c r="F853" s="91"/>
      <c r="G853" s="92"/>
      <c r="H853" s="92"/>
      <c r="I853" s="92"/>
      <c r="J853" s="93"/>
      <c r="K853" s="93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46"/>
      <c r="D854" s="9"/>
      <c r="E854" s="9"/>
      <c r="F854" s="91"/>
      <c r="G854" s="92"/>
      <c r="H854" s="92"/>
      <c r="I854" s="92"/>
      <c r="J854" s="93"/>
      <c r="K854" s="93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46"/>
      <c r="D855" s="9"/>
      <c r="E855" s="9"/>
      <c r="F855" s="91"/>
      <c r="G855" s="92"/>
      <c r="H855" s="92"/>
      <c r="I855" s="92"/>
      <c r="J855" s="93"/>
      <c r="K855" s="93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46"/>
      <c r="D856" s="9"/>
      <c r="E856" s="9"/>
      <c r="F856" s="91"/>
      <c r="G856" s="92"/>
      <c r="H856" s="92"/>
      <c r="I856" s="92"/>
      <c r="J856" s="93"/>
      <c r="K856" s="93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46"/>
      <c r="D857" s="9"/>
      <c r="E857" s="9"/>
      <c r="F857" s="91"/>
      <c r="G857" s="92"/>
      <c r="H857" s="92"/>
      <c r="I857" s="92"/>
      <c r="J857" s="93"/>
      <c r="K857" s="93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46"/>
      <c r="D858" s="9"/>
      <c r="E858" s="9"/>
      <c r="F858" s="91"/>
      <c r="G858" s="92"/>
      <c r="H858" s="92"/>
      <c r="I858" s="92"/>
      <c r="J858" s="93"/>
      <c r="K858" s="93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46"/>
      <c r="D859" s="9"/>
      <c r="E859" s="9"/>
      <c r="F859" s="91"/>
      <c r="G859" s="92"/>
      <c r="H859" s="92"/>
      <c r="I859" s="92"/>
      <c r="J859" s="93"/>
      <c r="K859" s="93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46"/>
      <c r="D860" s="9"/>
      <c r="E860" s="9"/>
      <c r="F860" s="91"/>
      <c r="G860" s="92"/>
      <c r="H860" s="92"/>
      <c r="I860" s="92"/>
      <c r="J860" s="93"/>
      <c r="K860" s="93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46"/>
      <c r="D861" s="9"/>
      <c r="E861" s="9"/>
      <c r="F861" s="91"/>
      <c r="G861" s="92"/>
      <c r="H861" s="92"/>
      <c r="I861" s="92"/>
      <c r="J861" s="93"/>
      <c r="K861" s="93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46"/>
      <c r="D862" s="9"/>
      <c r="E862" s="9"/>
      <c r="F862" s="91"/>
      <c r="G862" s="92"/>
      <c r="H862" s="92"/>
      <c r="I862" s="92"/>
      <c r="J862" s="93"/>
      <c r="K862" s="93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46"/>
      <c r="D863" s="9"/>
      <c r="E863" s="9"/>
      <c r="F863" s="91"/>
      <c r="G863" s="92"/>
      <c r="H863" s="92"/>
      <c r="I863" s="92"/>
      <c r="J863" s="93"/>
      <c r="K863" s="93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46"/>
      <c r="D864" s="9"/>
      <c r="E864" s="9"/>
      <c r="F864" s="91"/>
      <c r="G864" s="92"/>
      <c r="H864" s="92"/>
      <c r="I864" s="92"/>
      <c r="J864" s="93"/>
      <c r="K864" s="93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46"/>
      <c r="D865" s="9"/>
      <c r="E865" s="9"/>
      <c r="F865" s="91"/>
      <c r="G865" s="92"/>
      <c r="H865" s="92"/>
      <c r="I865" s="92"/>
      <c r="J865" s="93"/>
      <c r="K865" s="93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46"/>
      <c r="D866" s="9"/>
      <c r="E866" s="9"/>
      <c r="F866" s="91"/>
      <c r="G866" s="92"/>
      <c r="H866" s="92"/>
      <c r="I866" s="92"/>
      <c r="J866" s="93"/>
      <c r="K866" s="93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46"/>
      <c r="D867" s="9"/>
      <c r="E867" s="9"/>
      <c r="F867" s="91"/>
      <c r="G867" s="92"/>
      <c r="H867" s="92"/>
      <c r="I867" s="92"/>
      <c r="J867" s="93"/>
      <c r="K867" s="93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46"/>
      <c r="D868" s="9"/>
      <c r="E868" s="9"/>
      <c r="F868" s="91"/>
      <c r="G868" s="92"/>
      <c r="H868" s="92"/>
      <c r="I868" s="92"/>
      <c r="J868" s="93"/>
      <c r="K868" s="93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46"/>
      <c r="D869" s="9"/>
      <c r="E869" s="9"/>
      <c r="F869" s="91"/>
      <c r="G869" s="92"/>
      <c r="H869" s="92"/>
      <c r="I869" s="92"/>
      <c r="J869" s="93"/>
      <c r="K869" s="93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46"/>
      <c r="D870" s="9"/>
      <c r="E870" s="9"/>
      <c r="F870" s="91"/>
      <c r="G870" s="92"/>
      <c r="H870" s="92"/>
      <c r="I870" s="92"/>
      <c r="J870" s="93"/>
      <c r="K870" s="93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46"/>
      <c r="D871" s="9"/>
      <c r="E871" s="9"/>
      <c r="F871" s="91"/>
      <c r="G871" s="92"/>
      <c r="H871" s="92"/>
      <c r="I871" s="92"/>
      <c r="J871" s="93"/>
      <c r="K871" s="93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46"/>
      <c r="D872" s="9"/>
      <c r="E872" s="9"/>
      <c r="F872" s="91"/>
      <c r="G872" s="92"/>
      <c r="H872" s="92"/>
      <c r="I872" s="92"/>
      <c r="J872" s="93"/>
      <c r="K872" s="93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46"/>
      <c r="D873" s="9"/>
      <c r="E873" s="9"/>
      <c r="F873" s="91"/>
      <c r="G873" s="92"/>
      <c r="H873" s="92"/>
      <c r="I873" s="92"/>
      <c r="J873" s="93"/>
      <c r="K873" s="93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46"/>
      <c r="D874" s="9"/>
      <c r="E874" s="9"/>
      <c r="F874" s="91"/>
      <c r="G874" s="92"/>
      <c r="H874" s="92"/>
      <c r="I874" s="92"/>
      <c r="J874" s="93"/>
      <c r="K874" s="93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46"/>
      <c r="D875" s="9"/>
      <c r="E875" s="9"/>
      <c r="F875" s="91"/>
      <c r="G875" s="92"/>
      <c r="H875" s="92"/>
      <c r="I875" s="92"/>
      <c r="J875" s="93"/>
      <c r="K875" s="93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46"/>
      <c r="D876" s="9"/>
      <c r="E876" s="9"/>
      <c r="F876" s="91"/>
      <c r="G876" s="92"/>
      <c r="H876" s="92"/>
      <c r="I876" s="92"/>
      <c r="J876" s="93"/>
      <c r="K876" s="93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46"/>
      <c r="D877" s="9"/>
      <c r="E877" s="9"/>
      <c r="F877" s="91"/>
      <c r="G877" s="92"/>
      <c r="H877" s="92"/>
      <c r="I877" s="92"/>
      <c r="J877" s="93"/>
      <c r="K877" s="93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46"/>
      <c r="D878" s="9"/>
      <c r="E878" s="9"/>
      <c r="F878" s="91"/>
      <c r="G878" s="92"/>
      <c r="H878" s="92"/>
      <c r="I878" s="92"/>
      <c r="J878" s="93"/>
      <c r="K878" s="93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46"/>
      <c r="D879" s="9"/>
      <c r="E879" s="9"/>
      <c r="F879" s="91"/>
      <c r="G879" s="92"/>
      <c r="H879" s="92"/>
      <c r="I879" s="92"/>
      <c r="J879" s="93"/>
      <c r="K879" s="93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46"/>
      <c r="D880" s="9"/>
      <c r="E880" s="9"/>
      <c r="F880" s="91"/>
      <c r="G880" s="92"/>
      <c r="H880" s="92"/>
      <c r="I880" s="92"/>
      <c r="J880" s="93"/>
      <c r="K880" s="93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46"/>
      <c r="D881" s="9"/>
      <c r="E881" s="9"/>
      <c r="F881" s="91"/>
      <c r="G881" s="92"/>
      <c r="H881" s="92"/>
      <c r="I881" s="92"/>
      <c r="J881" s="93"/>
      <c r="K881" s="93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46"/>
      <c r="D882" s="9"/>
      <c r="E882" s="9"/>
      <c r="F882" s="91"/>
      <c r="G882" s="92"/>
      <c r="H882" s="92"/>
      <c r="I882" s="92"/>
      <c r="J882" s="93"/>
      <c r="K882" s="93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46"/>
      <c r="D883" s="9"/>
      <c r="E883" s="9"/>
      <c r="F883" s="91"/>
      <c r="G883" s="92"/>
      <c r="H883" s="92"/>
      <c r="I883" s="92"/>
      <c r="J883" s="93"/>
      <c r="K883" s="93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46"/>
      <c r="D884" s="9"/>
      <c r="E884" s="9"/>
      <c r="F884" s="91"/>
      <c r="G884" s="92"/>
      <c r="H884" s="92"/>
      <c r="I884" s="92"/>
      <c r="J884" s="93"/>
      <c r="K884" s="93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46"/>
      <c r="D885" s="9"/>
      <c r="E885" s="9"/>
      <c r="F885" s="91"/>
      <c r="G885" s="92"/>
      <c r="H885" s="92"/>
      <c r="I885" s="92"/>
      <c r="J885" s="93"/>
      <c r="K885" s="93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46"/>
      <c r="D886" s="9"/>
      <c r="E886" s="9"/>
      <c r="F886" s="91"/>
      <c r="G886" s="92"/>
      <c r="H886" s="92"/>
      <c r="I886" s="92"/>
      <c r="J886" s="93"/>
      <c r="K886" s="93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46"/>
      <c r="D887" s="9"/>
      <c r="E887" s="9"/>
      <c r="F887" s="91"/>
      <c r="G887" s="92"/>
      <c r="H887" s="92"/>
      <c r="I887" s="92"/>
      <c r="J887" s="93"/>
      <c r="K887" s="93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46"/>
      <c r="D888" s="9"/>
      <c r="E888" s="9"/>
      <c r="F888" s="91"/>
      <c r="G888" s="92"/>
      <c r="H888" s="92"/>
      <c r="I888" s="92"/>
      <c r="J888" s="93"/>
      <c r="K888" s="93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46"/>
      <c r="D889" s="9"/>
      <c r="E889" s="9"/>
      <c r="F889" s="91"/>
      <c r="G889" s="92"/>
      <c r="H889" s="92"/>
      <c r="I889" s="92"/>
      <c r="J889" s="93"/>
      <c r="K889" s="93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46"/>
      <c r="D890" s="9"/>
      <c r="E890" s="9"/>
      <c r="F890" s="91"/>
      <c r="G890" s="92"/>
      <c r="H890" s="92"/>
      <c r="I890" s="92"/>
      <c r="J890" s="93"/>
      <c r="K890" s="93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46"/>
      <c r="D891" s="9"/>
      <c r="E891" s="9"/>
      <c r="F891" s="91"/>
      <c r="G891" s="92"/>
      <c r="H891" s="92"/>
      <c r="I891" s="92"/>
      <c r="J891" s="93"/>
      <c r="K891" s="93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46"/>
      <c r="D892" s="9"/>
      <c r="E892" s="9"/>
      <c r="F892" s="91"/>
      <c r="G892" s="92"/>
      <c r="H892" s="92"/>
      <c r="I892" s="92"/>
      <c r="J892" s="93"/>
      <c r="K892" s="93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46"/>
      <c r="D893" s="9"/>
      <c r="E893" s="9"/>
      <c r="F893" s="91"/>
      <c r="G893" s="92"/>
      <c r="H893" s="92"/>
      <c r="I893" s="92"/>
      <c r="J893" s="93"/>
      <c r="K893" s="93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46"/>
      <c r="D894" s="9"/>
      <c r="E894" s="9"/>
      <c r="F894" s="91"/>
      <c r="G894" s="92"/>
      <c r="H894" s="92"/>
      <c r="I894" s="92"/>
      <c r="J894" s="93"/>
      <c r="K894" s="93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46"/>
      <c r="D895" s="9"/>
      <c r="E895" s="9"/>
      <c r="F895" s="91"/>
      <c r="G895" s="92"/>
      <c r="H895" s="92"/>
      <c r="I895" s="92"/>
      <c r="J895" s="93"/>
      <c r="K895" s="93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46"/>
      <c r="D896" s="9"/>
      <c r="E896" s="9"/>
      <c r="F896" s="91"/>
      <c r="G896" s="92"/>
      <c r="H896" s="92"/>
      <c r="I896" s="92"/>
      <c r="J896" s="93"/>
      <c r="K896" s="93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46"/>
      <c r="D897" s="9"/>
      <c r="E897" s="9"/>
      <c r="F897" s="91"/>
      <c r="G897" s="92"/>
      <c r="H897" s="92"/>
      <c r="I897" s="92"/>
      <c r="J897" s="93"/>
      <c r="K897" s="93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46"/>
      <c r="D898" s="9"/>
      <c r="E898" s="9"/>
      <c r="F898" s="91"/>
      <c r="G898" s="92"/>
      <c r="H898" s="92"/>
      <c r="I898" s="92"/>
      <c r="J898" s="93"/>
      <c r="K898" s="93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46"/>
      <c r="D899" s="9"/>
      <c r="E899" s="9"/>
      <c r="F899" s="91"/>
      <c r="G899" s="92"/>
      <c r="H899" s="92"/>
      <c r="I899" s="92"/>
      <c r="J899" s="93"/>
      <c r="K899" s="93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46"/>
      <c r="D900" s="9"/>
      <c r="E900" s="9"/>
      <c r="F900" s="91"/>
      <c r="G900" s="92"/>
      <c r="H900" s="92"/>
      <c r="I900" s="92"/>
      <c r="J900" s="93"/>
      <c r="K900" s="93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46"/>
      <c r="D901" s="9"/>
      <c r="E901" s="9"/>
      <c r="F901" s="91"/>
      <c r="G901" s="92"/>
      <c r="H901" s="92"/>
      <c r="I901" s="92"/>
      <c r="J901" s="93"/>
      <c r="K901" s="93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46"/>
      <c r="D902" s="9"/>
      <c r="E902" s="9"/>
      <c r="F902" s="91"/>
      <c r="G902" s="92"/>
      <c r="H902" s="92"/>
      <c r="I902" s="92"/>
      <c r="J902" s="93"/>
      <c r="K902" s="93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46"/>
      <c r="D903" s="9"/>
      <c r="E903" s="9"/>
      <c r="F903" s="91"/>
      <c r="G903" s="92"/>
      <c r="H903" s="92"/>
      <c r="I903" s="92"/>
      <c r="J903" s="93"/>
      <c r="K903" s="93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46"/>
      <c r="D904" s="9"/>
      <c r="E904" s="9"/>
      <c r="F904" s="91"/>
      <c r="G904" s="92"/>
      <c r="H904" s="92"/>
      <c r="I904" s="92"/>
      <c r="J904" s="93"/>
      <c r="K904" s="93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46"/>
      <c r="D905" s="9"/>
      <c r="E905" s="9"/>
      <c r="F905" s="91"/>
      <c r="G905" s="92"/>
      <c r="H905" s="92"/>
      <c r="I905" s="92"/>
      <c r="J905" s="93"/>
      <c r="K905" s="93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46"/>
      <c r="D906" s="9"/>
      <c r="E906" s="9"/>
      <c r="F906" s="91"/>
      <c r="G906" s="92"/>
      <c r="H906" s="92"/>
      <c r="I906" s="92"/>
      <c r="J906" s="93"/>
      <c r="K906" s="93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46"/>
      <c r="D907" s="9"/>
      <c r="E907" s="9"/>
      <c r="F907" s="91"/>
      <c r="G907" s="92"/>
      <c r="H907" s="92"/>
      <c r="I907" s="92"/>
      <c r="J907" s="93"/>
      <c r="K907" s="93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46"/>
      <c r="D908" s="9"/>
      <c r="E908" s="9"/>
      <c r="F908" s="91"/>
      <c r="G908" s="92"/>
      <c r="H908" s="92"/>
      <c r="I908" s="92"/>
      <c r="J908" s="93"/>
      <c r="K908" s="93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46"/>
      <c r="D909" s="9"/>
      <c r="E909" s="9"/>
      <c r="F909" s="91"/>
      <c r="G909" s="92"/>
      <c r="H909" s="92"/>
      <c r="I909" s="92"/>
      <c r="J909" s="93"/>
      <c r="K909" s="93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46"/>
      <c r="D910" s="9"/>
      <c r="E910" s="9"/>
      <c r="F910" s="91"/>
      <c r="G910" s="92"/>
      <c r="H910" s="92"/>
      <c r="I910" s="92"/>
      <c r="J910" s="93"/>
      <c r="K910" s="93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46"/>
      <c r="D911" s="9"/>
      <c r="E911" s="9"/>
      <c r="F911" s="91"/>
      <c r="G911" s="92"/>
      <c r="H911" s="92"/>
      <c r="I911" s="92"/>
      <c r="J911" s="93"/>
      <c r="K911" s="93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46"/>
      <c r="D912" s="9"/>
      <c r="E912" s="9"/>
      <c r="F912" s="91"/>
      <c r="G912" s="92"/>
      <c r="H912" s="92"/>
      <c r="I912" s="92"/>
      <c r="J912" s="93"/>
      <c r="K912" s="93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46"/>
      <c r="D913" s="9"/>
      <c r="E913" s="9"/>
      <c r="F913" s="91"/>
      <c r="G913" s="92"/>
      <c r="H913" s="92"/>
      <c r="I913" s="92"/>
      <c r="J913" s="93"/>
      <c r="K913" s="93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46"/>
      <c r="D914" s="9"/>
      <c r="E914" s="9"/>
      <c r="F914" s="91"/>
      <c r="G914" s="92"/>
      <c r="H914" s="92"/>
      <c r="I914" s="92"/>
      <c r="J914" s="93"/>
      <c r="K914" s="93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46"/>
      <c r="D915" s="9"/>
      <c r="E915" s="9"/>
      <c r="F915" s="91"/>
      <c r="G915" s="92"/>
      <c r="H915" s="92"/>
      <c r="I915" s="92"/>
      <c r="J915" s="93"/>
      <c r="K915" s="93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46"/>
      <c r="D916" s="9"/>
      <c r="E916" s="9"/>
      <c r="F916" s="91"/>
      <c r="G916" s="92"/>
      <c r="H916" s="92"/>
      <c r="I916" s="92"/>
      <c r="J916" s="93"/>
      <c r="K916" s="93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46"/>
      <c r="D917" s="9"/>
      <c r="E917" s="9"/>
      <c r="F917" s="91"/>
      <c r="G917" s="92"/>
      <c r="H917" s="92"/>
      <c r="I917" s="92"/>
      <c r="J917" s="93"/>
      <c r="K917" s="93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46"/>
      <c r="D918" s="9"/>
      <c r="E918" s="9"/>
      <c r="F918" s="91"/>
      <c r="G918" s="92"/>
      <c r="H918" s="92"/>
      <c r="I918" s="92"/>
      <c r="J918" s="93"/>
      <c r="K918" s="93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46"/>
      <c r="D919" s="9"/>
      <c r="E919" s="9"/>
      <c r="F919" s="91"/>
      <c r="G919" s="92"/>
      <c r="H919" s="92"/>
      <c r="I919" s="92"/>
      <c r="J919" s="93"/>
      <c r="K919" s="93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46"/>
      <c r="D920" s="9"/>
      <c r="E920" s="9"/>
      <c r="F920" s="91"/>
      <c r="G920" s="92"/>
      <c r="H920" s="92"/>
      <c r="I920" s="92"/>
      <c r="J920" s="93"/>
      <c r="K920" s="93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46"/>
      <c r="D921" s="9"/>
      <c r="E921" s="9"/>
      <c r="F921" s="91"/>
      <c r="G921" s="92"/>
      <c r="H921" s="92"/>
      <c r="I921" s="92"/>
      <c r="J921" s="93"/>
      <c r="K921" s="93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46"/>
      <c r="D922" s="9"/>
      <c r="E922" s="9"/>
      <c r="F922" s="91"/>
      <c r="G922" s="92"/>
      <c r="H922" s="92"/>
      <c r="I922" s="92"/>
      <c r="J922" s="93"/>
      <c r="K922" s="93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46"/>
      <c r="D923" s="9"/>
      <c r="E923" s="9"/>
      <c r="F923" s="91"/>
      <c r="G923" s="92"/>
      <c r="H923" s="92"/>
      <c r="I923" s="92"/>
      <c r="J923" s="93"/>
      <c r="K923" s="93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46"/>
      <c r="D924" s="9"/>
      <c r="E924" s="9"/>
      <c r="F924" s="91"/>
      <c r="G924" s="92"/>
      <c r="H924" s="92"/>
      <c r="I924" s="92"/>
      <c r="J924" s="93"/>
      <c r="K924" s="93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46"/>
      <c r="D925" s="9"/>
      <c r="E925" s="9"/>
      <c r="F925" s="91"/>
      <c r="G925" s="92"/>
      <c r="H925" s="92"/>
      <c r="I925" s="92"/>
      <c r="J925" s="93"/>
      <c r="K925" s="93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46"/>
      <c r="D926" s="9"/>
      <c r="E926" s="9"/>
      <c r="F926" s="91"/>
      <c r="G926" s="92"/>
      <c r="H926" s="92"/>
      <c r="I926" s="92"/>
      <c r="J926" s="93"/>
      <c r="K926" s="93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46"/>
      <c r="D927" s="9"/>
      <c r="E927" s="9"/>
      <c r="F927" s="91"/>
      <c r="G927" s="92"/>
      <c r="H927" s="92"/>
      <c r="I927" s="92"/>
      <c r="J927" s="93"/>
      <c r="K927" s="93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46"/>
      <c r="D928" s="9"/>
      <c r="E928" s="9"/>
      <c r="F928" s="91"/>
      <c r="G928" s="92"/>
      <c r="H928" s="92"/>
      <c r="I928" s="92"/>
      <c r="J928" s="93"/>
      <c r="K928" s="93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46"/>
      <c r="D929" s="9"/>
      <c r="E929" s="9"/>
      <c r="F929" s="91"/>
      <c r="G929" s="92"/>
      <c r="H929" s="92"/>
      <c r="I929" s="92"/>
      <c r="J929" s="93"/>
      <c r="K929" s="93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46"/>
      <c r="D930" s="9"/>
      <c r="E930" s="9"/>
      <c r="F930" s="91"/>
      <c r="G930" s="92"/>
      <c r="H930" s="92"/>
      <c r="I930" s="92"/>
      <c r="J930" s="93"/>
      <c r="K930" s="93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46"/>
      <c r="D931" s="9"/>
      <c r="E931" s="9"/>
      <c r="F931" s="91"/>
      <c r="G931" s="92"/>
      <c r="H931" s="92"/>
      <c r="I931" s="92"/>
      <c r="J931" s="93"/>
      <c r="K931" s="93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46"/>
      <c r="D932" s="9"/>
      <c r="E932" s="9"/>
      <c r="F932" s="91"/>
      <c r="G932" s="92"/>
      <c r="H932" s="92"/>
      <c r="I932" s="92"/>
      <c r="J932" s="93"/>
      <c r="K932" s="93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46"/>
      <c r="D933" s="9"/>
      <c r="E933" s="9"/>
      <c r="F933" s="91"/>
      <c r="G933" s="92"/>
      <c r="H933" s="92"/>
      <c r="I933" s="92"/>
      <c r="J933" s="93"/>
      <c r="K933" s="93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46"/>
      <c r="D934" s="9"/>
      <c r="E934" s="9"/>
      <c r="F934" s="91"/>
      <c r="G934" s="92"/>
      <c r="H934" s="92"/>
      <c r="I934" s="92"/>
      <c r="J934" s="93"/>
      <c r="K934" s="93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46"/>
      <c r="D935" s="9"/>
      <c r="E935" s="9"/>
      <c r="F935" s="91"/>
      <c r="G935" s="92"/>
      <c r="H935" s="92"/>
      <c r="I935" s="92"/>
      <c r="J935" s="93"/>
      <c r="K935" s="93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46"/>
      <c r="D936" s="9"/>
      <c r="E936" s="9"/>
      <c r="F936" s="91"/>
      <c r="G936" s="92"/>
      <c r="H936" s="92"/>
      <c r="I936" s="92"/>
      <c r="J936" s="93"/>
      <c r="K936" s="93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46"/>
      <c r="D937" s="9"/>
      <c r="E937" s="9"/>
      <c r="F937" s="91"/>
      <c r="G937" s="92"/>
      <c r="H937" s="92"/>
      <c r="I937" s="92"/>
      <c r="J937" s="93"/>
      <c r="K937" s="93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46"/>
      <c r="D938" s="9"/>
      <c r="E938" s="9"/>
      <c r="F938" s="91"/>
      <c r="G938" s="92"/>
      <c r="H938" s="92"/>
      <c r="I938" s="92"/>
      <c r="J938" s="93"/>
      <c r="K938" s="93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46"/>
      <c r="D939" s="9"/>
      <c r="E939" s="9"/>
      <c r="F939" s="91"/>
      <c r="G939" s="92"/>
      <c r="H939" s="92"/>
      <c r="I939" s="92"/>
      <c r="J939" s="93"/>
      <c r="K939" s="93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46"/>
      <c r="D940" s="9"/>
      <c r="E940" s="9"/>
      <c r="F940" s="91"/>
      <c r="G940" s="92"/>
      <c r="H940" s="92"/>
      <c r="I940" s="92"/>
      <c r="J940" s="93"/>
      <c r="K940" s="93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46"/>
      <c r="D941" s="9"/>
      <c r="E941" s="9"/>
      <c r="F941" s="91"/>
      <c r="G941" s="92"/>
      <c r="H941" s="92"/>
      <c r="I941" s="92"/>
      <c r="J941" s="93"/>
      <c r="K941" s="93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46"/>
      <c r="D942" s="9"/>
      <c r="E942" s="9"/>
      <c r="F942" s="91"/>
      <c r="G942" s="92"/>
      <c r="H942" s="92"/>
      <c r="I942" s="92"/>
      <c r="J942" s="93"/>
      <c r="K942" s="93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46"/>
      <c r="D943" s="9"/>
      <c r="E943" s="9"/>
      <c r="F943" s="91"/>
      <c r="G943" s="92"/>
      <c r="H943" s="92"/>
      <c r="I943" s="92"/>
      <c r="J943" s="93"/>
      <c r="K943" s="93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46"/>
      <c r="D944" s="9"/>
      <c r="E944" s="9"/>
      <c r="F944" s="91"/>
      <c r="G944" s="92"/>
      <c r="H944" s="92"/>
      <c r="I944" s="92"/>
      <c r="J944" s="93"/>
      <c r="K944" s="93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46"/>
      <c r="D945" s="9"/>
      <c r="E945" s="9"/>
      <c r="F945" s="91"/>
      <c r="G945" s="92"/>
      <c r="H945" s="92"/>
      <c r="I945" s="92"/>
      <c r="J945" s="93"/>
      <c r="K945" s="93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46"/>
      <c r="D946" s="9"/>
      <c r="E946" s="9"/>
      <c r="F946" s="91"/>
      <c r="G946" s="92"/>
      <c r="H946" s="92"/>
      <c r="I946" s="92"/>
      <c r="J946" s="93"/>
      <c r="K946" s="93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46"/>
      <c r="D947" s="9"/>
      <c r="E947" s="9"/>
      <c r="F947" s="91"/>
      <c r="G947" s="92"/>
      <c r="H947" s="92"/>
      <c r="I947" s="92"/>
      <c r="J947" s="93"/>
      <c r="K947" s="93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46"/>
      <c r="D948" s="9"/>
      <c r="E948" s="9"/>
      <c r="F948" s="91"/>
      <c r="G948" s="92"/>
      <c r="H948" s="92"/>
      <c r="I948" s="92"/>
      <c r="J948" s="93"/>
      <c r="K948" s="93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46"/>
      <c r="D949" s="9"/>
      <c r="E949" s="9"/>
      <c r="F949" s="91"/>
      <c r="G949" s="92"/>
      <c r="H949" s="92"/>
      <c r="I949" s="92"/>
      <c r="J949" s="93"/>
      <c r="K949" s="93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46"/>
      <c r="D950" s="9"/>
      <c r="E950" s="9"/>
      <c r="F950" s="91"/>
      <c r="G950" s="92"/>
      <c r="H950" s="92"/>
      <c r="I950" s="92"/>
      <c r="J950" s="93"/>
      <c r="K950" s="93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46"/>
      <c r="D951" s="9"/>
      <c r="E951" s="9"/>
      <c r="F951" s="91"/>
      <c r="G951" s="92"/>
      <c r="H951" s="92"/>
      <c r="I951" s="92"/>
      <c r="J951" s="93"/>
      <c r="K951" s="93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46"/>
      <c r="D952" s="9"/>
      <c r="E952" s="9"/>
      <c r="F952" s="91"/>
      <c r="G952" s="92"/>
      <c r="H952" s="92"/>
      <c r="I952" s="92"/>
      <c r="J952" s="93"/>
      <c r="K952" s="93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46"/>
      <c r="D953" s="9"/>
      <c r="E953" s="9"/>
      <c r="F953" s="91"/>
      <c r="G953" s="92"/>
      <c r="H953" s="92"/>
      <c r="I953" s="92"/>
      <c r="J953" s="93"/>
      <c r="K953" s="93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46"/>
      <c r="D954" s="9"/>
      <c r="E954" s="9"/>
      <c r="F954" s="91"/>
      <c r="G954" s="92"/>
      <c r="H954" s="92"/>
      <c r="I954" s="92"/>
      <c r="J954" s="93"/>
      <c r="K954" s="93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46"/>
      <c r="D955" s="9"/>
      <c r="E955" s="9"/>
      <c r="F955" s="91"/>
      <c r="G955" s="92"/>
      <c r="H955" s="92"/>
      <c r="I955" s="92"/>
      <c r="J955" s="93"/>
      <c r="K955" s="93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46"/>
      <c r="D956" s="9"/>
      <c r="E956" s="9"/>
      <c r="F956" s="91"/>
      <c r="G956" s="92"/>
      <c r="H956" s="92"/>
      <c r="I956" s="92"/>
      <c r="J956" s="93"/>
      <c r="K956" s="93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46"/>
      <c r="D957" s="9"/>
      <c r="E957" s="9"/>
      <c r="F957" s="91"/>
      <c r="G957" s="92"/>
      <c r="H957" s="92"/>
      <c r="I957" s="92"/>
      <c r="J957" s="93"/>
      <c r="K957" s="93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46"/>
      <c r="D958" s="9"/>
      <c r="E958" s="9"/>
      <c r="F958" s="91"/>
      <c r="G958" s="92"/>
      <c r="H958" s="92"/>
      <c r="I958" s="92"/>
      <c r="J958" s="93"/>
      <c r="K958" s="93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46"/>
      <c r="D959" s="9"/>
      <c r="E959" s="9"/>
      <c r="F959" s="91"/>
      <c r="G959" s="92"/>
      <c r="H959" s="92"/>
      <c r="I959" s="92"/>
      <c r="J959" s="93"/>
      <c r="K959" s="93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46"/>
      <c r="D960" s="9"/>
      <c r="E960" s="9"/>
      <c r="F960" s="91"/>
      <c r="G960" s="92"/>
      <c r="H960" s="92"/>
      <c r="I960" s="92"/>
      <c r="J960" s="93"/>
      <c r="K960" s="93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46"/>
      <c r="D961" s="9"/>
      <c r="E961" s="9"/>
      <c r="F961" s="91"/>
      <c r="G961" s="92"/>
      <c r="H961" s="92"/>
      <c r="I961" s="92"/>
      <c r="J961" s="93"/>
      <c r="K961" s="93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46"/>
      <c r="D962" s="9"/>
      <c r="E962" s="9"/>
      <c r="F962" s="91"/>
      <c r="G962" s="92"/>
      <c r="H962" s="92"/>
      <c r="I962" s="92"/>
      <c r="J962" s="93"/>
      <c r="K962" s="93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46"/>
      <c r="D963" s="9"/>
      <c r="E963" s="9"/>
      <c r="F963" s="91"/>
      <c r="G963" s="92"/>
      <c r="H963" s="92"/>
      <c r="I963" s="92"/>
      <c r="J963" s="93"/>
      <c r="K963" s="93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46"/>
      <c r="D964" s="9"/>
      <c r="E964" s="9"/>
      <c r="F964" s="91"/>
      <c r="G964" s="92"/>
      <c r="H964" s="92"/>
      <c r="I964" s="92"/>
      <c r="J964" s="93"/>
      <c r="K964" s="93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46"/>
      <c r="D965" s="9"/>
      <c r="E965" s="9"/>
      <c r="F965" s="91"/>
      <c r="G965" s="92"/>
      <c r="H965" s="92"/>
      <c r="I965" s="92"/>
      <c r="J965" s="93"/>
      <c r="K965" s="93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46"/>
      <c r="D966" s="9"/>
      <c r="E966" s="9"/>
      <c r="F966" s="91"/>
      <c r="G966" s="92"/>
      <c r="H966" s="92"/>
      <c r="I966" s="92"/>
      <c r="J966" s="93"/>
      <c r="K966" s="93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46"/>
      <c r="D967" s="9"/>
      <c r="E967" s="9"/>
      <c r="F967" s="91"/>
      <c r="G967" s="92"/>
      <c r="H967" s="92"/>
      <c r="I967" s="92"/>
      <c r="J967" s="93"/>
      <c r="K967" s="93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46"/>
      <c r="D968" s="9"/>
      <c r="E968" s="9"/>
      <c r="F968" s="91"/>
      <c r="G968" s="92"/>
      <c r="H968" s="92"/>
      <c r="I968" s="92"/>
      <c r="J968" s="93"/>
      <c r="K968" s="93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46"/>
      <c r="D969" s="9"/>
      <c r="E969" s="9"/>
      <c r="F969" s="91"/>
      <c r="G969" s="92"/>
      <c r="H969" s="92"/>
      <c r="I969" s="92"/>
      <c r="J969" s="93"/>
      <c r="K969" s="93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46"/>
      <c r="D970" s="9"/>
      <c r="E970" s="9"/>
      <c r="F970" s="91"/>
      <c r="G970" s="92"/>
      <c r="H970" s="92"/>
      <c r="I970" s="92"/>
      <c r="J970" s="93"/>
      <c r="K970" s="93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46"/>
      <c r="D971" s="9"/>
      <c r="E971" s="9"/>
      <c r="F971" s="91"/>
      <c r="G971" s="92"/>
      <c r="H971" s="92"/>
      <c r="I971" s="92"/>
      <c r="J971" s="93"/>
      <c r="K971" s="93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46"/>
      <c r="D972" s="9"/>
      <c r="E972" s="9"/>
      <c r="F972" s="91"/>
      <c r="G972" s="92"/>
      <c r="H972" s="92"/>
      <c r="I972" s="92"/>
      <c r="J972" s="93"/>
      <c r="K972" s="93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46"/>
      <c r="D973" s="9"/>
      <c r="E973" s="9"/>
      <c r="F973" s="91"/>
      <c r="G973" s="92"/>
      <c r="H973" s="92"/>
      <c r="I973" s="92"/>
      <c r="J973" s="93"/>
      <c r="K973" s="93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46"/>
      <c r="D974" s="9"/>
      <c r="E974" s="9"/>
      <c r="F974" s="91"/>
      <c r="G974" s="92"/>
      <c r="H974" s="92"/>
      <c r="I974" s="92"/>
      <c r="J974" s="93"/>
      <c r="K974" s="93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46"/>
      <c r="D975" s="9"/>
      <c r="E975" s="9"/>
      <c r="F975" s="91"/>
      <c r="G975" s="92"/>
      <c r="H975" s="92"/>
      <c r="I975" s="92"/>
      <c r="J975" s="93"/>
      <c r="K975" s="93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46"/>
      <c r="D976" s="9"/>
      <c r="E976" s="9"/>
      <c r="F976" s="91"/>
      <c r="G976" s="92"/>
      <c r="H976" s="92"/>
      <c r="I976" s="92"/>
      <c r="J976" s="93"/>
      <c r="K976" s="93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46"/>
      <c r="D977" s="9"/>
      <c r="E977" s="9"/>
      <c r="F977" s="91"/>
      <c r="G977" s="92"/>
      <c r="H977" s="92"/>
      <c r="I977" s="92"/>
      <c r="J977" s="93"/>
      <c r="K977" s="93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46"/>
      <c r="D978" s="9"/>
      <c r="E978" s="9"/>
      <c r="F978" s="91"/>
      <c r="G978" s="92"/>
      <c r="H978" s="92"/>
      <c r="I978" s="92"/>
      <c r="J978" s="93"/>
      <c r="K978" s="93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46"/>
      <c r="D979" s="9"/>
      <c r="E979" s="9"/>
      <c r="F979" s="91"/>
      <c r="G979" s="92"/>
      <c r="H979" s="92"/>
      <c r="I979" s="92"/>
      <c r="J979" s="93"/>
      <c r="K979" s="93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46"/>
      <c r="D980" s="9"/>
      <c r="E980" s="9"/>
      <c r="F980" s="91"/>
      <c r="G980" s="92"/>
      <c r="H980" s="92"/>
      <c r="I980" s="92"/>
      <c r="J980" s="93"/>
      <c r="K980" s="93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46"/>
      <c r="D981" s="9"/>
      <c r="E981" s="9"/>
      <c r="F981" s="91"/>
      <c r="G981" s="92"/>
      <c r="H981" s="92"/>
      <c r="I981" s="92"/>
      <c r="J981" s="93"/>
      <c r="K981" s="93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46"/>
      <c r="D982" s="9"/>
      <c r="E982" s="9"/>
      <c r="F982" s="91"/>
      <c r="G982" s="92"/>
      <c r="H982" s="92"/>
      <c r="I982" s="92"/>
      <c r="J982" s="93"/>
      <c r="K982" s="93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46"/>
      <c r="D983" s="9"/>
      <c r="E983" s="9"/>
      <c r="F983" s="91"/>
      <c r="G983" s="92"/>
      <c r="H983" s="92"/>
      <c r="I983" s="92"/>
      <c r="J983" s="93"/>
      <c r="K983" s="93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46"/>
      <c r="D984" s="9"/>
      <c r="E984" s="9"/>
      <c r="F984" s="91"/>
      <c r="G984" s="92"/>
      <c r="H984" s="92"/>
      <c r="I984" s="92"/>
      <c r="J984" s="93"/>
      <c r="K984" s="93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46"/>
      <c r="D985" s="9"/>
      <c r="E985" s="9"/>
      <c r="F985" s="91"/>
      <c r="G985" s="92"/>
      <c r="H985" s="92"/>
      <c r="I985" s="92"/>
      <c r="J985" s="93"/>
      <c r="K985" s="93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46"/>
      <c r="D986" s="9"/>
      <c r="E986" s="9"/>
      <c r="F986" s="91"/>
      <c r="G986" s="92"/>
      <c r="H986" s="92"/>
      <c r="I986" s="92"/>
      <c r="J986" s="93"/>
      <c r="K986" s="93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46"/>
      <c r="D987" s="9"/>
      <c r="E987" s="9"/>
      <c r="F987" s="91"/>
      <c r="G987" s="92"/>
      <c r="H987" s="92"/>
      <c r="I987" s="92"/>
      <c r="J987" s="93"/>
      <c r="K987" s="93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46"/>
      <c r="D988" s="9"/>
      <c r="E988" s="9"/>
      <c r="F988" s="91"/>
      <c r="G988" s="92"/>
      <c r="H988" s="92"/>
      <c r="I988" s="92"/>
      <c r="J988" s="93"/>
      <c r="K988" s="93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46"/>
      <c r="D989" s="9"/>
      <c r="E989" s="9"/>
      <c r="F989" s="91"/>
      <c r="G989" s="92"/>
      <c r="H989" s="92"/>
      <c r="I989" s="92"/>
      <c r="J989" s="93"/>
      <c r="K989" s="93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46"/>
      <c r="D990" s="9"/>
      <c r="E990" s="9"/>
      <c r="F990" s="91"/>
      <c r="G990" s="92"/>
      <c r="H990" s="92"/>
      <c r="I990" s="92"/>
      <c r="J990" s="93"/>
      <c r="K990" s="93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46"/>
      <c r="D991" s="9"/>
      <c r="E991" s="9"/>
      <c r="F991" s="91"/>
      <c r="G991" s="92"/>
      <c r="H991" s="92"/>
      <c r="I991" s="92"/>
      <c r="J991" s="93"/>
      <c r="K991" s="93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46"/>
      <c r="D992" s="9"/>
      <c r="E992" s="9"/>
      <c r="F992" s="91"/>
      <c r="G992" s="92"/>
      <c r="H992" s="92"/>
      <c r="I992" s="92"/>
      <c r="J992" s="93"/>
      <c r="K992" s="93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46"/>
      <c r="D993" s="9"/>
      <c r="E993" s="9"/>
      <c r="F993" s="91"/>
      <c r="G993" s="92"/>
      <c r="H993" s="92"/>
      <c r="I993" s="92"/>
      <c r="J993" s="93"/>
      <c r="K993" s="93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46"/>
      <c r="D994" s="9"/>
      <c r="E994" s="9"/>
      <c r="F994" s="91"/>
      <c r="G994" s="92"/>
      <c r="H994" s="92"/>
      <c r="I994" s="92"/>
      <c r="J994" s="93"/>
      <c r="K994" s="93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46"/>
      <c r="D995" s="9"/>
      <c r="E995" s="9"/>
      <c r="F995" s="91"/>
      <c r="G995" s="92"/>
      <c r="H995" s="92"/>
      <c r="I995" s="92"/>
      <c r="J995" s="93"/>
      <c r="K995" s="93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46"/>
      <c r="D996" s="9"/>
      <c r="E996" s="9"/>
      <c r="F996" s="91"/>
      <c r="G996" s="92"/>
      <c r="H996" s="92"/>
      <c r="I996" s="92"/>
      <c r="J996" s="93"/>
      <c r="K996" s="93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46"/>
      <c r="D997" s="9"/>
      <c r="E997" s="9"/>
      <c r="F997" s="91"/>
      <c r="G997" s="92"/>
      <c r="H997" s="92"/>
      <c r="I997" s="92"/>
      <c r="J997" s="93"/>
      <c r="K997" s="93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46"/>
      <c r="D998" s="9"/>
      <c r="E998" s="9"/>
      <c r="F998" s="91"/>
      <c r="G998" s="92"/>
      <c r="H998" s="92"/>
      <c r="I998" s="92"/>
      <c r="J998" s="93"/>
      <c r="K998" s="93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46"/>
      <c r="D999" s="9"/>
      <c r="E999" s="9"/>
      <c r="F999" s="91"/>
      <c r="G999" s="92"/>
      <c r="H999" s="92"/>
      <c r="I999" s="92"/>
      <c r="J999" s="93"/>
      <c r="K999" s="93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46"/>
      <c r="D1000" s="9"/>
      <c r="E1000" s="9"/>
      <c r="F1000" s="91"/>
      <c r="G1000" s="93"/>
      <c r="H1000" s="93"/>
      <c r="I1000" s="93"/>
      <c r="J1000" s="93"/>
      <c r="K1000" s="93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conditionalFormatting sqref="J5:J8 J10:J13 J15:J22 J24:J34">
    <cfRule type="cellIs" dxfId="9" priority="1" operator="equal">
      <formula>0</formula>
    </cfRule>
  </conditionalFormatting>
  <conditionalFormatting sqref="J5:K8 J10:K13 J15:K22 J24:K34">
    <cfRule type="cellIs" dxfId="8" priority="2" operator="equal">
      <formula>0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98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" customHeight="1" x14ac:dyDescent="0.25"/>
  <cols>
    <col min="1" max="1" width="6.6640625" customWidth="1"/>
    <col min="2" max="2" width="28.44140625" customWidth="1"/>
    <col min="3" max="3" width="11.6640625" customWidth="1"/>
    <col min="4" max="4" width="14.109375" customWidth="1"/>
    <col min="5" max="5" width="15.44140625" customWidth="1"/>
    <col min="6" max="7" width="13.44140625" customWidth="1"/>
    <col min="8" max="8" width="10" customWidth="1"/>
    <col min="9" max="20" width="11.109375" customWidth="1"/>
    <col min="21" max="27" width="10" customWidth="1"/>
  </cols>
  <sheetData>
    <row r="1" spans="1:27" ht="12.75" customHeight="1" x14ac:dyDescent="0.25">
      <c r="A1" s="46" t="s">
        <v>13</v>
      </c>
      <c r="B1" s="9" t="s">
        <v>14</v>
      </c>
      <c r="C1" s="9" t="s">
        <v>15</v>
      </c>
      <c r="D1" s="5" t="s">
        <v>16</v>
      </c>
      <c r="E1" s="5" t="s">
        <v>17</v>
      </c>
      <c r="F1" s="6" t="s">
        <v>18</v>
      </c>
      <c r="G1" s="84" t="s">
        <v>19</v>
      </c>
      <c r="H1" s="84" t="s">
        <v>20</v>
      </c>
      <c r="I1" s="84" t="s">
        <v>21</v>
      </c>
      <c r="J1" s="85" t="s">
        <v>22</v>
      </c>
      <c r="K1" s="86" t="s">
        <v>23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2.75" customHeight="1" x14ac:dyDescent="0.3">
      <c r="A2" s="51"/>
      <c r="B2" s="55"/>
      <c r="C2" s="14"/>
      <c r="D2" s="5"/>
      <c r="E2" s="5"/>
      <c r="F2" s="98"/>
      <c r="G2" s="88"/>
      <c r="H2" s="88"/>
      <c r="I2" s="88"/>
      <c r="J2" s="89"/>
      <c r="K2" s="90">
        <f>SUM(K3:K92)</f>
        <v>1390.06</v>
      </c>
      <c r="L2" s="9"/>
      <c r="M2" s="9"/>
      <c r="N2" s="9"/>
      <c r="O2" s="9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2.75" customHeight="1" x14ac:dyDescent="0.3">
      <c r="A3" s="51"/>
      <c r="B3" s="55"/>
      <c r="C3" s="14"/>
      <c r="D3" s="5"/>
      <c r="E3" s="5"/>
      <c r="F3" s="86"/>
      <c r="G3" s="92"/>
      <c r="H3" s="92"/>
      <c r="I3" s="92"/>
      <c r="J3" s="93"/>
      <c r="K3" s="93"/>
      <c r="L3" s="9"/>
      <c r="M3" s="9"/>
      <c r="N3" s="9"/>
      <c r="O3" s="9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2.75" customHeight="1" x14ac:dyDescent="0.25">
      <c r="A4" s="51"/>
      <c r="B4" s="99" t="s">
        <v>661</v>
      </c>
      <c r="C4" s="14"/>
      <c r="D4" s="5"/>
      <c r="E4" s="5"/>
      <c r="F4" s="98"/>
      <c r="G4" s="88"/>
      <c r="H4" s="88"/>
      <c r="I4" s="88"/>
      <c r="J4" s="94"/>
      <c r="K4" s="94"/>
      <c r="L4" s="9"/>
      <c r="M4" s="9"/>
      <c r="N4" s="9"/>
      <c r="O4" s="9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 customHeight="1" x14ac:dyDescent="0.25">
      <c r="A5" s="51"/>
      <c r="B5" s="14"/>
      <c r="C5" s="14"/>
      <c r="D5" s="5"/>
      <c r="E5" s="5"/>
      <c r="F5" s="86"/>
      <c r="G5" s="92"/>
      <c r="H5" s="92"/>
      <c r="I5" s="92"/>
      <c r="J5" s="8">
        <f t="shared" ref="J5:J31" si="0">SUM(G5:I5)</f>
        <v>0</v>
      </c>
      <c r="K5" s="9">
        <f t="shared" ref="K5:K31" si="1">SUM(C5*J5)</f>
        <v>0</v>
      </c>
      <c r="L5" s="9"/>
      <c r="M5" s="9"/>
      <c r="N5" s="9"/>
      <c r="O5" s="9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2.75" customHeight="1" x14ac:dyDescent="0.25">
      <c r="A6" s="35" t="s">
        <v>662</v>
      </c>
      <c r="B6" s="20" t="s">
        <v>663</v>
      </c>
      <c r="C6" s="37">
        <v>1.81</v>
      </c>
      <c r="D6" s="17">
        <v>2</v>
      </c>
      <c r="E6" s="17">
        <v>2.4</v>
      </c>
      <c r="F6" s="86" t="s">
        <v>664</v>
      </c>
      <c r="G6" s="92"/>
      <c r="H6" s="92"/>
      <c r="I6" s="92"/>
      <c r="J6" s="8">
        <f t="shared" si="0"/>
        <v>0</v>
      </c>
      <c r="K6" s="9">
        <f t="shared" si="1"/>
        <v>0</v>
      </c>
      <c r="L6" s="9"/>
      <c r="M6" s="9"/>
      <c r="N6" s="9"/>
      <c r="O6" s="9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2.75" customHeight="1" x14ac:dyDescent="0.25">
      <c r="A7" s="51">
        <v>330</v>
      </c>
      <c r="B7" s="14" t="s">
        <v>665</v>
      </c>
      <c r="C7" s="37">
        <v>0.76</v>
      </c>
      <c r="D7" s="17">
        <v>0.9</v>
      </c>
      <c r="E7" s="17">
        <v>1</v>
      </c>
      <c r="F7" s="86" t="s">
        <v>666</v>
      </c>
      <c r="G7" s="92"/>
      <c r="H7" s="92"/>
      <c r="I7" s="92"/>
      <c r="J7" s="8">
        <f t="shared" si="0"/>
        <v>0</v>
      </c>
      <c r="K7" s="9">
        <f t="shared" si="1"/>
        <v>0</v>
      </c>
      <c r="L7" s="9"/>
      <c r="M7" s="9"/>
      <c r="N7" s="9"/>
      <c r="O7" s="9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2.75" customHeight="1" x14ac:dyDescent="0.25">
      <c r="A8" s="20">
        <v>330</v>
      </c>
      <c r="B8" s="20" t="s">
        <v>667</v>
      </c>
      <c r="C8" s="37">
        <v>18.23</v>
      </c>
      <c r="D8" s="17">
        <v>19.95</v>
      </c>
      <c r="E8" s="17">
        <v>19.95</v>
      </c>
      <c r="F8" s="86" t="s">
        <v>666</v>
      </c>
      <c r="G8" s="92"/>
      <c r="H8" s="92"/>
      <c r="I8" s="92">
        <v>11</v>
      </c>
      <c r="J8" s="8">
        <f t="shared" si="0"/>
        <v>11</v>
      </c>
      <c r="K8" s="9">
        <f t="shared" si="1"/>
        <v>200.53</v>
      </c>
      <c r="L8" s="9"/>
      <c r="M8" s="9"/>
      <c r="N8" s="9"/>
      <c r="O8" s="9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2.75" customHeight="1" x14ac:dyDescent="0.25">
      <c r="A9" s="20">
        <v>500</v>
      </c>
      <c r="B9" s="20" t="s">
        <v>668</v>
      </c>
      <c r="C9" s="14"/>
      <c r="D9" s="10">
        <v>1.3</v>
      </c>
      <c r="E9" s="10">
        <v>1.4</v>
      </c>
      <c r="F9" s="86" t="s">
        <v>664</v>
      </c>
      <c r="G9" s="92"/>
      <c r="H9" s="92"/>
      <c r="I9" s="92"/>
      <c r="J9" s="8">
        <f t="shared" si="0"/>
        <v>0</v>
      </c>
      <c r="K9" s="9">
        <f t="shared" si="1"/>
        <v>0</v>
      </c>
      <c r="L9" s="9"/>
      <c r="M9" s="9"/>
      <c r="N9" s="9"/>
      <c r="O9" s="9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2.75" customHeight="1" x14ac:dyDescent="0.25">
      <c r="A10" s="35" t="s">
        <v>662</v>
      </c>
      <c r="B10" s="20" t="s">
        <v>669</v>
      </c>
      <c r="C10" s="37">
        <v>1.81</v>
      </c>
      <c r="D10" s="17">
        <v>2</v>
      </c>
      <c r="E10" s="17">
        <v>2.4</v>
      </c>
      <c r="F10" s="86" t="s">
        <v>664</v>
      </c>
      <c r="G10" s="92"/>
      <c r="H10" s="92"/>
      <c r="I10" s="92"/>
      <c r="J10" s="8">
        <f t="shared" si="0"/>
        <v>0</v>
      </c>
      <c r="K10" s="9">
        <f t="shared" si="1"/>
        <v>0</v>
      </c>
      <c r="L10" s="9"/>
      <c r="M10" s="9"/>
      <c r="N10" s="9"/>
      <c r="O10" s="9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2.75" customHeight="1" x14ac:dyDescent="0.25">
      <c r="A11" s="20">
        <v>330</v>
      </c>
      <c r="B11" s="20" t="s">
        <v>670</v>
      </c>
      <c r="C11" s="37">
        <v>0.76</v>
      </c>
      <c r="D11" s="17">
        <v>0.9</v>
      </c>
      <c r="E11" s="17">
        <v>1</v>
      </c>
      <c r="F11" s="86" t="s">
        <v>666</v>
      </c>
      <c r="G11" s="92"/>
      <c r="H11" s="92"/>
      <c r="I11" s="92"/>
      <c r="J11" s="8">
        <f t="shared" si="0"/>
        <v>0</v>
      </c>
      <c r="K11" s="9">
        <f t="shared" si="1"/>
        <v>0</v>
      </c>
      <c r="L11" s="9"/>
      <c r="M11" s="9"/>
      <c r="N11" s="9"/>
      <c r="O11" s="9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2.75" customHeight="1" x14ac:dyDescent="0.25">
      <c r="A12" s="20">
        <v>330</v>
      </c>
      <c r="B12" s="20" t="s">
        <v>671</v>
      </c>
      <c r="C12" s="37">
        <v>18.23</v>
      </c>
      <c r="D12" s="17">
        <v>19.95</v>
      </c>
      <c r="E12" s="17">
        <v>19.95</v>
      </c>
      <c r="F12" s="86" t="s">
        <v>666</v>
      </c>
      <c r="G12" s="92"/>
      <c r="H12" s="92"/>
      <c r="I12" s="92">
        <v>5</v>
      </c>
      <c r="J12" s="8">
        <f t="shared" si="0"/>
        <v>5</v>
      </c>
      <c r="K12" s="9">
        <f t="shared" si="1"/>
        <v>91.15</v>
      </c>
      <c r="L12" s="9"/>
      <c r="M12" s="9"/>
      <c r="N12" s="9"/>
      <c r="O12" s="9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2.75" customHeight="1" x14ac:dyDescent="0.25">
      <c r="A13" s="20">
        <v>330</v>
      </c>
      <c r="B13" s="20" t="s">
        <v>672</v>
      </c>
      <c r="C13" s="37">
        <v>0.76</v>
      </c>
      <c r="D13" s="17">
        <v>0.9</v>
      </c>
      <c r="E13" s="17">
        <v>1</v>
      </c>
      <c r="F13" s="86" t="s">
        <v>666</v>
      </c>
      <c r="G13" s="92"/>
      <c r="H13" s="92"/>
      <c r="I13" s="92"/>
      <c r="J13" s="8">
        <f t="shared" si="0"/>
        <v>0</v>
      </c>
      <c r="K13" s="9">
        <f t="shared" si="1"/>
        <v>0</v>
      </c>
      <c r="L13" s="9"/>
      <c r="M13" s="9"/>
      <c r="N13" s="9"/>
      <c r="O13" s="9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2.75" customHeight="1" x14ac:dyDescent="0.25">
      <c r="A14" s="20">
        <v>330</v>
      </c>
      <c r="B14" s="20" t="s">
        <v>673</v>
      </c>
      <c r="C14" s="37">
        <v>18.23</v>
      </c>
      <c r="D14" s="17">
        <v>19.95</v>
      </c>
      <c r="E14" s="17">
        <v>19.95</v>
      </c>
      <c r="F14" s="86" t="s">
        <v>666</v>
      </c>
      <c r="G14" s="92"/>
      <c r="H14" s="92"/>
      <c r="I14" s="92">
        <v>9</v>
      </c>
      <c r="J14" s="8">
        <f t="shared" si="0"/>
        <v>9</v>
      </c>
      <c r="K14" s="9">
        <f t="shared" si="1"/>
        <v>164.07</v>
      </c>
      <c r="L14" s="9"/>
      <c r="M14" s="9"/>
      <c r="N14" s="9"/>
      <c r="O14" s="9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2.75" customHeight="1" x14ac:dyDescent="0.25">
      <c r="A15" s="35" t="s">
        <v>662</v>
      </c>
      <c r="B15" s="20" t="s">
        <v>674</v>
      </c>
      <c r="C15" s="14">
        <v>1.55</v>
      </c>
      <c r="D15" s="5">
        <v>1.9500000000000002</v>
      </c>
      <c r="E15" s="17">
        <v>2.4</v>
      </c>
      <c r="F15" s="86" t="s">
        <v>664</v>
      </c>
      <c r="G15" s="92"/>
      <c r="H15" s="92"/>
      <c r="J15" s="8">
        <f t="shared" si="0"/>
        <v>0</v>
      </c>
      <c r="K15" s="9">
        <f t="shared" si="1"/>
        <v>0</v>
      </c>
      <c r="L15" s="9"/>
      <c r="M15" s="9"/>
      <c r="N15" s="9"/>
      <c r="O15" s="9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2.75" customHeight="1" x14ac:dyDescent="0.25">
      <c r="A16" s="20">
        <v>330</v>
      </c>
      <c r="B16" s="20" t="s">
        <v>675</v>
      </c>
      <c r="C16" s="37">
        <v>0.73</v>
      </c>
      <c r="D16" s="17">
        <v>0.9</v>
      </c>
      <c r="E16" s="17">
        <v>1</v>
      </c>
      <c r="F16" s="86" t="s">
        <v>664</v>
      </c>
      <c r="G16" s="92"/>
      <c r="H16" s="92"/>
      <c r="I16" s="92"/>
      <c r="J16" s="8">
        <f t="shared" si="0"/>
        <v>0</v>
      </c>
      <c r="K16" s="9">
        <f t="shared" si="1"/>
        <v>0</v>
      </c>
      <c r="L16" s="9"/>
      <c r="M16" s="9"/>
      <c r="N16" s="9"/>
      <c r="O16" s="9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2.75" customHeight="1" x14ac:dyDescent="0.25">
      <c r="A17" s="20">
        <v>330</v>
      </c>
      <c r="B17" s="20" t="s">
        <v>676</v>
      </c>
      <c r="C17" s="31">
        <v>17.37</v>
      </c>
      <c r="D17" s="17">
        <v>18.95</v>
      </c>
      <c r="E17" s="17">
        <v>19.95</v>
      </c>
      <c r="F17" s="86" t="s">
        <v>664</v>
      </c>
      <c r="G17" s="92"/>
      <c r="H17" s="92"/>
      <c r="I17" s="92">
        <v>1</v>
      </c>
      <c r="J17" s="8">
        <f t="shared" si="0"/>
        <v>1</v>
      </c>
      <c r="K17" s="9">
        <f t="shared" si="1"/>
        <v>17.37</v>
      </c>
      <c r="L17" s="9"/>
      <c r="M17" s="9"/>
      <c r="N17" s="9"/>
      <c r="O17" s="9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2.75" customHeight="1" x14ac:dyDescent="0.25">
      <c r="A18" s="20">
        <v>330</v>
      </c>
      <c r="B18" s="20" t="s">
        <v>677</v>
      </c>
      <c r="C18" s="37">
        <v>0.73</v>
      </c>
      <c r="D18" s="17">
        <v>0.9</v>
      </c>
      <c r="E18" s="17">
        <v>1</v>
      </c>
      <c r="F18" s="86" t="s">
        <v>666</v>
      </c>
      <c r="G18" s="92"/>
      <c r="H18" s="92"/>
      <c r="I18" s="92"/>
      <c r="J18" s="8">
        <f t="shared" si="0"/>
        <v>0</v>
      </c>
      <c r="K18" s="9">
        <f t="shared" si="1"/>
        <v>0</v>
      </c>
      <c r="L18" s="9"/>
      <c r="M18" s="9"/>
      <c r="N18" s="9"/>
      <c r="O18" s="9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2.75" customHeight="1" x14ac:dyDescent="0.25">
      <c r="A19" s="20">
        <v>330</v>
      </c>
      <c r="B19" s="20" t="s">
        <v>678</v>
      </c>
      <c r="C19" s="31">
        <v>17.37</v>
      </c>
      <c r="D19" s="17">
        <v>18.95</v>
      </c>
      <c r="E19" s="17">
        <v>19.95</v>
      </c>
      <c r="F19" s="86" t="s">
        <v>666</v>
      </c>
      <c r="G19" s="92"/>
      <c r="H19" s="92"/>
      <c r="I19" s="92">
        <v>6</v>
      </c>
      <c r="J19" s="8">
        <f t="shared" si="0"/>
        <v>6</v>
      </c>
      <c r="K19" s="9">
        <f t="shared" si="1"/>
        <v>104.22</v>
      </c>
      <c r="L19" s="9"/>
      <c r="M19" s="9"/>
      <c r="N19" s="9"/>
      <c r="O19" s="9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2.75" customHeight="1" x14ac:dyDescent="0.25">
      <c r="A20" s="35" t="s">
        <v>662</v>
      </c>
      <c r="B20" s="20" t="s">
        <v>679</v>
      </c>
      <c r="C20" s="14">
        <v>1.55</v>
      </c>
      <c r="D20" s="5">
        <v>1.9500000000000002</v>
      </c>
      <c r="E20" s="17">
        <v>2.4</v>
      </c>
      <c r="F20" s="86" t="s">
        <v>664</v>
      </c>
      <c r="G20" s="92"/>
      <c r="H20" s="92"/>
      <c r="I20" s="92"/>
      <c r="J20" s="8">
        <f t="shared" si="0"/>
        <v>0</v>
      </c>
      <c r="K20" s="9">
        <f t="shared" si="1"/>
        <v>0</v>
      </c>
      <c r="L20" s="9"/>
      <c r="M20" s="9"/>
      <c r="N20" s="9"/>
      <c r="O20" s="9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2.75" customHeight="1" x14ac:dyDescent="0.25">
      <c r="A21" s="20">
        <v>330</v>
      </c>
      <c r="B21" s="20" t="s">
        <v>680</v>
      </c>
      <c r="C21" s="37">
        <v>0.73</v>
      </c>
      <c r="D21" s="17">
        <v>0.9</v>
      </c>
      <c r="E21" s="17">
        <v>1</v>
      </c>
      <c r="F21" s="86" t="s">
        <v>664</v>
      </c>
      <c r="G21" s="92"/>
      <c r="H21" s="92"/>
      <c r="I21" s="92"/>
      <c r="J21" s="8">
        <f t="shared" si="0"/>
        <v>0</v>
      </c>
      <c r="K21" s="9">
        <f t="shared" si="1"/>
        <v>0</v>
      </c>
      <c r="L21" s="9"/>
      <c r="M21" s="9"/>
      <c r="N21" s="9"/>
      <c r="O21" s="9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2.75" customHeight="1" x14ac:dyDescent="0.25">
      <c r="A22" s="20">
        <v>330</v>
      </c>
      <c r="B22" s="20" t="s">
        <v>681</v>
      </c>
      <c r="C22" s="31">
        <v>17.37</v>
      </c>
      <c r="D22" s="17">
        <v>18.95</v>
      </c>
      <c r="E22" s="17">
        <v>19.95</v>
      </c>
      <c r="F22" s="86" t="s">
        <v>664</v>
      </c>
      <c r="G22" s="92"/>
      <c r="H22" s="92"/>
      <c r="I22" s="92">
        <v>0</v>
      </c>
      <c r="J22" s="8">
        <f t="shared" si="0"/>
        <v>0</v>
      </c>
      <c r="K22" s="9">
        <f t="shared" si="1"/>
        <v>0</v>
      </c>
      <c r="L22" s="9"/>
      <c r="M22" s="9"/>
      <c r="N22" s="9"/>
      <c r="O22" s="9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2.75" customHeight="1" x14ac:dyDescent="0.25">
      <c r="A23" s="20">
        <v>330</v>
      </c>
      <c r="B23" s="20" t="s">
        <v>682</v>
      </c>
      <c r="C23" s="37">
        <v>0.73</v>
      </c>
      <c r="D23" s="17">
        <v>0.9</v>
      </c>
      <c r="E23" s="17">
        <v>1</v>
      </c>
      <c r="F23" s="86" t="s">
        <v>666</v>
      </c>
      <c r="G23" s="92"/>
      <c r="H23" s="92"/>
      <c r="I23" s="92"/>
      <c r="J23" s="8">
        <f t="shared" si="0"/>
        <v>0</v>
      </c>
      <c r="K23" s="9">
        <f t="shared" si="1"/>
        <v>0</v>
      </c>
      <c r="L23" s="9"/>
      <c r="M23" s="9"/>
      <c r="N23" s="9"/>
      <c r="O23" s="9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2.75" customHeight="1" x14ac:dyDescent="0.25">
      <c r="A24" s="20">
        <v>330</v>
      </c>
      <c r="B24" s="20" t="s">
        <v>683</v>
      </c>
      <c r="C24" s="31">
        <v>17.37</v>
      </c>
      <c r="D24" s="17">
        <v>18.95</v>
      </c>
      <c r="E24" s="17">
        <v>19.95</v>
      </c>
      <c r="F24" s="86" t="s">
        <v>666</v>
      </c>
      <c r="G24" s="92"/>
      <c r="H24" s="92"/>
      <c r="I24" s="92">
        <v>5</v>
      </c>
      <c r="J24" s="8">
        <f t="shared" si="0"/>
        <v>5</v>
      </c>
      <c r="K24" s="9">
        <f t="shared" si="1"/>
        <v>86.850000000000009</v>
      </c>
      <c r="L24" s="9"/>
      <c r="M24" s="9"/>
      <c r="N24" s="9"/>
      <c r="O24" s="9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2.75" customHeight="1" x14ac:dyDescent="0.25">
      <c r="A25" s="20">
        <v>330</v>
      </c>
      <c r="B25" s="20" t="s">
        <v>684</v>
      </c>
      <c r="C25" s="100">
        <v>16.84</v>
      </c>
      <c r="D25" s="17">
        <v>20</v>
      </c>
      <c r="E25" s="17">
        <v>22</v>
      </c>
      <c r="F25" s="86" t="s">
        <v>511</v>
      </c>
      <c r="G25" s="92"/>
      <c r="H25" s="92"/>
      <c r="I25" s="92">
        <v>2</v>
      </c>
      <c r="J25" s="8">
        <f t="shared" si="0"/>
        <v>2</v>
      </c>
      <c r="K25" s="9">
        <f t="shared" si="1"/>
        <v>33.68</v>
      </c>
      <c r="L25" s="9"/>
      <c r="M25" s="9"/>
      <c r="N25" s="9"/>
      <c r="O25" s="9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2.75" customHeight="1" x14ac:dyDescent="0.25">
      <c r="A26" s="20">
        <v>330</v>
      </c>
      <c r="B26" s="20" t="s">
        <v>685</v>
      </c>
      <c r="C26" s="100">
        <v>0.7</v>
      </c>
      <c r="D26" s="17">
        <v>0.9</v>
      </c>
      <c r="E26" s="17">
        <v>0.9</v>
      </c>
      <c r="F26" s="86" t="s">
        <v>511</v>
      </c>
      <c r="G26" s="92"/>
      <c r="H26" s="92"/>
      <c r="I26" s="92"/>
      <c r="J26" s="8">
        <f t="shared" si="0"/>
        <v>0</v>
      </c>
      <c r="K26" s="9">
        <f t="shared" si="1"/>
        <v>0</v>
      </c>
      <c r="L26" s="9"/>
      <c r="M26" s="9"/>
      <c r="N26" s="9"/>
      <c r="O26" s="9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2.75" customHeight="1" x14ac:dyDescent="0.25">
      <c r="A27" s="35" t="s">
        <v>662</v>
      </c>
      <c r="B27" s="20" t="s">
        <v>686</v>
      </c>
      <c r="C27" s="37">
        <v>1.77</v>
      </c>
      <c r="D27" s="17">
        <v>2</v>
      </c>
      <c r="E27" s="17">
        <v>2.4</v>
      </c>
      <c r="F27" s="86" t="s">
        <v>664</v>
      </c>
      <c r="G27" s="92"/>
      <c r="H27" s="92"/>
      <c r="I27" s="92"/>
      <c r="J27" s="8">
        <f t="shared" si="0"/>
        <v>0</v>
      </c>
      <c r="K27" s="9">
        <f t="shared" si="1"/>
        <v>0</v>
      </c>
      <c r="L27" s="9"/>
      <c r="M27" s="9"/>
      <c r="N27" s="9"/>
      <c r="O27" s="9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2.75" customHeight="1" x14ac:dyDescent="0.25">
      <c r="A28" s="20">
        <v>330</v>
      </c>
      <c r="B28" s="20" t="s">
        <v>687</v>
      </c>
      <c r="C28" s="37">
        <v>0.73</v>
      </c>
      <c r="D28" s="17">
        <v>0.9</v>
      </c>
      <c r="E28" s="17">
        <v>1</v>
      </c>
      <c r="F28" s="86" t="s">
        <v>666</v>
      </c>
      <c r="G28" s="92"/>
      <c r="H28" s="92"/>
      <c r="I28" s="92"/>
      <c r="J28" s="8">
        <f t="shared" si="0"/>
        <v>0</v>
      </c>
      <c r="K28" s="9">
        <f t="shared" si="1"/>
        <v>0</v>
      </c>
      <c r="L28" s="9"/>
      <c r="M28" s="9"/>
      <c r="N28" s="9"/>
      <c r="O28" s="9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2.75" customHeight="1" x14ac:dyDescent="0.25">
      <c r="A29" s="20">
        <v>330</v>
      </c>
      <c r="B29" s="20" t="s">
        <v>688</v>
      </c>
      <c r="C29" s="31">
        <v>17.37</v>
      </c>
      <c r="D29" s="17">
        <v>18.95</v>
      </c>
      <c r="E29" s="17">
        <v>19.95</v>
      </c>
      <c r="F29" s="86" t="s">
        <v>666</v>
      </c>
      <c r="G29" s="92"/>
      <c r="H29" s="92"/>
      <c r="I29" s="92">
        <v>7</v>
      </c>
      <c r="J29" s="8">
        <f t="shared" si="0"/>
        <v>7</v>
      </c>
      <c r="K29" s="9">
        <f t="shared" si="1"/>
        <v>121.59</v>
      </c>
      <c r="L29" s="9"/>
      <c r="M29" s="9"/>
      <c r="N29" s="9"/>
      <c r="O29" s="9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2.75" customHeight="1" x14ac:dyDescent="0.25">
      <c r="A30" s="20">
        <v>330</v>
      </c>
      <c r="B30" s="20" t="s">
        <v>689</v>
      </c>
      <c r="C30" s="37">
        <v>0.73</v>
      </c>
      <c r="D30" s="17">
        <v>0.9</v>
      </c>
      <c r="E30" s="17">
        <v>1</v>
      </c>
      <c r="F30" s="86" t="s">
        <v>664</v>
      </c>
      <c r="G30" s="92"/>
      <c r="H30" s="92"/>
      <c r="I30" s="92"/>
      <c r="J30" s="8">
        <f t="shared" si="0"/>
        <v>0</v>
      </c>
      <c r="K30" s="9">
        <f t="shared" si="1"/>
        <v>0</v>
      </c>
      <c r="L30" s="9"/>
      <c r="M30" s="9"/>
      <c r="N30" s="9"/>
      <c r="O30" s="9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2.75" customHeight="1" x14ac:dyDescent="0.25">
      <c r="A31" s="20">
        <v>330</v>
      </c>
      <c r="B31" s="20" t="s">
        <v>690</v>
      </c>
      <c r="C31" s="31">
        <v>17.37</v>
      </c>
      <c r="D31" s="17">
        <v>18.95</v>
      </c>
      <c r="E31" s="17">
        <v>19.95</v>
      </c>
      <c r="F31" s="86" t="s">
        <v>664</v>
      </c>
      <c r="G31" s="92"/>
      <c r="H31" s="92"/>
      <c r="I31" s="92">
        <v>3</v>
      </c>
      <c r="J31" s="8">
        <f t="shared" si="0"/>
        <v>3</v>
      </c>
      <c r="K31" s="9">
        <f t="shared" si="1"/>
        <v>52.11</v>
      </c>
      <c r="L31" s="9"/>
      <c r="M31" s="9"/>
      <c r="N31" s="9"/>
      <c r="O31" s="9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2.75" customHeight="1" x14ac:dyDescent="0.25">
      <c r="A32" s="20"/>
      <c r="B32" s="20"/>
      <c r="C32" s="14"/>
      <c r="D32" s="5"/>
      <c r="E32" s="5"/>
      <c r="F32" s="86"/>
      <c r="G32" s="92"/>
      <c r="H32" s="92"/>
      <c r="I32" s="92" t="s">
        <v>63</v>
      </c>
      <c r="J32" s="95"/>
      <c r="K32" s="93"/>
      <c r="L32" s="9"/>
      <c r="M32" s="9"/>
      <c r="N32" s="9"/>
      <c r="O32" s="9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2.75" customHeight="1" x14ac:dyDescent="0.25">
      <c r="A33" s="51"/>
      <c r="B33" s="99" t="s">
        <v>691</v>
      </c>
      <c r="C33" s="14"/>
      <c r="D33" s="5"/>
      <c r="E33" s="5"/>
      <c r="F33" s="86"/>
      <c r="G33" s="92"/>
      <c r="H33" s="92"/>
      <c r="I33" s="92"/>
      <c r="J33" s="95"/>
      <c r="K33" s="93"/>
      <c r="L33" s="9"/>
      <c r="M33" s="9"/>
      <c r="N33" s="9"/>
      <c r="O33" s="9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 customHeight="1" x14ac:dyDescent="0.25">
      <c r="A34" s="20"/>
      <c r="B34" s="20"/>
      <c r="C34" s="14"/>
      <c r="D34" s="5"/>
      <c r="E34" s="5"/>
      <c r="F34" s="86"/>
      <c r="G34" s="92"/>
      <c r="H34" s="92"/>
      <c r="I34" s="92"/>
      <c r="J34" s="95"/>
      <c r="K34" s="93"/>
      <c r="L34" s="9"/>
      <c r="M34" s="9"/>
      <c r="N34" s="9"/>
      <c r="O34" s="9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2.75" customHeight="1" x14ac:dyDescent="0.25">
      <c r="A35" s="20">
        <v>330</v>
      </c>
      <c r="B35" s="20" t="s">
        <v>692</v>
      </c>
      <c r="C35" s="14">
        <v>0.71</v>
      </c>
      <c r="D35" s="10">
        <v>0.9</v>
      </c>
      <c r="E35" s="10">
        <v>0.95</v>
      </c>
      <c r="F35" s="86" t="s">
        <v>693</v>
      </c>
      <c r="G35" s="92"/>
      <c r="H35" s="92"/>
      <c r="I35" s="92"/>
      <c r="J35" s="8">
        <f t="shared" ref="J35:J38" si="2">SUM(G35:I35)</f>
        <v>0</v>
      </c>
      <c r="K35" s="9">
        <f t="shared" ref="K35:K38" si="3">SUM(C35*J35)</f>
        <v>0</v>
      </c>
      <c r="L35" s="9"/>
      <c r="M35" s="9"/>
      <c r="N35" s="9"/>
      <c r="O35" s="9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2.75" customHeight="1" x14ac:dyDescent="0.25">
      <c r="A36" s="20">
        <v>330</v>
      </c>
      <c r="B36" s="20" t="s">
        <v>694</v>
      </c>
      <c r="C36" s="14">
        <v>17.04</v>
      </c>
      <c r="D36" s="5">
        <v>19.95</v>
      </c>
      <c r="E36" s="5">
        <v>21</v>
      </c>
      <c r="F36" s="86" t="s">
        <v>693</v>
      </c>
      <c r="G36" s="92"/>
      <c r="H36" s="92"/>
      <c r="I36" s="92">
        <v>3</v>
      </c>
      <c r="J36" s="8">
        <f t="shared" si="2"/>
        <v>3</v>
      </c>
      <c r="K36" s="9">
        <f t="shared" si="3"/>
        <v>51.12</v>
      </c>
      <c r="L36" s="9"/>
      <c r="M36" s="9"/>
      <c r="N36" s="9"/>
      <c r="O36" s="9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2.75" customHeight="1" x14ac:dyDescent="0.25">
      <c r="A37" s="20">
        <v>330</v>
      </c>
      <c r="B37" s="20" t="s">
        <v>695</v>
      </c>
      <c r="C37" s="14">
        <v>0.71</v>
      </c>
      <c r="D37" s="10">
        <v>0.9</v>
      </c>
      <c r="E37" s="10">
        <v>0.95</v>
      </c>
      <c r="F37" s="86" t="s">
        <v>693</v>
      </c>
      <c r="G37" s="92"/>
      <c r="H37" s="92"/>
      <c r="I37" s="92"/>
      <c r="J37" s="8">
        <f t="shared" si="2"/>
        <v>0</v>
      </c>
      <c r="K37" s="9">
        <f t="shared" si="3"/>
        <v>0</v>
      </c>
      <c r="L37" s="9"/>
      <c r="M37" s="9"/>
      <c r="N37" s="9"/>
      <c r="O37" s="9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2.75" customHeight="1" x14ac:dyDescent="0.25">
      <c r="A38" s="20">
        <v>330</v>
      </c>
      <c r="B38" s="20" t="s">
        <v>696</v>
      </c>
      <c r="C38" s="14">
        <v>17.04</v>
      </c>
      <c r="D38" s="5">
        <v>19.95</v>
      </c>
      <c r="E38" s="5">
        <v>21</v>
      </c>
      <c r="F38" s="86" t="s">
        <v>693</v>
      </c>
      <c r="G38" s="92"/>
      <c r="H38" s="92"/>
      <c r="I38" s="92">
        <v>1</v>
      </c>
      <c r="J38" s="8">
        <f t="shared" si="2"/>
        <v>1</v>
      </c>
      <c r="K38" s="9">
        <f t="shared" si="3"/>
        <v>17.04</v>
      </c>
      <c r="L38" s="9"/>
      <c r="M38" s="9"/>
      <c r="N38" s="9"/>
      <c r="O38" s="9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2.75" customHeight="1" x14ac:dyDescent="0.25">
      <c r="A39" s="20"/>
      <c r="B39" s="20"/>
      <c r="C39" s="14"/>
      <c r="D39" s="5"/>
      <c r="E39" s="5"/>
      <c r="F39" s="86"/>
      <c r="G39" s="92"/>
      <c r="H39" s="92"/>
      <c r="I39" s="92"/>
      <c r="J39" s="8"/>
      <c r="K39" s="9"/>
      <c r="L39" s="9"/>
      <c r="M39" s="9"/>
      <c r="N39" s="9"/>
      <c r="O39" s="9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2.75" customHeight="1" x14ac:dyDescent="0.25">
      <c r="A40" s="51"/>
      <c r="B40" s="99" t="s">
        <v>697</v>
      </c>
      <c r="C40" s="14"/>
      <c r="D40" s="5"/>
      <c r="E40" s="5"/>
      <c r="F40" s="86"/>
      <c r="G40" s="92"/>
      <c r="H40" s="92"/>
      <c r="I40" s="92"/>
      <c r="J40" s="8"/>
      <c r="K40" s="9"/>
      <c r="L40" s="9"/>
      <c r="M40" s="9"/>
      <c r="N40" s="9"/>
      <c r="O40" s="9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20"/>
      <c r="B41" s="20"/>
      <c r="C41" s="14"/>
      <c r="D41" s="5"/>
      <c r="E41" s="5"/>
      <c r="F41" s="86"/>
      <c r="G41" s="92"/>
      <c r="H41" s="92"/>
      <c r="I41" s="92"/>
      <c r="J41" s="8"/>
      <c r="K41" s="9"/>
      <c r="L41" s="9"/>
      <c r="M41" s="9"/>
      <c r="N41" s="9"/>
      <c r="O41" s="9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2.75" customHeight="1" x14ac:dyDescent="0.25">
      <c r="A42" s="20"/>
      <c r="B42" s="20" t="s">
        <v>698</v>
      </c>
      <c r="C42" s="31">
        <v>17.899999999999999</v>
      </c>
      <c r="D42" s="17">
        <v>21</v>
      </c>
      <c r="E42" s="17">
        <v>22</v>
      </c>
      <c r="F42" s="86" t="s">
        <v>511</v>
      </c>
      <c r="G42" s="92"/>
      <c r="H42" s="92"/>
      <c r="I42" s="92"/>
      <c r="J42" s="8">
        <f t="shared" ref="J42:J61" si="4">SUM(G42:I42)</f>
        <v>0</v>
      </c>
      <c r="K42" s="9">
        <f t="shared" ref="K42:K61" si="5">SUM(C42*J42)</f>
        <v>0</v>
      </c>
      <c r="L42" s="9"/>
      <c r="M42" s="9"/>
      <c r="N42" s="9"/>
      <c r="O42" s="9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2.75" customHeight="1" x14ac:dyDescent="0.25">
      <c r="A43" s="20"/>
      <c r="B43" s="20" t="s">
        <v>699</v>
      </c>
      <c r="C43" s="10">
        <v>0.75</v>
      </c>
      <c r="D43" s="37">
        <v>0.9</v>
      </c>
      <c r="E43" s="17">
        <v>0.95</v>
      </c>
      <c r="F43" s="86" t="s">
        <v>511</v>
      </c>
      <c r="G43" s="92"/>
      <c r="H43" s="92"/>
      <c r="I43" s="92"/>
      <c r="J43" s="8">
        <f t="shared" si="4"/>
        <v>0</v>
      </c>
      <c r="K43" s="9">
        <f t="shared" si="5"/>
        <v>0</v>
      </c>
      <c r="L43" s="9"/>
      <c r="M43" s="9"/>
      <c r="N43" s="9"/>
      <c r="O43" s="9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2.75" customHeight="1" x14ac:dyDescent="0.25">
      <c r="A44" s="20"/>
      <c r="B44" s="20" t="s">
        <v>700</v>
      </c>
      <c r="C44" s="31">
        <v>23.95</v>
      </c>
      <c r="D44" s="17">
        <v>29</v>
      </c>
      <c r="E44" s="17">
        <v>30</v>
      </c>
      <c r="F44" s="86" t="s">
        <v>511</v>
      </c>
      <c r="G44" s="92"/>
      <c r="H44" s="92"/>
      <c r="I44" s="92">
        <v>5</v>
      </c>
      <c r="J44" s="8">
        <f t="shared" si="4"/>
        <v>5</v>
      </c>
      <c r="K44" s="9">
        <f t="shared" si="5"/>
        <v>119.75</v>
      </c>
      <c r="L44" s="9"/>
      <c r="M44" s="9"/>
      <c r="N44" s="9"/>
      <c r="O44" s="9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.75" customHeight="1" x14ac:dyDescent="0.25">
      <c r="A45" s="20"/>
      <c r="B45" s="20" t="s">
        <v>701</v>
      </c>
      <c r="C45" s="10">
        <v>4</v>
      </c>
      <c r="D45" s="37">
        <v>5</v>
      </c>
      <c r="E45" s="17">
        <v>5</v>
      </c>
      <c r="F45" s="86" t="s">
        <v>511</v>
      </c>
      <c r="G45" s="92"/>
      <c r="H45" s="92"/>
      <c r="I45" s="92"/>
      <c r="J45" s="8">
        <f t="shared" si="4"/>
        <v>0</v>
      </c>
      <c r="K45" s="9">
        <f t="shared" si="5"/>
        <v>0</v>
      </c>
      <c r="L45" s="9"/>
      <c r="M45" s="9"/>
      <c r="N45" s="9"/>
      <c r="O45" s="9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 customHeight="1" x14ac:dyDescent="0.25">
      <c r="A46" s="20"/>
      <c r="B46" s="20" t="s">
        <v>702</v>
      </c>
      <c r="C46" s="31">
        <v>25.41</v>
      </c>
      <c r="D46" s="17">
        <v>30</v>
      </c>
      <c r="E46" s="17">
        <v>32</v>
      </c>
      <c r="F46" s="86" t="s">
        <v>511</v>
      </c>
      <c r="G46" s="92"/>
      <c r="H46" s="92"/>
      <c r="I46" s="92">
        <v>2</v>
      </c>
      <c r="J46" s="8">
        <f t="shared" si="4"/>
        <v>2</v>
      </c>
      <c r="K46" s="9">
        <f t="shared" si="5"/>
        <v>50.82</v>
      </c>
      <c r="L46" s="9"/>
      <c r="M46" s="9"/>
      <c r="N46" s="9"/>
      <c r="O46" s="9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.75" customHeight="1" x14ac:dyDescent="0.25">
      <c r="A47" s="20"/>
      <c r="B47" s="20" t="s">
        <v>703</v>
      </c>
      <c r="C47" s="31">
        <v>4.2300000000000004</v>
      </c>
      <c r="D47" s="37">
        <v>5.5</v>
      </c>
      <c r="E47" s="17">
        <v>5.5</v>
      </c>
      <c r="F47" s="86" t="s">
        <v>511</v>
      </c>
      <c r="G47" s="92"/>
      <c r="H47" s="92"/>
      <c r="I47" s="92"/>
      <c r="J47" s="8">
        <f t="shared" si="4"/>
        <v>0</v>
      </c>
      <c r="K47" s="9">
        <f t="shared" si="5"/>
        <v>0</v>
      </c>
      <c r="L47" s="9"/>
      <c r="M47" s="9"/>
      <c r="N47" s="9"/>
      <c r="O47" s="9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.75" customHeight="1" x14ac:dyDescent="0.25">
      <c r="A48" s="20"/>
      <c r="B48" s="20" t="s">
        <v>704</v>
      </c>
      <c r="C48" s="31">
        <v>24.68</v>
      </c>
      <c r="D48" s="17">
        <v>30</v>
      </c>
      <c r="E48" s="17">
        <v>32</v>
      </c>
      <c r="F48" s="86" t="s">
        <v>511</v>
      </c>
      <c r="G48" s="92"/>
      <c r="H48" s="92"/>
      <c r="I48" s="92"/>
      <c r="J48" s="8">
        <f t="shared" si="4"/>
        <v>0</v>
      </c>
      <c r="K48" s="9">
        <f t="shared" si="5"/>
        <v>0</v>
      </c>
      <c r="L48" s="9"/>
      <c r="M48" s="9"/>
      <c r="N48" s="9"/>
      <c r="O48" s="9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.75" customHeight="1" x14ac:dyDescent="0.25">
      <c r="A49" s="20"/>
      <c r="B49" s="20" t="s">
        <v>705</v>
      </c>
      <c r="C49" s="31">
        <v>4.1100000000000003</v>
      </c>
      <c r="D49" s="37">
        <v>5.5</v>
      </c>
      <c r="E49" s="17">
        <v>5.5</v>
      </c>
      <c r="F49" s="86" t="s">
        <v>511</v>
      </c>
      <c r="G49" s="92"/>
      <c r="H49" s="92"/>
      <c r="I49" s="92"/>
      <c r="J49" s="8">
        <f t="shared" si="4"/>
        <v>0</v>
      </c>
      <c r="K49" s="9">
        <f t="shared" si="5"/>
        <v>0</v>
      </c>
      <c r="L49" s="9"/>
      <c r="M49" s="9"/>
      <c r="N49" s="9"/>
      <c r="O49" s="9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.75" customHeight="1" x14ac:dyDescent="0.25">
      <c r="A50" s="20"/>
      <c r="B50" s="20" t="s">
        <v>706</v>
      </c>
      <c r="C50" s="31">
        <v>25.41</v>
      </c>
      <c r="D50" s="17">
        <v>30</v>
      </c>
      <c r="E50" s="17">
        <v>32</v>
      </c>
      <c r="F50" s="86" t="s">
        <v>511</v>
      </c>
      <c r="G50" s="92"/>
      <c r="H50" s="92"/>
      <c r="I50" s="92"/>
      <c r="J50" s="8">
        <f t="shared" si="4"/>
        <v>0</v>
      </c>
      <c r="K50" s="9">
        <f t="shared" si="5"/>
        <v>0</v>
      </c>
      <c r="L50" s="9"/>
      <c r="M50" s="9"/>
      <c r="N50" s="9"/>
      <c r="O50" s="9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.75" customHeight="1" x14ac:dyDescent="0.25">
      <c r="A51" s="20"/>
      <c r="B51" s="20" t="s">
        <v>707</v>
      </c>
      <c r="C51" s="31">
        <v>4.2300000000000004</v>
      </c>
      <c r="D51" s="37">
        <v>5.5</v>
      </c>
      <c r="E51" s="17">
        <v>5.5</v>
      </c>
      <c r="F51" s="86" t="s">
        <v>511</v>
      </c>
      <c r="G51" s="92"/>
      <c r="H51" s="92"/>
      <c r="I51" s="92"/>
      <c r="J51" s="8">
        <f t="shared" si="4"/>
        <v>0</v>
      </c>
      <c r="K51" s="9">
        <f t="shared" si="5"/>
        <v>0</v>
      </c>
      <c r="L51" s="9"/>
      <c r="M51" s="9"/>
      <c r="N51" s="9"/>
      <c r="O51" s="9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.75" customHeight="1" x14ac:dyDescent="0.25">
      <c r="A52" s="20"/>
      <c r="B52" s="20" t="s">
        <v>708</v>
      </c>
      <c r="C52" s="31">
        <v>25.41</v>
      </c>
      <c r="D52" s="17">
        <v>30</v>
      </c>
      <c r="E52" s="17">
        <v>32</v>
      </c>
      <c r="F52" s="86" t="s">
        <v>511</v>
      </c>
      <c r="G52" s="92"/>
      <c r="H52" s="92"/>
      <c r="I52" s="92"/>
      <c r="J52" s="8">
        <f t="shared" si="4"/>
        <v>0</v>
      </c>
      <c r="K52" s="9">
        <f t="shared" si="5"/>
        <v>0</v>
      </c>
      <c r="L52" s="9"/>
      <c r="M52" s="9"/>
      <c r="N52" s="9"/>
      <c r="O52" s="9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.75" customHeight="1" x14ac:dyDescent="0.25">
      <c r="A53" s="20"/>
      <c r="B53" s="20" t="s">
        <v>709</v>
      </c>
      <c r="C53" s="31">
        <v>4.2300000000000004</v>
      </c>
      <c r="D53" s="37">
        <v>5.5</v>
      </c>
      <c r="E53" s="17">
        <v>5.5</v>
      </c>
      <c r="F53" s="86" t="s">
        <v>511</v>
      </c>
      <c r="G53" s="92"/>
      <c r="H53" s="92"/>
      <c r="I53" s="92"/>
      <c r="J53" s="8">
        <f t="shared" si="4"/>
        <v>0</v>
      </c>
      <c r="K53" s="9">
        <f t="shared" si="5"/>
        <v>0</v>
      </c>
      <c r="L53" s="9"/>
      <c r="M53" s="9"/>
      <c r="N53" s="9"/>
      <c r="O53" s="9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.75" customHeight="1" x14ac:dyDescent="0.25">
      <c r="A54" s="20"/>
      <c r="B54" s="20" t="s">
        <v>710</v>
      </c>
      <c r="C54" s="31">
        <v>24.68</v>
      </c>
      <c r="D54" s="17">
        <v>30</v>
      </c>
      <c r="E54" s="17">
        <v>32</v>
      </c>
      <c r="F54" s="86" t="s">
        <v>511</v>
      </c>
      <c r="G54" s="92"/>
      <c r="H54" s="92"/>
      <c r="I54" s="92">
        <v>0</v>
      </c>
      <c r="J54" s="8">
        <f t="shared" si="4"/>
        <v>0</v>
      </c>
      <c r="K54" s="9">
        <f t="shared" si="5"/>
        <v>0</v>
      </c>
      <c r="L54" s="9"/>
      <c r="M54" s="9"/>
      <c r="N54" s="9"/>
      <c r="O54" s="9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.75" customHeight="1" x14ac:dyDescent="0.25">
      <c r="A55" s="20"/>
      <c r="B55" s="20" t="s">
        <v>711</v>
      </c>
      <c r="C55" s="31">
        <v>4.1100000000000003</v>
      </c>
      <c r="D55" s="37">
        <v>5.5</v>
      </c>
      <c r="E55" s="17">
        <v>5.5</v>
      </c>
      <c r="F55" s="86" t="s">
        <v>511</v>
      </c>
      <c r="G55" s="92"/>
      <c r="H55" s="92"/>
      <c r="I55" s="92"/>
      <c r="J55" s="8">
        <f t="shared" si="4"/>
        <v>0</v>
      </c>
      <c r="K55" s="9">
        <f t="shared" si="5"/>
        <v>0</v>
      </c>
      <c r="L55" s="9"/>
      <c r="M55" s="9"/>
      <c r="N55" s="9"/>
      <c r="O55" s="9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 customHeight="1" x14ac:dyDescent="0.25">
      <c r="A56" s="20"/>
      <c r="B56" s="20" t="s">
        <v>712</v>
      </c>
      <c r="C56" s="31">
        <v>24.68</v>
      </c>
      <c r="D56" s="17">
        <v>30</v>
      </c>
      <c r="E56" s="17">
        <v>32</v>
      </c>
      <c r="F56" s="86" t="s">
        <v>511</v>
      </c>
      <c r="G56" s="92"/>
      <c r="H56" s="92"/>
      <c r="I56" s="92"/>
      <c r="J56" s="8">
        <f t="shared" si="4"/>
        <v>0</v>
      </c>
      <c r="K56" s="9">
        <f t="shared" si="5"/>
        <v>0</v>
      </c>
      <c r="L56" s="9"/>
      <c r="M56" s="9"/>
      <c r="N56" s="9"/>
      <c r="O56" s="9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.75" customHeight="1" x14ac:dyDescent="0.25">
      <c r="A57" s="20"/>
      <c r="B57" s="20" t="s">
        <v>713</v>
      </c>
      <c r="C57" s="31">
        <v>4.1100000000000003</v>
      </c>
      <c r="D57" s="37">
        <v>5.5</v>
      </c>
      <c r="E57" s="17">
        <v>5.5</v>
      </c>
      <c r="F57" s="86" t="s">
        <v>511</v>
      </c>
      <c r="G57" s="92"/>
      <c r="H57" s="92"/>
      <c r="I57" s="92"/>
      <c r="J57" s="8">
        <f t="shared" si="4"/>
        <v>0</v>
      </c>
      <c r="K57" s="9">
        <f t="shared" si="5"/>
        <v>0</v>
      </c>
      <c r="L57" s="9"/>
      <c r="M57" s="9"/>
      <c r="N57" s="9"/>
      <c r="O57" s="9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.75" customHeight="1" x14ac:dyDescent="0.25">
      <c r="A58" s="20"/>
      <c r="B58" s="20" t="s">
        <v>714</v>
      </c>
      <c r="C58" s="31">
        <v>24.38</v>
      </c>
      <c r="D58" s="37">
        <v>30</v>
      </c>
      <c r="E58" s="17">
        <v>32</v>
      </c>
      <c r="F58" s="86" t="s">
        <v>511</v>
      </c>
      <c r="G58" s="92"/>
      <c r="H58" s="92"/>
      <c r="I58" s="92"/>
      <c r="J58" s="8">
        <f t="shared" si="4"/>
        <v>0</v>
      </c>
      <c r="K58" s="9">
        <f t="shared" si="5"/>
        <v>0</v>
      </c>
      <c r="L58" s="9"/>
      <c r="M58" s="9"/>
      <c r="N58" s="9"/>
      <c r="O58" s="9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.75" customHeight="1" x14ac:dyDescent="0.25">
      <c r="A59" s="20"/>
      <c r="B59" s="20" t="s">
        <v>715</v>
      </c>
      <c r="C59" s="31">
        <v>4.0599999999999996</v>
      </c>
      <c r="D59" s="37">
        <v>5.5</v>
      </c>
      <c r="E59" s="17">
        <v>5.5</v>
      </c>
      <c r="F59" s="86" t="s">
        <v>511</v>
      </c>
      <c r="G59" s="92"/>
      <c r="H59" s="92"/>
      <c r="I59" s="92"/>
      <c r="J59" s="8">
        <f t="shared" si="4"/>
        <v>0</v>
      </c>
      <c r="K59" s="9">
        <f t="shared" si="5"/>
        <v>0</v>
      </c>
      <c r="L59" s="9"/>
      <c r="M59" s="9"/>
      <c r="N59" s="9"/>
      <c r="O59" s="9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 customHeight="1" x14ac:dyDescent="0.25">
      <c r="A60" s="20"/>
      <c r="B60" s="20" t="s">
        <v>716</v>
      </c>
      <c r="C60" s="31">
        <v>22.27</v>
      </c>
      <c r="D60" s="17">
        <v>28</v>
      </c>
      <c r="E60" s="17">
        <v>30</v>
      </c>
      <c r="F60" s="86" t="s">
        <v>511</v>
      </c>
      <c r="G60" s="92"/>
      <c r="H60" s="92"/>
      <c r="I60" s="92">
        <v>0</v>
      </c>
      <c r="J60" s="8">
        <f t="shared" si="4"/>
        <v>0</v>
      </c>
      <c r="K60" s="9">
        <f t="shared" si="5"/>
        <v>0</v>
      </c>
      <c r="L60" s="9"/>
      <c r="M60" s="9"/>
      <c r="N60" s="9"/>
      <c r="O60" s="9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.75" customHeight="1" x14ac:dyDescent="0.25">
      <c r="A61" s="20"/>
      <c r="B61" s="20" t="s">
        <v>717</v>
      </c>
      <c r="C61" s="31">
        <v>3.71</v>
      </c>
      <c r="D61" s="37">
        <v>5.5</v>
      </c>
      <c r="E61" s="17">
        <v>5.5</v>
      </c>
      <c r="F61" s="86" t="s">
        <v>511</v>
      </c>
      <c r="G61" s="92"/>
      <c r="H61" s="92"/>
      <c r="I61" s="92"/>
      <c r="J61" s="8">
        <f t="shared" si="4"/>
        <v>0</v>
      </c>
      <c r="K61" s="9">
        <f t="shared" si="5"/>
        <v>0</v>
      </c>
      <c r="L61" s="9"/>
      <c r="M61" s="9"/>
      <c r="N61" s="9"/>
      <c r="O61" s="9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 customHeight="1" x14ac:dyDescent="0.25">
      <c r="A62" s="20"/>
      <c r="B62" s="20"/>
      <c r="C62" s="31"/>
      <c r="D62" s="37"/>
      <c r="E62" s="17"/>
      <c r="F62" s="86"/>
      <c r="G62" s="92"/>
      <c r="H62" s="92"/>
      <c r="I62" s="92"/>
      <c r="J62" s="95"/>
      <c r="K62" s="93"/>
      <c r="L62" s="9"/>
      <c r="M62" s="9"/>
      <c r="N62" s="9"/>
      <c r="O62" s="9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 customHeight="1" x14ac:dyDescent="0.25">
      <c r="A63" s="20"/>
      <c r="B63" s="20"/>
      <c r="C63" s="31"/>
      <c r="D63" s="37"/>
      <c r="E63" s="17"/>
      <c r="F63" s="86"/>
      <c r="G63" s="92"/>
      <c r="H63" s="92"/>
      <c r="I63" s="92"/>
      <c r="J63" s="95"/>
      <c r="K63" s="93"/>
      <c r="L63" s="9"/>
      <c r="M63" s="9"/>
      <c r="N63" s="9"/>
      <c r="O63" s="9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 customHeight="1" x14ac:dyDescent="0.25">
      <c r="A64" s="20"/>
      <c r="B64" s="20"/>
      <c r="C64" s="14"/>
      <c r="D64" s="14"/>
      <c r="E64" s="5"/>
      <c r="F64" s="86"/>
      <c r="G64" s="92"/>
      <c r="H64" s="92"/>
      <c r="I64" s="92"/>
      <c r="J64" s="95"/>
      <c r="K64" s="93"/>
      <c r="L64" s="9"/>
      <c r="M64" s="9"/>
      <c r="N64" s="9"/>
      <c r="O64" s="9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.75" customHeight="1" x14ac:dyDescent="0.25">
      <c r="A65" s="20"/>
      <c r="B65" s="20"/>
      <c r="C65" s="14"/>
      <c r="D65" s="5"/>
      <c r="E65" s="5"/>
      <c r="F65" s="86"/>
      <c r="G65" s="92"/>
      <c r="H65" s="92"/>
      <c r="I65" s="92"/>
      <c r="J65" s="95"/>
      <c r="K65" s="93"/>
      <c r="L65" s="9"/>
      <c r="M65" s="10"/>
      <c r="N65" s="10"/>
      <c r="O65" s="9"/>
      <c r="P65" s="20"/>
      <c r="Q65" s="20"/>
      <c r="R65" s="20"/>
      <c r="S65" s="9"/>
      <c r="T65" s="9"/>
      <c r="U65" s="20"/>
      <c r="V65" s="20"/>
      <c r="W65" s="20"/>
      <c r="X65" s="20"/>
      <c r="Y65" s="20"/>
      <c r="Z65" s="20"/>
      <c r="AA65" s="20"/>
    </row>
    <row r="66" spans="1:27" ht="12.75" customHeight="1" x14ac:dyDescent="0.25">
      <c r="A66" s="20">
        <v>200</v>
      </c>
      <c r="B66" s="20" t="s">
        <v>718</v>
      </c>
      <c r="C66" s="37">
        <v>22.15</v>
      </c>
      <c r="D66" s="17">
        <v>24</v>
      </c>
      <c r="E66" s="17">
        <v>25</v>
      </c>
      <c r="F66" s="86" t="s">
        <v>719</v>
      </c>
      <c r="G66" s="92"/>
      <c r="H66" s="92"/>
      <c r="I66" s="92">
        <v>4</v>
      </c>
      <c r="J66" s="8">
        <f t="shared" ref="J66:J81" si="6">SUM(G66:I66)</f>
        <v>4</v>
      </c>
      <c r="K66" s="9">
        <f t="shared" ref="K66:K81" si="7">SUM(C66*J66)</f>
        <v>88.6</v>
      </c>
      <c r="L66" s="9"/>
      <c r="M66" s="10"/>
      <c r="N66" s="10"/>
      <c r="O66" s="9"/>
      <c r="P66" s="20"/>
      <c r="Q66" s="20"/>
      <c r="R66" s="20"/>
      <c r="S66" s="9"/>
      <c r="T66" s="9"/>
      <c r="U66" s="20"/>
      <c r="V66" s="20"/>
      <c r="W66" s="20"/>
      <c r="X66" s="20"/>
      <c r="Y66" s="20"/>
      <c r="Z66" s="20"/>
      <c r="AA66" s="20"/>
    </row>
    <row r="67" spans="1:27" ht="12.75" customHeight="1" x14ac:dyDescent="0.25">
      <c r="A67" s="35" t="s">
        <v>30</v>
      </c>
      <c r="B67" s="20" t="s">
        <v>720</v>
      </c>
      <c r="C67" s="14">
        <v>1.57</v>
      </c>
      <c r="D67" s="17">
        <v>1.9500000000000002</v>
      </c>
      <c r="E67" s="17">
        <v>1.9500000000000002</v>
      </c>
      <c r="F67" s="86" t="s">
        <v>505</v>
      </c>
      <c r="G67" s="92"/>
      <c r="H67" s="92"/>
      <c r="I67" s="92"/>
      <c r="J67" s="8">
        <f t="shared" si="6"/>
        <v>0</v>
      </c>
      <c r="K67" s="9">
        <f t="shared" si="7"/>
        <v>0</v>
      </c>
      <c r="L67" s="9"/>
      <c r="M67" s="10"/>
      <c r="N67" s="10"/>
      <c r="O67" s="9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 customHeight="1" x14ac:dyDescent="0.25">
      <c r="A68" s="20">
        <v>330</v>
      </c>
      <c r="B68" s="20" t="s">
        <v>721</v>
      </c>
      <c r="C68" s="37">
        <v>0.7</v>
      </c>
      <c r="D68" s="17">
        <v>0.9</v>
      </c>
      <c r="E68" s="17">
        <v>0.95</v>
      </c>
      <c r="F68" s="86" t="s">
        <v>505</v>
      </c>
      <c r="G68" s="92"/>
      <c r="H68" s="92"/>
      <c r="I68" s="92"/>
      <c r="J68" s="8">
        <f t="shared" si="6"/>
        <v>0</v>
      </c>
      <c r="K68" s="9">
        <f t="shared" si="7"/>
        <v>0</v>
      </c>
      <c r="L68" s="9"/>
      <c r="M68" s="10"/>
      <c r="N68" s="10"/>
      <c r="O68" s="9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.75" customHeight="1" x14ac:dyDescent="0.25">
      <c r="A69" s="20">
        <v>330</v>
      </c>
      <c r="B69" s="20" t="s">
        <v>722</v>
      </c>
      <c r="C69" s="37">
        <v>16.72</v>
      </c>
      <c r="D69" s="17">
        <v>20</v>
      </c>
      <c r="E69" s="17">
        <v>21</v>
      </c>
      <c r="F69" s="86" t="s">
        <v>505</v>
      </c>
      <c r="G69" s="92"/>
      <c r="H69" s="92"/>
      <c r="I69" s="92">
        <v>1</v>
      </c>
      <c r="J69" s="8">
        <f t="shared" si="6"/>
        <v>1</v>
      </c>
      <c r="K69" s="9">
        <f t="shared" si="7"/>
        <v>16.72</v>
      </c>
      <c r="L69" s="9"/>
      <c r="M69" s="9"/>
      <c r="N69" s="9"/>
      <c r="O69" s="9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.75" customHeight="1" x14ac:dyDescent="0.25">
      <c r="A70" s="20">
        <v>250</v>
      </c>
      <c r="B70" s="20" t="s">
        <v>723</v>
      </c>
      <c r="C70" s="14">
        <v>4.1399999999999997</v>
      </c>
      <c r="D70" s="5">
        <v>6</v>
      </c>
      <c r="E70" s="5">
        <v>6</v>
      </c>
      <c r="F70" s="86" t="s">
        <v>719</v>
      </c>
      <c r="G70" s="92"/>
      <c r="H70" s="92"/>
      <c r="I70" s="92"/>
      <c r="J70" s="8">
        <f t="shared" si="6"/>
        <v>0</v>
      </c>
      <c r="K70" s="9">
        <f t="shared" si="7"/>
        <v>0</v>
      </c>
      <c r="L70" s="9"/>
      <c r="M70" s="9"/>
      <c r="N70" s="9"/>
      <c r="O70" s="9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.75" customHeight="1" x14ac:dyDescent="0.25">
      <c r="A71" s="20">
        <v>250</v>
      </c>
      <c r="B71" s="20" t="s">
        <v>724</v>
      </c>
      <c r="C71" s="14">
        <v>16.55</v>
      </c>
      <c r="D71" s="5">
        <v>22</v>
      </c>
      <c r="E71" s="5">
        <v>22</v>
      </c>
      <c r="F71" s="86" t="s">
        <v>719</v>
      </c>
      <c r="G71" s="92"/>
      <c r="H71" s="92"/>
      <c r="J71" s="8">
        <f t="shared" si="6"/>
        <v>0</v>
      </c>
      <c r="K71" s="9">
        <f t="shared" si="7"/>
        <v>0</v>
      </c>
      <c r="L71" s="9"/>
      <c r="M71" s="9"/>
      <c r="N71" s="9"/>
      <c r="O71" s="9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 customHeight="1" x14ac:dyDescent="0.25">
      <c r="A72" s="20">
        <v>330</v>
      </c>
      <c r="B72" s="20" t="s">
        <v>725</v>
      </c>
      <c r="C72" s="37">
        <v>0.7</v>
      </c>
      <c r="D72" s="17">
        <v>0.9</v>
      </c>
      <c r="E72" s="17">
        <v>0.95</v>
      </c>
      <c r="F72" s="86" t="s">
        <v>505</v>
      </c>
      <c r="G72" s="92"/>
      <c r="H72" s="92"/>
      <c r="I72" s="92"/>
      <c r="J72" s="8">
        <f t="shared" si="6"/>
        <v>0</v>
      </c>
      <c r="K72" s="9">
        <f t="shared" si="7"/>
        <v>0</v>
      </c>
      <c r="L72" s="9"/>
      <c r="M72" s="9"/>
      <c r="N72" s="9"/>
      <c r="O72" s="9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.75" customHeight="1" x14ac:dyDescent="0.25">
      <c r="A73" s="20">
        <v>330</v>
      </c>
      <c r="B73" s="20" t="s">
        <v>726</v>
      </c>
      <c r="C73" s="37">
        <v>16.72</v>
      </c>
      <c r="D73" s="17">
        <v>20</v>
      </c>
      <c r="E73" s="17">
        <v>21</v>
      </c>
      <c r="F73" s="86" t="s">
        <v>505</v>
      </c>
      <c r="G73" s="92"/>
      <c r="H73" s="92"/>
      <c r="I73" s="92"/>
      <c r="J73" s="8">
        <f t="shared" si="6"/>
        <v>0</v>
      </c>
      <c r="K73" s="9">
        <f t="shared" si="7"/>
        <v>0</v>
      </c>
      <c r="L73" s="9"/>
      <c r="M73" s="9"/>
      <c r="N73" s="9"/>
      <c r="O73" s="9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 customHeight="1" x14ac:dyDescent="0.25">
      <c r="A74" s="20">
        <v>200</v>
      </c>
      <c r="B74" s="20" t="s">
        <v>727</v>
      </c>
      <c r="C74" s="14">
        <v>20.12</v>
      </c>
      <c r="D74" s="5">
        <v>23.5</v>
      </c>
      <c r="E74" s="5">
        <v>24</v>
      </c>
      <c r="F74" s="86" t="s">
        <v>719</v>
      </c>
      <c r="G74" s="92"/>
      <c r="H74" s="92"/>
      <c r="I74" s="92"/>
      <c r="J74" s="8">
        <f t="shared" si="6"/>
        <v>0</v>
      </c>
      <c r="K74" s="9">
        <f t="shared" si="7"/>
        <v>0</v>
      </c>
      <c r="L74" s="9"/>
      <c r="M74" s="9"/>
      <c r="N74" s="9"/>
      <c r="O74" s="9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 customHeight="1" x14ac:dyDescent="0.25">
      <c r="A75" s="35" t="s">
        <v>30</v>
      </c>
      <c r="B75" s="20" t="s">
        <v>728</v>
      </c>
      <c r="C75" s="14">
        <v>1.57</v>
      </c>
      <c r="D75" s="5">
        <v>1.9500000000000002</v>
      </c>
      <c r="E75" s="5">
        <v>1.9500000000000002</v>
      </c>
      <c r="F75" s="86" t="s">
        <v>505</v>
      </c>
      <c r="G75" s="92"/>
      <c r="H75" s="92"/>
      <c r="I75" s="92">
        <v>6</v>
      </c>
      <c r="J75" s="8">
        <f t="shared" si="6"/>
        <v>6</v>
      </c>
      <c r="K75" s="9">
        <f t="shared" si="7"/>
        <v>9.42</v>
      </c>
      <c r="L75" s="9"/>
      <c r="M75" s="10"/>
      <c r="N75" s="10"/>
      <c r="O75" s="9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 customHeight="1" x14ac:dyDescent="0.25">
      <c r="A76" s="20">
        <v>200</v>
      </c>
      <c r="B76" s="20" t="s">
        <v>729</v>
      </c>
      <c r="C76" s="14">
        <v>4.67</v>
      </c>
      <c r="D76" s="5">
        <v>6</v>
      </c>
      <c r="E76" s="5">
        <v>6</v>
      </c>
      <c r="F76" s="86" t="s">
        <v>719</v>
      </c>
      <c r="G76" s="92"/>
      <c r="H76" s="92"/>
      <c r="I76" s="92"/>
      <c r="J76" s="8">
        <f t="shared" si="6"/>
        <v>0</v>
      </c>
      <c r="K76" s="9">
        <f t="shared" si="7"/>
        <v>0</v>
      </c>
      <c r="L76" s="9"/>
      <c r="M76" s="10"/>
      <c r="N76" s="10"/>
      <c r="O76" s="9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 customHeight="1" x14ac:dyDescent="0.25">
      <c r="A77" s="20">
        <v>200</v>
      </c>
      <c r="B77" s="20" t="s">
        <v>730</v>
      </c>
      <c r="C77" s="14">
        <v>19.82</v>
      </c>
      <c r="D77" s="5">
        <v>23.5</v>
      </c>
      <c r="E77" s="5">
        <v>24</v>
      </c>
      <c r="F77" s="86" t="s">
        <v>719</v>
      </c>
      <c r="G77" s="92"/>
      <c r="H77" s="92"/>
      <c r="I77" s="92">
        <v>3</v>
      </c>
      <c r="J77" s="8">
        <f t="shared" si="6"/>
        <v>3</v>
      </c>
      <c r="K77" s="9">
        <f t="shared" si="7"/>
        <v>59.46</v>
      </c>
      <c r="L77" s="9"/>
      <c r="M77" s="10"/>
      <c r="N77" s="10"/>
      <c r="O77" s="9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 customHeight="1" x14ac:dyDescent="0.25">
      <c r="A78" s="35" t="s">
        <v>30</v>
      </c>
      <c r="B78" s="20" t="s">
        <v>731</v>
      </c>
      <c r="C78" s="14">
        <v>1.57</v>
      </c>
      <c r="D78" s="5">
        <v>1.9500000000000002</v>
      </c>
      <c r="E78" s="5">
        <v>1.9500000000000002</v>
      </c>
      <c r="F78" s="86" t="s">
        <v>505</v>
      </c>
      <c r="G78" s="92"/>
      <c r="H78" s="92"/>
      <c r="I78" s="92"/>
      <c r="J78" s="8">
        <f t="shared" si="6"/>
        <v>0</v>
      </c>
      <c r="K78" s="9">
        <f t="shared" si="7"/>
        <v>0</v>
      </c>
      <c r="L78" s="9"/>
      <c r="M78" s="9"/>
      <c r="N78" s="9"/>
      <c r="O78" s="9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.75" customHeight="1" x14ac:dyDescent="0.25">
      <c r="A79" s="20">
        <v>200</v>
      </c>
      <c r="B79" s="20" t="s">
        <v>732</v>
      </c>
      <c r="C79" s="14">
        <v>4.9000000000000004</v>
      </c>
      <c r="D79" s="5">
        <v>6</v>
      </c>
      <c r="E79" s="5">
        <v>6</v>
      </c>
      <c r="F79" s="86" t="s">
        <v>719</v>
      </c>
      <c r="G79" s="92"/>
      <c r="H79" s="92"/>
      <c r="I79" s="92"/>
      <c r="J79" s="8">
        <f t="shared" si="6"/>
        <v>0</v>
      </c>
      <c r="K79" s="9">
        <f t="shared" si="7"/>
        <v>0</v>
      </c>
      <c r="L79" s="9"/>
      <c r="M79" s="9"/>
      <c r="N79" s="9"/>
      <c r="O79" s="9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 customHeight="1" x14ac:dyDescent="0.25">
      <c r="A80" s="20">
        <v>200</v>
      </c>
      <c r="B80" s="20" t="s">
        <v>733</v>
      </c>
      <c r="C80" s="14">
        <v>19.68</v>
      </c>
      <c r="D80" s="5">
        <v>23.5</v>
      </c>
      <c r="E80" s="5">
        <v>24</v>
      </c>
      <c r="F80" s="86" t="s">
        <v>719</v>
      </c>
      <c r="G80" s="92"/>
      <c r="H80" s="92"/>
      <c r="I80" s="92">
        <v>2</v>
      </c>
      <c r="J80" s="8">
        <f t="shared" si="6"/>
        <v>2</v>
      </c>
      <c r="K80" s="9">
        <f t="shared" si="7"/>
        <v>39.36</v>
      </c>
      <c r="L80" s="9"/>
      <c r="M80" s="9"/>
      <c r="N80" s="9"/>
      <c r="O80" s="9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.75" customHeight="1" x14ac:dyDescent="0.25">
      <c r="A81" s="35" t="s">
        <v>30</v>
      </c>
      <c r="B81" s="20" t="s">
        <v>734</v>
      </c>
      <c r="C81" s="14">
        <v>1.57</v>
      </c>
      <c r="D81" s="5">
        <v>1.9500000000000002</v>
      </c>
      <c r="E81" s="5">
        <v>1.9500000000000002</v>
      </c>
      <c r="F81" s="86" t="s">
        <v>505</v>
      </c>
      <c r="G81" s="92"/>
      <c r="H81" s="92"/>
      <c r="I81" s="92"/>
      <c r="J81" s="8">
        <f t="shared" si="6"/>
        <v>0</v>
      </c>
      <c r="K81" s="9">
        <f t="shared" si="7"/>
        <v>0</v>
      </c>
      <c r="L81" s="9"/>
      <c r="M81" s="9"/>
      <c r="N81" s="9"/>
      <c r="O81" s="9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.75" customHeight="1" x14ac:dyDescent="0.25">
      <c r="A82" s="35"/>
      <c r="B82" s="20"/>
      <c r="C82" s="14"/>
      <c r="D82" s="5"/>
      <c r="E82" s="5"/>
      <c r="F82" s="86"/>
      <c r="G82" s="92"/>
      <c r="H82" s="92"/>
      <c r="I82" s="92"/>
      <c r="J82" s="93"/>
      <c r="K82" s="93"/>
      <c r="L82" s="9"/>
      <c r="M82" s="9"/>
      <c r="N82" s="9"/>
      <c r="O82" s="9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 customHeight="1" x14ac:dyDescent="0.25">
      <c r="A83" s="20"/>
      <c r="B83" s="20"/>
      <c r="C83" s="14"/>
      <c r="D83" s="5"/>
      <c r="E83" s="5"/>
      <c r="F83" s="86"/>
      <c r="G83" s="92"/>
      <c r="H83" s="92"/>
      <c r="I83" s="92"/>
      <c r="J83" s="93"/>
      <c r="K83" s="93"/>
      <c r="L83" s="9"/>
      <c r="M83" s="9"/>
      <c r="N83" s="9"/>
      <c r="O83" s="9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 customHeight="1" x14ac:dyDescent="0.25">
      <c r="A84" s="51"/>
      <c r="B84" s="99" t="s">
        <v>735</v>
      </c>
      <c r="C84" s="14"/>
      <c r="D84" s="5"/>
      <c r="E84" s="5"/>
      <c r="F84" s="86"/>
      <c r="G84" s="92"/>
      <c r="H84" s="92"/>
      <c r="I84" s="92"/>
      <c r="J84" s="93"/>
      <c r="K84" s="93"/>
      <c r="L84" s="9"/>
      <c r="M84" s="9"/>
      <c r="N84" s="9"/>
      <c r="O84" s="9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20"/>
      <c r="B85" s="20"/>
      <c r="C85" s="14"/>
      <c r="D85" s="5"/>
      <c r="E85" s="5"/>
      <c r="F85" s="86"/>
      <c r="G85" s="92"/>
      <c r="H85" s="92"/>
      <c r="I85" s="92"/>
      <c r="J85" s="93"/>
      <c r="K85" s="93"/>
      <c r="L85" s="9"/>
      <c r="M85" s="9"/>
      <c r="N85" s="9"/>
      <c r="O85" s="9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 customHeight="1" x14ac:dyDescent="0.25">
      <c r="A86" s="35" t="s">
        <v>736</v>
      </c>
      <c r="B86" s="20" t="s">
        <v>737</v>
      </c>
      <c r="C86" s="37">
        <v>2.84</v>
      </c>
      <c r="D86" s="17">
        <v>3.5</v>
      </c>
      <c r="E86" s="17">
        <v>3.8</v>
      </c>
      <c r="F86" s="86" t="s">
        <v>607</v>
      </c>
      <c r="G86" s="92"/>
      <c r="H86" s="92"/>
      <c r="I86" s="92"/>
      <c r="J86" s="8">
        <f t="shared" ref="J86:J103" si="8">SUM(G86:I86)</f>
        <v>0</v>
      </c>
      <c r="K86" s="9">
        <f t="shared" ref="K86:K103" si="9">SUM(C86*J86)</f>
        <v>0</v>
      </c>
      <c r="L86" s="9"/>
      <c r="M86" s="9"/>
      <c r="N86" s="9"/>
      <c r="O86" s="9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 customHeight="1" x14ac:dyDescent="0.25">
      <c r="A87" s="35" t="s">
        <v>736</v>
      </c>
      <c r="B87" s="20" t="s">
        <v>738</v>
      </c>
      <c r="C87" s="37">
        <v>2.84</v>
      </c>
      <c r="D87" s="17">
        <v>3.5</v>
      </c>
      <c r="E87" s="17">
        <v>3.8</v>
      </c>
      <c r="F87" s="86" t="s">
        <v>607</v>
      </c>
      <c r="G87" s="92"/>
      <c r="H87" s="92"/>
      <c r="I87" s="92">
        <v>2</v>
      </c>
      <c r="J87" s="8">
        <f t="shared" si="8"/>
        <v>2</v>
      </c>
      <c r="K87" s="9">
        <f t="shared" si="9"/>
        <v>5.68</v>
      </c>
      <c r="L87" s="9"/>
      <c r="M87" s="9"/>
      <c r="N87" s="9"/>
      <c r="O87" s="9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 customHeight="1" x14ac:dyDescent="0.25">
      <c r="A88" s="35" t="s">
        <v>736</v>
      </c>
      <c r="B88" s="20" t="s">
        <v>739</v>
      </c>
      <c r="C88" s="37">
        <v>2.84</v>
      </c>
      <c r="D88" s="17">
        <v>3.5</v>
      </c>
      <c r="E88" s="17">
        <v>3.8</v>
      </c>
      <c r="F88" s="86" t="s">
        <v>607</v>
      </c>
      <c r="G88" s="92"/>
      <c r="H88" s="92"/>
      <c r="I88" s="92"/>
      <c r="J88" s="8">
        <f t="shared" si="8"/>
        <v>0</v>
      </c>
      <c r="K88" s="9">
        <f t="shared" si="9"/>
        <v>0</v>
      </c>
      <c r="L88" s="9"/>
      <c r="M88" s="9"/>
      <c r="N88" s="9"/>
      <c r="O88" s="9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 customHeight="1" x14ac:dyDescent="0.25">
      <c r="A89" s="35" t="s">
        <v>30</v>
      </c>
      <c r="B89" s="20" t="s">
        <v>740</v>
      </c>
      <c r="C89" s="14">
        <v>1.1000000000000001</v>
      </c>
      <c r="D89" s="17">
        <v>1.4</v>
      </c>
      <c r="E89" s="17">
        <v>1.75</v>
      </c>
      <c r="F89" s="86" t="s">
        <v>511</v>
      </c>
      <c r="G89" s="92"/>
      <c r="H89" s="92"/>
      <c r="I89" s="92"/>
      <c r="J89" s="8">
        <f t="shared" si="8"/>
        <v>0</v>
      </c>
      <c r="K89" s="9">
        <f t="shared" si="9"/>
        <v>0</v>
      </c>
      <c r="L89" s="9"/>
      <c r="M89" s="9"/>
      <c r="N89" s="9"/>
      <c r="O89" s="9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 customHeight="1" x14ac:dyDescent="0.25">
      <c r="A90" s="35" t="s">
        <v>30</v>
      </c>
      <c r="B90" s="20" t="s">
        <v>741</v>
      </c>
      <c r="C90" s="14">
        <v>13.21</v>
      </c>
      <c r="D90" s="17">
        <v>16</v>
      </c>
      <c r="E90" s="17">
        <v>17</v>
      </c>
      <c r="F90" s="86" t="s">
        <v>511</v>
      </c>
      <c r="G90" s="92"/>
      <c r="H90" s="92"/>
      <c r="I90" s="92">
        <v>1</v>
      </c>
      <c r="J90" s="8">
        <f t="shared" si="8"/>
        <v>1</v>
      </c>
      <c r="K90" s="9">
        <f t="shared" si="9"/>
        <v>13.21</v>
      </c>
      <c r="L90" s="9"/>
      <c r="M90" s="9"/>
      <c r="N90" s="9"/>
      <c r="O90" s="9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.75" customHeight="1" x14ac:dyDescent="0.25">
      <c r="A91" s="35" t="s">
        <v>30</v>
      </c>
      <c r="B91" s="20" t="s">
        <v>742</v>
      </c>
      <c r="C91" s="14">
        <v>1.31</v>
      </c>
      <c r="D91" s="17">
        <v>1.5</v>
      </c>
      <c r="E91" s="17">
        <v>1.75</v>
      </c>
      <c r="F91" s="86" t="s">
        <v>511</v>
      </c>
      <c r="G91" s="92"/>
      <c r="H91" s="92"/>
      <c r="I91" s="92"/>
      <c r="J91" s="8">
        <f t="shared" si="8"/>
        <v>0</v>
      </c>
      <c r="K91" s="9">
        <f t="shared" si="9"/>
        <v>0</v>
      </c>
      <c r="L91" s="9"/>
      <c r="M91" s="9"/>
      <c r="N91" s="9"/>
      <c r="O91" s="9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 customHeight="1" x14ac:dyDescent="0.25">
      <c r="A92" s="35" t="s">
        <v>30</v>
      </c>
      <c r="B92" s="20" t="s">
        <v>743</v>
      </c>
      <c r="C92" s="14">
        <v>15.77</v>
      </c>
      <c r="D92" s="17">
        <v>18</v>
      </c>
      <c r="E92" s="17">
        <v>19</v>
      </c>
      <c r="F92" s="86" t="s">
        <v>511</v>
      </c>
      <c r="G92" s="92"/>
      <c r="H92" s="92"/>
      <c r="I92" s="92">
        <v>3</v>
      </c>
      <c r="J92" s="8">
        <f t="shared" si="8"/>
        <v>3</v>
      </c>
      <c r="K92" s="9">
        <f t="shared" si="9"/>
        <v>47.31</v>
      </c>
      <c r="L92" s="9"/>
      <c r="M92" s="9"/>
      <c r="N92" s="9"/>
      <c r="O92" s="9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.75" customHeight="1" x14ac:dyDescent="0.25">
      <c r="A93" s="35" t="s">
        <v>30</v>
      </c>
      <c r="B93" s="20" t="s">
        <v>744</v>
      </c>
      <c r="C93" s="37">
        <v>1.6</v>
      </c>
      <c r="D93" s="17">
        <v>2</v>
      </c>
      <c r="E93" s="17">
        <v>2</v>
      </c>
      <c r="F93" s="86" t="s">
        <v>511</v>
      </c>
      <c r="G93" s="92"/>
      <c r="H93" s="92"/>
      <c r="I93" s="92"/>
      <c r="J93" s="8">
        <f t="shared" si="8"/>
        <v>0</v>
      </c>
      <c r="K93" s="9">
        <f t="shared" si="9"/>
        <v>0</v>
      </c>
      <c r="L93" s="9"/>
      <c r="M93" s="9"/>
      <c r="N93" s="9"/>
      <c r="O93" s="9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.75" customHeight="1" x14ac:dyDescent="0.25">
      <c r="A94" s="35" t="s">
        <v>30</v>
      </c>
      <c r="B94" s="20" t="s">
        <v>745</v>
      </c>
      <c r="C94" s="37">
        <v>19.309999999999999</v>
      </c>
      <c r="D94" s="17">
        <v>24</v>
      </c>
      <c r="E94" s="17">
        <v>24</v>
      </c>
      <c r="F94" s="86" t="s">
        <v>511</v>
      </c>
      <c r="G94" s="92"/>
      <c r="H94" s="92"/>
      <c r="I94" s="92">
        <v>2</v>
      </c>
      <c r="J94" s="8">
        <f t="shared" si="8"/>
        <v>2</v>
      </c>
      <c r="K94" s="9">
        <f t="shared" si="9"/>
        <v>38.619999999999997</v>
      </c>
      <c r="L94" s="9"/>
      <c r="M94" s="9"/>
      <c r="N94" s="9"/>
      <c r="O94" s="9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 customHeight="1" x14ac:dyDescent="0.25">
      <c r="A95" s="35" t="s">
        <v>30</v>
      </c>
      <c r="B95" s="20" t="s">
        <v>746</v>
      </c>
      <c r="C95" s="14">
        <v>1.1000000000000001</v>
      </c>
      <c r="D95" s="17">
        <v>1.4</v>
      </c>
      <c r="E95" s="17">
        <v>1.75</v>
      </c>
      <c r="F95" s="86" t="s">
        <v>511</v>
      </c>
      <c r="G95" s="92"/>
      <c r="H95" s="92"/>
      <c r="I95" s="92"/>
      <c r="J95" s="8">
        <f t="shared" si="8"/>
        <v>0</v>
      </c>
      <c r="K95" s="9">
        <f t="shared" si="9"/>
        <v>0</v>
      </c>
      <c r="L95" s="9"/>
      <c r="M95" s="9"/>
      <c r="N95" s="9"/>
      <c r="O95" s="9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 customHeight="1" x14ac:dyDescent="0.25">
      <c r="A96" s="35" t="s">
        <v>30</v>
      </c>
      <c r="B96" s="20" t="s">
        <v>747</v>
      </c>
      <c r="C96" s="14">
        <v>13.21</v>
      </c>
      <c r="D96" s="17">
        <v>16</v>
      </c>
      <c r="E96" s="17">
        <v>17</v>
      </c>
      <c r="F96" s="86" t="s">
        <v>511</v>
      </c>
      <c r="G96" s="92"/>
      <c r="H96" s="92"/>
      <c r="I96" s="92">
        <v>2</v>
      </c>
      <c r="J96" s="8">
        <f t="shared" si="8"/>
        <v>2</v>
      </c>
      <c r="K96" s="9">
        <f t="shared" si="9"/>
        <v>26.42</v>
      </c>
      <c r="L96" s="9"/>
      <c r="M96" s="9"/>
      <c r="N96" s="9"/>
      <c r="O96" s="9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 customHeight="1" x14ac:dyDescent="0.25">
      <c r="A97" s="35" t="s">
        <v>30</v>
      </c>
      <c r="B97" s="20" t="s">
        <v>748</v>
      </c>
      <c r="C97" s="14"/>
      <c r="D97" s="17">
        <v>1.5</v>
      </c>
      <c r="E97" s="17">
        <v>1.75</v>
      </c>
      <c r="F97" s="86" t="s">
        <v>511</v>
      </c>
      <c r="G97" s="92"/>
      <c r="H97" s="92"/>
      <c r="I97" s="92"/>
      <c r="J97" s="8">
        <f t="shared" si="8"/>
        <v>0</v>
      </c>
      <c r="K97" s="9">
        <f t="shared" si="9"/>
        <v>0</v>
      </c>
      <c r="L97" s="9"/>
      <c r="M97" s="9"/>
      <c r="N97" s="9"/>
      <c r="O97" s="9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 customHeight="1" x14ac:dyDescent="0.25">
      <c r="A98" s="35" t="s">
        <v>30</v>
      </c>
      <c r="B98" s="20" t="s">
        <v>749</v>
      </c>
      <c r="C98" s="14"/>
      <c r="D98" s="17">
        <v>18</v>
      </c>
      <c r="E98" s="17">
        <v>19</v>
      </c>
      <c r="F98" s="86" t="s">
        <v>511</v>
      </c>
      <c r="G98" s="92"/>
      <c r="H98" s="92"/>
      <c r="I98" s="92"/>
      <c r="J98" s="8">
        <f t="shared" si="8"/>
        <v>0</v>
      </c>
      <c r="K98" s="9">
        <f t="shared" si="9"/>
        <v>0</v>
      </c>
      <c r="L98" s="9"/>
      <c r="M98" s="9"/>
      <c r="N98" s="9"/>
      <c r="O98" s="9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 customHeight="1" x14ac:dyDescent="0.25">
      <c r="A99" s="35" t="s">
        <v>30</v>
      </c>
      <c r="B99" s="20" t="s">
        <v>750</v>
      </c>
      <c r="C99" s="14"/>
      <c r="D99" s="5"/>
      <c r="E99" s="5"/>
      <c r="F99" s="86" t="s">
        <v>693</v>
      </c>
      <c r="G99" s="92"/>
      <c r="H99" s="92"/>
      <c r="I99" s="92">
        <v>13</v>
      </c>
      <c r="J99" s="8">
        <f t="shared" si="8"/>
        <v>13</v>
      </c>
      <c r="K99" s="9">
        <f t="shared" si="9"/>
        <v>0</v>
      </c>
      <c r="L99" s="9"/>
      <c r="M99" s="9"/>
      <c r="N99" s="9"/>
      <c r="O99" s="9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 customHeight="1" x14ac:dyDescent="0.25">
      <c r="A100" s="35" t="s">
        <v>30</v>
      </c>
      <c r="B100" s="20" t="s">
        <v>751</v>
      </c>
      <c r="C100" s="14"/>
      <c r="D100" s="5"/>
      <c r="E100" s="5"/>
      <c r="F100" s="86" t="s">
        <v>693</v>
      </c>
      <c r="G100" s="92"/>
      <c r="H100" s="92"/>
      <c r="I100" s="92"/>
      <c r="J100" s="8">
        <f t="shared" si="8"/>
        <v>0</v>
      </c>
      <c r="K100" s="9">
        <f t="shared" si="9"/>
        <v>0</v>
      </c>
      <c r="L100" s="9"/>
      <c r="M100" s="9"/>
      <c r="N100" s="9"/>
      <c r="O100" s="9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 customHeight="1" x14ac:dyDescent="0.25">
      <c r="A101" s="35" t="s">
        <v>30</v>
      </c>
      <c r="B101" s="20" t="s">
        <v>752</v>
      </c>
      <c r="C101" s="14"/>
      <c r="D101" s="5"/>
      <c r="E101" s="5"/>
      <c r="F101" s="86" t="s">
        <v>693</v>
      </c>
      <c r="G101" s="92"/>
      <c r="H101" s="92"/>
      <c r="I101" s="92">
        <v>11</v>
      </c>
      <c r="J101" s="8">
        <f t="shared" si="8"/>
        <v>11</v>
      </c>
      <c r="K101" s="9">
        <f t="shared" si="9"/>
        <v>0</v>
      </c>
      <c r="L101" s="9"/>
      <c r="M101" s="9"/>
      <c r="N101" s="9"/>
      <c r="O101" s="9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 customHeight="1" x14ac:dyDescent="0.25">
      <c r="A102" s="35" t="s">
        <v>30</v>
      </c>
      <c r="B102" s="20" t="s">
        <v>753</v>
      </c>
      <c r="C102" s="14">
        <v>1.73</v>
      </c>
      <c r="D102" s="5">
        <v>2.2000000000000002</v>
      </c>
      <c r="E102" s="5">
        <v>2.5</v>
      </c>
      <c r="F102" s="86" t="s">
        <v>693</v>
      </c>
      <c r="G102" s="92"/>
      <c r="H102" s="92"/>
      <c r="I102" s="92">
        <v>21</v>
      </c>
      <c r="J102" s="8">
        <f t="shared" si="8"/>
        <v>21</v>
      </c>
      <c r="K102" s="9">
        <f t="shared" si="9"/>
        <v>36.33</v>
      </c>
      <c r="L102" s="9"/>
      <c r="M102" s="9"/>
      <c r="N102" s="9"/>
      <c r="O102" s="9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 customHeight="1" x14ac:dyDescent="0.25">
      <c r="A103" s="35"/>
      <c r="B103" s="20" t="s">
        <v>754</v>
      </c>
      <c r="C103" s="14"/>
      <c r="D103" s="5"/>
      <c r="E103" s="5">
        <v>1.25</v>
      </c>
      <c r="F103" s="86" t="s">
        <v>755</v>
      </c>
      <c r="G103" s="92"/>
      <c r="H103" s="92"/>
      <c r="I103" s="92"/>
      <c r="J103" s="8">
        <f t="shared" si="8"/>
        <v>0</v>
      </c>
      <c r="K103" s="9">
        <f t="shared" si="9"/>
        <v>0</v>
      </c>
      <c r="L103" s="9"/>
      <c r="M103" s="9"/>
      <c r="N103" s="9"/>
      <c r="O103" s="9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 customHeight="1" x14ac:dyDescent="0.25">
      <c r="A104" s="35"/>
      <c r="B104" s="20"/>
      <c r="C104" s="14"/>
      <c r="D104" s="5"/>
      <c r="E104" s="5"/>
      <c r="F104" s="86"/>
      <c r="G104" s="92"/>
      <c r="H104" s="92"/>
      <c r="I104" s="92"/>
      <c r="J104" s="8"/>
      <c r="K104" s="9"/>
      <c r="L104" s="9"/>
      <c r="M104" s="9"/>
      <c r="N104" s="9"/>
      <c r="O104" s="9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 customHeight="1" x14ac:dyDescent="0.25">
      <c r="A105" s="35"/>
      <c r="B105" s="20"/>
      <c r="C105" s="14"/>
      <c r="D105" s="5"/>
      <c r="E105" s="5"/>
      <c r="F105" s="86"/>
      <c r="G105" s="92"/>
      <c r="H105" s="92"/>
      <c r="I105" s="92"/>
      <c r="J105" s="93"/>
      <c r="K105" s="93"/>
      <c r="L105" s="9"/>
      <c r="M105" s="9"/>
      <c r="N105" s="9"/>
      <c r="O105" s="9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 customHeight="1" x14ac:dyDescent="0.25">
      <c r="A106" s="35"/>
      <c r="B106" s="20"/>
      <c r="C106" s="14"/>
      <c r="D106" s="5"/>
      <c r="E106" s="5"/>
      <c r="F106" s="86"/>
      <c r="G106" s="92"/>
      <c r="H106" s="92"/>
      <c r="I106" s="92"/>
      <c r="J106" s="93"/>
      <c r="K106" s="93"/>
      <c r="L106" s="9"/>
      <c r="M106" s="9"/>
      <c r="N106" s="9"/>
      <c r="O106" s="9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 customHeight="1" x14ac:dyDescent="0.25">
      <c r="A107" s="51"/>
      <c r="B107" s="99" t="s">
        <v>756</v>
      </c>
      <c r="C107" s="14"/>
      <c r="D107" s="5"/>
      <c r="E107" s="5"/>
      <c r="F107" s="86"/>
      <c r="G107" s="92"/>
      <c r="H107" s="92"/>
      <c r="I107" s="92"/>
      <c r="J107" s="93"/>
      <c r="K107" s="93"/>
      <c r="L107" s="9"/>
      <c r="M107" s="9"/>
      <c r="N107" s="9"/>
      <c r="O107" s="9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35"/>
      <c r="B108" s="20"/>
      <c r="C108" s="14"/>
      <c r="D108" s="5"/>
      <c r="E108" s="5"/>
      <c r="F108" s="86"/>
      <c r="G108" s="92"/>
      <c r="H108" s="92"/>
      <c r="I108" s="92"/>
      <c r="J108" s="93"/>
      <c r="K108" s="93"/>
      <c r="L108" s="9"/>
      <c r="M108" s="9"/>
      <c r="N108" s="9"/>
      <c r="O108" s="9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 customHeight="1" x14ac:dyDescent="0.25">
      <c r="A109" s="35">
        <v>250</v>
      </c>
      <c r="B109" s="20" t="s">
        <v>757</v>
      </c>
      <c r="C109" s="14">
        <v>1.02</v>
      </c>
      <c r="D109" s="24">
        <v>1.3</v>
      </c>
      <c r="E109" s="24">
        <v>1.4</v>
      </c>
      <c r="F109" s="86" t="s">
        <v>511</v>
      </c>
      <c r="G109" s="92"/>
      <c r="H109" s="92"/>
      <c r="I109" s="92"/>
      <c r="J109" s="8">
        <f t="shared" ref="J109:J118" si="10">SUM(G109:I109)</f>
        <v>0</v>
      </c>
      <c r="K109" s="9">
        <f t="shared" ref="K109:K118" si="11">SUM(C109*J109)</f>
        <v>0</v>
      </c>
      <c r="L109" s="9"/>
      <c r="M109" s="9"/>
      <c r="N109" s="9"/>
      <c r="O109" s="9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 customHeight="1" x14ac:dyDescent="0.25">
      <c r="A110" s="35">
        <v>250</v>
      </c>
      <c r="B110" s="20" t="s">
        <v>758</v>
      </c>
      <c r="C110" s="14">
        <v>24.49</v>
      </c>
      <c r="D110" s="5">
        <v>29</v>
      </c>
      <c r="E110" s="5">
        <v>30</v>
      </c>
      <c r="F110" s="86" t="s">
        <v>511</v>
      </c>
      <c r="G110" s="92"/>
      <c r="H110" s="92"/>
      <c r="I110" s="92">
        <v>6</v>
      </c>
      <c r="J110" s="8">
        <f t="shared" si="10"/>
        <v>6</v>
      </c>
      <c r="K110" s="9">
        <f t="shared" si="11"/>
        <v>146.94</v>
      </c>
      <c r="L110" s="9"/>
      <c r="M110" s="9"/>
      <c r="N110" s="9"/>
      <c r="O110" s="9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 customHeight="1" x14ac:dyDescent="0.25">
      <c r="A111" s="35">
        <v>1000</v>
      </c>
      <c r="B111" s="20" t="s">
        <v>759</v>
      </c>
      <c r="C111" s="14"/>
      <c r="D111" s="17">
        <v>1.75</v>
      </c>
      <c r="E111" s="17">
        <v>1.9500000000000002</v>
      </c>
      <c r="F111" s="86" t="s">
        <v>508</v>
      </c>
      <c r="G111" s="92"/>
      <c r="H111" s="92"/>
      <c r="I111" s="92"/>
      <c r="J111" s="8">
        <f t="shared" si="10"/>
        <v>0</v>
      </c>
      <c r="K111" s="9">
        <f t="shared" si="11"/>
        <v>0</v>
      </c>
      <c r="L111" s="9"/>
      <c r="M111" s="9"/>
      <c r="N111" s="9"/>
      <c r="O111" s="9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 customHeight="1" x14ac:dyDescent="0.25">
      <c r="A112" s="35"/>
      <c r="B112" s="20" t="s">
        <v>760</v>
      </c>
      <c r="C112" s="14"/>
      <c r="D112" s="5">
        <v>19.8</v>
      </c>
      <c r="E112" s="5">
        <v>21</v>
      </c>
      <c r="F112" s="86" t="s">
        <v>508</v>
      </c>
      <c r="G112" s="92"/>
      <c r="H112" s="92"/>
      <c r="I112" s="92"/>
      <c r="J112" s="8">
        <f t="shared" si="10"/>
        <v>0</v>
      </c>
      <c r="K112" s="9">
        <f t="shared" si="11"/>
        <v>0</v>
      </c>
      <c r="L112" s="9"/>
      <c r="M112" s="9"/>
      <c r="N112" s="9"/>
      <c r="O112" s="9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 customHeight="1" x14ac:dyDescent="0.25">
      <c r="A113" s="10"/>
      <c r="B113" s="20" t="s">
        <v>761</v>
      </c>
      <c r="C113" s="100">
        <v>23.47</v>
      </c>
      <c r="D113" s="17">
        <v>25</v>
      </c>
      <c r="E113" s="17">
        <v>26</v>
      </c>
      <c r="F113" s="86" t="s">
        <v>664</v>
      </c>
      <c r="G113" s="92"/>
      <c r="H113" s="92"/>
      <c r="I113" s="92">
        <v>4</v>
      </c>
      <c r="J113" s="8">
        <f t="shared" si="10"/>
        <v>4</v>
      </c>
      <c r="K113" s="9">
        <f t="shared" si="11"/>
        <v>93.88</v>
      </c>
      <c r="L113" s="9"/>
      <c r="M113" s="9"/>
      <c r="N113" s="9"/>
      <c r="O113" s="9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 customHeight="1" x14ac:dyDescent="0.25">
      <c r="A114" s="10"/>
      <c r="B114" s="20" t="s">
        <v>762</v>
      </c>
      <c r="C114" s="100">
        <v>0.98</v>
      </c>
      <c r="D114" s="17">
        <v>1</v>
      </c>
      <c r="E114" s="17">
        <v>1.2</v>
      </c>
      <c r="F114" s="86" t="s">
        <v>664</v>
      </c>
      <c r="G114" s="92"/>
      <c r="H114" s="92"/>
      <c r="I114" s="92"/>
      <c r="J114" s="8">
        <f t="shared" si="10"/>
        <v>0</v>
      </c>
      <c r="K114" s="9">
        <f t="shared" si="11"/>
        <v>0</v>
      </c>
      <c r="L114" s="9"/>
      <c r="M114" s="9"/>
      <c r="N114" s="9"/>
      <c r="O114" s="9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 customHeight="1" x14ac:dyDescent="0.25">
      <c r="A115" s="35" t="s">
        <v>63</v>
      </c>
      <c r="B115" s="20" t="s">
        <v>763</v>
      </c>
      <c r="C115" s="100">
        <v>23.47</v>
      </c>
      <c r="D115" s="17">
        <v>25</v>
      </c>
      <c r="E115" s="17">
        <v>26</v>
      </c>
      <c r="F115" s="86" t="s">
        <v>664</v>
      </c>
      <c r="G115" s="92"/>
      <c r="H115" s="92"/>
      <c r="I115" s="92"/>
      <c r="J115" s="8">
        <f t="shared" si="10"/>
        <v>0</v>
      </c>
      <c r="K115" s="9">
        <f t="shared" si="11"/>
        <v>0</v>
      </c>
      <c r="L115" s="9"/>
      <c r="M115" s="9"/>
      <c r="N115" s="9"/>
      <c r="O115" s="9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 customHeight="1" x14ac:dyDescent="0.25">
      <c r="A116" s="35"/>
      <c r="B116" s="20" t="s">
        <v>764</v>
      </c>
      <c r="C116" s="100">
        <v>0.98</v>
      </c>
      <c r="D116" s="17">
        <v>1</v>
      </c>
      <c r="E116" s="17">
        <v>1.2</v>
      </c>
      <c r="F116" s="86" t="s">
        <v>664</v>
      </c>
      <c r="G116" s="92"/>
      <c r="H116" s="92"/>
      <c r="I116" s="92">
        <v>2</v>
      </c>
      <c r="J116" s="8">
        <f t="shared" si="10"/>
        <v>2</v>
      </c>
      <c r="K116" s="9">
        <f t="shared" si="11"/>
        <v>1.96</v>
      </c>
      <c r="L116" s="9"/>
      <c r="M116" s="9"/>
      <c r="N116" s="9"/>
      <c r="O116" s="9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 customHeight="1" x14ac:dyDescent="0.25">
      <c r="A117" s="35">
        <v>500</v>
      </c>
      <c r="B117" s="20" t="s">
        <v>765</v>
      </c>
      <c r="C117" s="37">
        <v>1.24</v>
      </c>
      <c r="D117" s="22">
        <v>1.5</v>
      </c>
      <c r="E117" s="22">
        <v>1.8</v>
      </c>
      <c r="F117" s="86" t="s">
        <v>664</v>
      </c>
      <c r="G117" s="92"/>
      <c r="H117" s="92"/>
      <c r="I117" s="92"/>
      <c r="J117" s="8">
        <f t="shared" si="10"/>
        <v>0</v>
      </c>
      <c r="K117" s="9">
        <f t="shared" si="11"/>
        <v>0</v>
      </c>
      <c r="L117" s="9"/>
      <c r="M117" s="9"/>
      <c r="N117" s="9"/>
      <c r="O117" s="9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 customHeight="1" x14ac:dyDescent="0.25">
      <c r="A118" s="35">
        <v>500</v>
      </c>
      <c r="B118" s="20" t="s">
        <v>766</v>
      </c>
      <c r="C118" s="37">
        <v>29.85</v>
      </c>
      <c r="D118" s="17">
        <v>33</v>
      </c>
      <c r="E118" s="17">
        <v>36</v>
      </c>
      <c r="F118" s="86" t="s">
        <v>664</v>
      </c>
      <c r="G118" s="92"/>
      <c r="H118" s="92"/>
      <c r="I118" s="92"/>
      <c r="J118" s="8">
        <f t="shared" si="10"/>
        <v>0</v>
      </c>
      <c r="K118" s="9">
        <f t="shared" si="11"/>
        <v>0</v>
      </c>
      <c r="L118" s="9"/>
      <c r="M118" s="9"/>
      <c r="N118" s="9"/>
      <c r="O118" s="9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 customHeight="1" x14ac:dyDescent="0.25">
      <c r="A119" s="35"/>
      <c r="B119" s="20"/>
      <c r="C119" s="14"/>
      <c r="D119" s="5"/>
      <c r="E119" s="5"/>
      <c r="F119" s="86"/>
      <c r="G119" s="92"/>
      <c r="H119" s="92"/>
      <c r="I119" s="92"/>
      <c r="J119" s="93"/>
      <c r="K119" s="93"/>
      <c r="L119" s="9"/>
      <c r="M119" s="9"/>
      <c r="N119" s="9"/>
      <c r="O119" s="9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 customHeight="1" x14ac:dyDescent="0.25">
      <c r="A120" s="35">
        <v>330</v>
      </c>
      <c r="B120" s="20" t="s">
        <v>767</v>
      </c>
      <c r="C120" s="14"/>
      <c r="D120" s="5">
        <v>27</v>
      </c>
      <c r="E120" s="5">
        <v>30</v>
      </c>
      <c r="F120" s="86" t="s">
        <v>693</v>
      </c>
      <c r="G120" s="92"/>
      <c r="H120" s="92"/>
      <c r="I120" s="92">
        <v>2</v>
      </c>
      <c r="J120" s="8">
        <f t="shared" ref="J120:J122" si="12">SUM(G120:I120)</f>
        <v>2</v>
      </c>
      <c r="K120" s="9">
        <f t="shared" ref="K120:K122" si="13">SUM(C120*J120)</f>
        <v>0</v>
      </c>
      <c r="L120" s="9"/>
      <c r="M120" s="9"/>
      <c r="N120" s="9"/>
      <c r="O120" s="9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 customHeight="1" x14ac:dyDescent="0.25">
      <c r="A121" s="35">
        <v>330</v>
      </c>
      <c r="B121" s="20" t="s">
        <v>768</v>
      </c>
      <c r="C121" s="14">
        <v>6.6</v>
      </c>
      <c r="D121" s="5">
        <v>7.5</v>
      </c>
      <c r="E121" s="5">
        <v>7.5</v>
      </c>
      <c r="F121" s="86" t="s">
        <v>693</v>
      </c>
      <c r="G121" s="92"/>
      <c r="H121" s="92"/>
      <c r="I121" s="92"/>
      <c r="J121" s="8">
        <f t="shared" si="12"/>
        <v>0</v>
      </c>
      <c r="K121" s="9">
        <f t="shared" si="13"/>
        <v>0</v>
      </c>
      <c r="L121" s="9"/>
      <c r="M121" s="9"/>
      <c r="N121" s="9"/>
      <c r="O121" s="9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 customHeight="1" x14ac:dyDescent="0.25">
      <c r="A122" s="35">
        <v>330</v>
      </c>
      <c r="B122" s="20" t="s">
        <v>769</v>
      </c>
      <c r="C122" s="14">
        <v>1.1000000000000001</v>
      </c>
      <c r="D122" s="5">
        <v>1.25</v>
      </c>
      <c r="E122" s="5">
        <v>1.4</v>
      </c>
      <c r="F122" s="86" t="s">
        <v>693</v>
      </c>
      <c r="G122" s="92"/>
      <c r="H122" s="92"/>
      <c r="I122" s="92"/>
      <c r="J122" s="8">
        <f t="shared" si="12"/>
        <v>0</v>
      </c>
      <c r="K122" s="9">
        <f t="shared" si="13"/>
        <v>0</v>
      </c>
      <c r="L122" s="9"/>
      <c r="M122" s="9"/>
      <c r="N122" s="9"/>
      <c r="O122" s="9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 customHeight="1" x14ac:dyDescent="0.25">
      <c r="A123" s="35"/>
      <c r="B123" s="20"/>
      <c r="C123" s="14"/>
      <c r="D123" s="5"/>
      <c r="E123" s="5"/>
      <c r="F123" s="86"/>
      <c r="G123" s="92"/>
      <c r="H123" s="92"/>
      <c r="I123" s="92"/>
      <c r="J123" s="93"/>
      <c r="K123" s="93"/>
      <c r="L123" s="9"/>
      <c r="M123" s="9"/>
      <c r="N123" s="9"/>
      <c r="O123" s="9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 customHeight="1" x14ac:dyDescent="0.25">
      <c r="A124" s="35">
        <v>380</v>
      </c>
      <c r="B124" s="20" t="s">
        <v>770</v>
      </c>
      <c r="C124" s="14"/>
      <c r="D124" s="5">
        <v>1.9500000000000002</v>
      </c>
      <c r="E124" s="5">
        <v>1.9500000000000002</v>
      </c>
      <c r="F124" s="86" t="s">
        <v>693</v>
      </c>
      <c r="G124" s="92"/>
      <c r="H124" s="92"/>
      <c r="I124" s="92"/>
      <c r="J124" s="8">
        <f t="shared" ref="J124:J132" si="14">SUM(G124:I124)</f>
        <v>0</v>
      </c>
      <c r="K124" s="9">
        <f t="shared" ref="K124:K132" si="15">SUM(C124*J124)</f>
        <v>0</v>
      </c>
      <c r="L124" s="9"/>
      <c r="M124" s="9"/>
      <c r="N124" s="9"/>
      <c r="O124" s="9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 customHeight="1" x14ac:dyDescent="0.25">
      <c r="A125" s="35">
        <v>380</v>
      </c>
      <c r="B125" s="20" t="s">
        <v>771</v>
      </c>
      <c r="C125" s="14">
        <v>41</v>
      </c>
      <c r="D125" s="5">
        <v>44</v>
      </c>
      <c r="E125" s="5">
        <v>45</v>
      </c>
      <c r="F125" s="86" t="s">
        <v>693</v>
      </c>
      <c r="G125" s="92"/>
      <c r="H125" s="92"/>
      <c r="I125" s="92"/>
      <c r="J125" s="8">
        <f t="shared" si="14"/>
        <v>0</v>
      </c>
      <c r="K125" s="9">
        <f t="shared" si="15"/>
        <v>0</v>
      </c>
      <c r="L125" s="9"/>
      <c r="M125" s="9"/>
      <c r="N125" s="9"/>
      <c r="O125" s="9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 customHeight="1" x14ac:dyDescent="0.25">
      <c r="A126" s="35">
        <v>380</v>
      </c>
      <c r="B126" s="20" t="s">
        <v>772</v>
      </c>
      <c r="C126" s="14"/>
      <c r="D126" s="5"/>
      <c r="E126" s="5"/>
      <c r="F126" s="86" t="s">
        <v>693</v>
      </c>
      <c r="G126" s="92"/>
      <c r="H126" s="92"/>
      <c r="I126" s="92"/>
      <c r="J126" s="8">
        <f t="shared" si="14"/>
        <v>0</v>
      </c>
      <c r="K126" s="9">
        <f t="shared" si="15"/>
        <v>0</v>
      </c>
      <c r="L126" s="9"/>
      <c r="M126" s="9"/>
      <c r="N126" s="9"/>
      <c r="O126" s="9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 customHeight="1" x14ac:dyDescent="0.25">
      <c r="A127" s="35">
        <v>500</v>
      </c>
      <c r="B127" s="20" t="s">
        <v>773</v>
      </c>
      <c r="C127" s="14"/>
      <c r="D127" s="5"/>
      <c r="E127" s="5"/>
      <c r="F127" s="86" t="s">
        <v>693</v>
      </c>
      <c r="G127" s="92"/>
      <c r="H127" s="92"/>
      <c r="I127" s="92"/>
      <c r="J127" s="8">
        <f t="shared" si="14"/>
        <v>0</v>
      </c>
      <c r="K127" s="9">
        <f t="shared" si="15"/>
        <v>0</v>
      </c>
      <c r="L127" s="9"/>
      <c r="M127" s="9"/>
      <c r="N127" s="9"/>
      <c r="O127" s="9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 customHeight="1" x14ac:dyDescent="0.25">
      <c r="A128" s="35" t="s">
        <v>662</v>
      </c>
      <c r="B128" s="20" t="s">
        <v>774</v>
      </c>
      <c r="C128" s="14">
        <v>1.42</v>
      </c>
      <c r="D128" s="5">
        <v>1.9500000000000002</v>
      </c>
      <c r="E128" s="5">
        <v>1.9500000000000002</v>
      </c>
      <c r="F128" s="86" t="s">
        <v>693</v>
      </c>
      <c r="G128" s="92"/>
      <c r="H128" s="92"/>
      <c r="I128" s="92"/>
      <c r="J128" s="8">
        <f t="shared" si="14"/>
        <v>0</v>
      </c>
      <c r="K128" s="9">
        <f t="shared" si="15"/>
        <v>0</v>
      </c>
      <c r="L128" s="9"/>
      <c r="M128" s="9"/>
      <c r="N128" s="9"/>
      <c r="O128" s="9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 customHeight="1" x14ac:dyDescent="0.25">
      <c r="A129" s="35">
        <v>330</v>
      </c>
      <c r="B129" s="20" t="s">
        <v>774</v>
      </c>
      <c r="C129" s="14"/>
      <c r="D129" s="10">
        <v>0.7</v>
      </c>
      <c r="E129" s="10">
        <v>0.85</v>
      </c>
      <c r="F129" s="86" t="s">
        <v>693</v>
      </c>
      <c r="G129" s="92"/>
      <c r="H129" s="92"/>
      <c r="I129" s="92"/>
      <c r="J129" s="8">
        <f t="shared" si="14"/>
        <v>0</v>
      </c>
      <c r="K129" s="9">
        <f t="shared" si="15"/>
        <v>0</v>
      </c>
      <c r="L129" s="9"/>
      <c r="M129" s="9"/>
      <c r="N129" s="9"/>
      <c r="O129" s="9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 customHeight="1" x14ac:dyDescent="0.25">
      <c r="A130" s="35">
        <v>330</v>
      </c>
      <c r="B130" s="20" t="s">
        <v>775</v>
      </c>
      <c r="C130" s="14"/>
      <c r="D130" s="5">
        <v>16</v>
      </c>
      <c r="E130" s="5">
        <v>18</v>
      </c>
      <c r="F130" s="86" t="s">
        <v>693</v>
      </c>
      <c r="G130" s="92"/>
      <c r="H130" s="92"/>
      <c r="I130" s="92"/>
      <c r="J130" s="8">
        <f t="shared" si="14"/>
        <v>0</v>
      </c>
      <c r="K130" s="9">
        <f t="shared" si="15"/>
        <v>0</v>
      </c>
      <c r="L130" s="9"/>
      <c r="M130" s="9"/>
      <c r="N130" s="9"/>
      <c r="O130" s="9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 customHeight="1" x14ac:dyDescent="0.25">
      <c r="A131" s="35">
        <v>330</v>
      </c>
      <c r="B131" s="20" t="s">
        <v>776</v>
      </c>
      <c r="C131" s="14"/>
      <c r="D131" s="10">
        <v>0.7</v>
      </c>
      <c r="E131" s="10">
        <v>0.85</v>
      </c>
      <c r="F131" s="86" t="s">
        <v>693</v>
      </c>
      <c r="G131" s="92"/>
      <c r="H131" s="92"/>
      <c r="I131" s="92"/>
      <c r="J131" s="8">
        <f t="shared" si="14"/>
        <v>0</v>
      </c>
      <c r="K131" s="9">
        <f t="shared" si="15"/>
        <v>0</v>
      </c>
      <c r="L131" s="9"/>
      <c r="M131" s="9"/>
      <c r="N131" s="9"/>
      <c r="O131" s="9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 customHeight="1" x14ac:dyDescent="0.25">
      <c r="A132" s="35">
        <v>330</v>
      </c>
      <c r="B132" s="20" t="s">
        <v>777</v>
      </c>
      <c r="C132" s="14">
        <v>17.420000000000002</v>
      </c>
      <c r="D132" s="5">
        <v>19.5</v>
      </c>
      <c r="E132" s="5">
        <v>200</v>
      </c>
      <c r="F132" s="86"/>
      <c r="G132" s="92"/>
      <c r="H132" s="92"/>
      <c r="I132" s="92"/>
      <c r="J132" s="8">
        <f t="shared" si="14"/>
        <v>0</v>
      </c>
      <c r="K132" s="9">
        <f t="shared" si="15"/>
        <v>0</v>
      </c>
      <c r="L132" s="9"/>
      <c r="M132" s="9"/>
      <c r="N132" s="9"/>
      <c r="O132" s="9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 customHeight="1" x14ac:dyDescent="0.25">
      <c r="A133" s="20"/>
      <c r="B133" s="20"/>
      <c r="C133" s="9"/>
      <c r="D133" s="5"/>
      <c r="E133" s="5"/>
      <c r="F133" s="86"/>
      <c r="G133" s="92"/>
      <c r="H133" s="92"/>
      <c r="I133" s="92"/>
      <c r="J133" s="93"/>
      <c r="K133" s="93"/>
      <c r="L133" s="9"/>
      <c r="M133" s="9"/>
      <c r="N133" s="9"/>
      <c r="O133" s="9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 customHeight="1" x14ac:dyDescent="0.25">
      <c r="A134" s="51"/>
      <c r="B134" s="99" t="s">
        <v>778</v>
      </c>
      <c r="C134" s="14"/>
      <c r="D134" s="5"/>
      <c r="E134" s="5"/>
      <c r="F134" s="86"/>
      <c r="G134" s="92"/>
      <c r="H134" s="92"/>
      <c r="I134" s="92"/>
      <c r="J134" s="93"/>
      <c r="K134" s="93"/>
      <c r="L134" s="9"/>
      <c r="M134" s="9"/>
      <c r="N134" s="9"/>
      <c r="O134" s="9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35"/>
      <c r="B135" s="20"/>
      <c r="C135" s="14"/>
      <c r="D135" s="5"/>
      <c r="E135" s="5"/>
      <c r="F135" s="86"/>
      <c r="G135" s="92"/>
      <c r="H135" s="92"/>
      <c r="I135" s="92"/>
      <c r="J135" s="93"/>
      <c r="K135" s="93"/>
      <c r="L135" s="9"/>
      <c r="M135" s="9"/>
      <c r="N135" s="9"/>
      <c r="O135" s="9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 customHeight="1" x14ac:dyDescent="0.25">
      <c r="A136" s="20">
        <v>500</v>
      </c>
      <c r="B136" s="20" t="s">
        <v>779</v>
      </c>
      <c r="C136" s="9">
        <v>6.71</v>
      </c>
      <c r="D136" s="5">
        <v>8.5</v>
      </c>
      <c r="E136" s="5">
        <v>8.9499999999999993</v>
      </c>
      <c r="F136" s="86" t="s">
        <v>664</v>
      </c>
      <c r="G136" s="92"/>
      <c r="H136" s="92"/>
      <c r="I136" s="92"/>
      <c r="J136" s="8">
        <f t="shared" ref="J136:J146" si="16">SUM(G136:I136)</f>
        <v>0</v>
      </c>
      <c r="K136" s="9">
        <f t="shared" ref="K136:K146" si="17">SUM(C136*J136)</f>
        <v>0</v>
      </c>
      <c r="L136" s="9"/>
      <c r="M136" s="9"/>
      <c r="N136" s="9"/>
      <c r="O136" s="9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 customHeight="1" x14ac:dyDescent="0.25">
      <c r="A137" s="20">
        <v>500</v>
      </c>
      <c r="B137" s="20" t="s">
        <v>780</v>
      </c>
      <c r="C137" s="9">
        <v>0.28000000000000003</v>
      </c>
      <c r="D137" s="5">
        <v>0.5</v>
      </c>
      <c r="E137" s="5">
        <v>70</v>
      </c>
      <c r="F137" s="86" t="s">
        <v>664</v>
      </c>
      <c r="G137" s="92"/>
      <c r="H137" s="92"/>
      <c r="I137" s="92"/>
      <c r="J137" s="8">
        <f t="shared" si="16"/>
        <v>0</v>
      </c>
      <c r="K137" s="9">
        <f t="shared" si="17"/>
        <v>0</v>
      </c>
      <c r="L137" s="9"/>
      <c r="M137" s="9"/>
      <c r="N137" s="9"/>
      <c r="O137" s="9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 customHeight="1" x14ac:dyDescent="0.25">
      <c r="A138" s="20">
        <v>1500</v>
      </c>
      <c r="B138" s="20" t="s">
        <v>781</v>
      </c>
      <c r="C138" s="9">
        <v>2.7</v>
      </c>
      <c r="D138" s="5">
        <v>3.7</v>
      </c>
      <c r="E138" s="5">
        <v>3.7</v>
      </c>
      <c r="F138" s="86" t="s">
        <v>664</v>
      </c>
      <c r="G138" s="92"/>
      <c r="H138" s="92"/>
      <c r="I138" s="92">
        <v>5</v>
      </c>
      <c r="J138" s="8">
        <f t="shared" si="16"/>
        <v>5</v>
      </c>
      <c r="K138" s="9">
        <f t="shared" si="17"/>
        <v>13.5</v>
      </c>
      <c r="L138" s="9"/>
      <c r="M138" s="9"/>
      <c r="N138" s="9"/>
      <c r="O138" s="9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 customHeight="1" x14ac:dyDescent="0.25">
      <c r="A139" s="20">
        <v>1500</v>
      </c>
      <c r="B139" s="20" t="s">
        <v>782</v>
      </c>
      <c r="C139" s="9">
        <v>0.45</v>
      </c>
      <c r="D139" s="5">
        <v>1</v>
      </c>
      <c r="E139" s="5">
        <v>1</v>
      </c>
      <c r="F139" s="86" t="s">
        <v>664</v>
      </c>
      <c r="G139" s="92"/>
      <c r="H139" s="92"/>
      <c r="I139" s="92"/>
      <c r="J139" s="8">
        <f t="shared" si="16"/>
        <v>0</v>
      </c>
      <c r="K139" s="9">
        <f t="shared" si="17"/>
        <v>0</v>
      </c>
      <c r="L139" s="9"/>
      <c r="M139" s="9"/>
      <c r="N139" s="9"/>
      <c r="O139" s="9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 customHeight="1" x14ac:dyDescent="0.25">
      <c r="A140" s="20">
        <v>330</v>
      </c>
      <c r="B140" s="20" t="s">
        <v>783</v>
      </c>
      <c r="C140" s="9">
        <v>7.31</v>
      </c>
      <c r="D140" s="5">
        <v>8.6999999999999993</v>
      </c>
      <c r="E140" s="5">
        <v>8.6999999999999993</v>
      </c>
      <c r="F140" s="86" t="s">
        <v>784</v>
      </c>
      <c r="G140" s="92"/>
      <c r="H140" s="92"/>
      <c r="I140" s="92">
        <v>7</v>
      </c>
      <c r="J140" s="8">
        <f t="shared" si="16"/>
        <v>7</v>
      </c>
      <c r="K140" s="9">
        <f t="shared" si="17"/>
        <v>51.169999999999995</v>
      </c>
      <c r="L140" s="9"/>
      <c r="M140" s="9"/>
      <c r="N140" s="9"/>
      <c r="O140" s="9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 customHeight="1" x14ac:dyDescent="0.25">
      <c r="A141" s="20">
        <v>500</v>
      </c>
      <c r="B141" s="20" t="s">
        <v>785</v>
      </c>
      <c r="C141" s="9">
        <v>6.57</v>
      </c>
      <c r="D141" s="5">
        <v>8.6999999999999993</v>
      </c>
      <c r="E141" s="5">
        <v>8.6999999999999993</v>
      </c>
      <c r="F141" s="86" t="s">
        <v>784</v>
      </c>
      <c r="G141" s="92"/>
      <c r="H141" s="92"/>
      <c r="I141" s="92">
        <v>2</v>
      </c>
      <c r="J141" s="8">
        <f t="shared" si="16"/>
        <v>2</v>
      </c>
      <c r="K141" s="9">
        <f t="shared" si="17"/>
        <v>13.14</v>
      </c>
      <c r="L141" s="9"/>
      <c r="M141" s="9"/>
      <c r="N141" s="9"/>
      <c r="O141" s="9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 customHeight="1" x14ac:dyDescent="0.25">
      <c r="A142" s="20">
        <v>1500</v>
      </c>
      <c r="B142" s="20" t="s">
        <v>786</v>
      </c>
      <c r="C142" s="9">
        <v>4.2</v>
      </c>
      <c r="D142" s="5">
        <v>5</v>
      </c>
      <c r="E142" s="5">
        <v>5</v>
      </c>
      <c r="F142" s="86" t="s">
        <v>784</v>
      </c>
      <c r="G142" s="92"/>
      <c r="H142" s="92"/>
      <c r="I142" s="92">
        <v>3</v>
      </c>
      <c r="J142" s="8">
        <f t="shared" si="16"/>
        <v>3</v>
      </c>
      <c r="K142" s="9">
        <f t="shared" si="17"/>
        <v>12.600000000000001</v>
      </c>
      <c r="L142" s="9"/>
      <c r="M142" s="9"/>
      <c r="N142" s="9"/>
      <c r="O142" s="9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 customHeight="1" x14ac:dyDescent="0.25">
      <c r="A143" s="20">
        <v>1500</v>
      </c>
      <c r="B143" s="20" t="s">
        <v>787</v>
      </c>
      <c r="C143" s="9">
        <v>0.7</v>
      </c>
      <c r="D143" s="5">
        <v>1</v>
      </c>
      <c r="E143" s="5">
        <v>1</v>
      </c>
      <c r="F143" s="86" t="s">
        <v>784</v>
      </c>
      <c r="G143" s="92"/>
      <c r="H143" s="92"/>
      <c r="I143" s="92"/>
      <c r="J143" s="8">
        <f t="shared" si="16"/>
        <v>0</v>
      </c>
      <c r="K143" s="9">
        <f t="shared" si="17"/>
        <v>0</v>
      </c>
      <c r="L143" s="9"/>
      <c r="M143" s="9"/>
      <c r="N143" s="9"/>
      <c r="O143" s="9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 customHeight="1" x14ac:dyDescent="0.25">
      <c r="A144" s="20">
        <v>500</v>
      </c>
      <c r="B144" s="20" t="s">
        <v>788</v>
      </c>
      <c r="C144" s="9">
        <v>7.83</v>
      </c>
      <c r="D144" s="5">
        <v>12</v>
      </c>
      <c r="E144" s="5">
        <v>12</v>
      </c>
      <c r="F144" s="86" t="s">
        <v>511</v>
      </c>
      <c r="G144" s="92"/>
      <c r="H144" s="92"/>
      <c r="I144" s="92">
        <v>3</v>
      </c>
      <c r="J144" s="8">
        <f t="shared" si="16"/>
        <v>3</v>
      </c>
      <c r="K144" s="9">
        <f t="shared" si="17"/>
        <v>23.490000000000002</v>
      </c>
      <c r="L144" s="77"/>
      <c r="M144" s="77"/>
      <c r="N144" s="77"/>
      <c r="O144" s="77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</row>
    <row r="145" spans="1:27" ht="12.75" customHeight="1" x14ac:dyDescent="0.25">
      <c r="A145" s="20">
        <v>500</v>
      </c>
      <c r="B145" s="20" t="s">
        <v>789</v>
      </c>
      <c r="C145" s="9">
        <v>1.95</v>
      </c>
      <c r="D145" s="5">
        <v>3.25</v>
      </c>
      <c r="E145" s="5">
        <v>3.5</v>
      </c>
      <c r="F145" s="86" t="s">
        <v>511</v>
      </c>
      <c r="G145" s="92"/>
      <c r="H145" s="92"/>
      <c r="I145" s="92">
        <v>3</v>
      </c>
      <c r="J145" s="8">
        <f t="shared" si="16"/>
        <v>3</v>
      </c>
      <c r="K145" s="9">
        <f t="shared" si="17"/>
        <v>5.85</v>
      </c>
      <c r="L145" s="77"/>
      <c r="M145" s="77"/>
      <c r="N145" s="77"/>
      <c r="O145" s="77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</row>
    <row r="146" spans="1:27" ht="12.75" customHeight="1" x14ac:dyDescent="0.25">
      <c r="A146" s="20">
        <v>500</v>
      </c>
      <c r="B146" s="20" t="s">
        <v>790</v>
      </c>
      <c r="C146" s="9">
        <v>0.32</v>
      </c>
      <c r="D146" s="5">
        <v>0.55000000000000004</v>
      </c>
      <c r="E146" s="5">
        <v>0.7</v>
      </c>
      <c r="F146" s="86" t="s">
        <v>511</v>
      </c>
      <c r="G146" s="92"/>
      <c r="H146" s="92"/>
      <c r="I146" s="92" t="s">
        <v>63</v>
      </c>
      <c r="J146" s="8">
        <f t="shared" si="16"/>
        <v>0</v>
      </c>
      <c r="K146" s="9">
        <f t="shared" si="17"/>
        <v>0</v>
      </c>
      <c r="L146" s="77"/>
      <c r="M146" s="77"/>
      <c r="N146" s="77"/>
      <c r="O146" s="77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</row>
    <row r="147" spans="1:27" ht="12.75" customHeight="1" x14ac:dyDescent="0.25">
      <c r="A147" s="72"/>
      <c r="B147" s="72"/>
      <c r="C147" s="101"/>
      <c r="D147" s="73"/>
      <c r="E147" s="73"/>
      <c r="F147" s="86"/>
      <c r="G147" s="92"/>
      <c r="H147" s="92"/>
      <c r="I147" s="92"/>
      <c r="J147" s="93"/>
      <c r="K147" s="93"/>
      <c r="L147" s="77"/>
      <c r="M147" s="77"/>
      <c r="N147" s="77"/>
      <c r="O147" s="77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</row>
    <row r="148" spans="1:27" ht="12.75" customHeight="1" x14ac:dyDescent="0.25">
      <c r="A148" s="72"/>
      <c r="B148" s="72"/>
      <c r="C148" s="101"/>
      <c r="D148" s="73"/>
      <c r="E148" s="73"/>
      <c r="F148" s="86"/>
      <c r="G148" s="92"/>
      <c r="H148" s="92"/>
      <c r="I148" s="92"/>
      <c r="J148" s="93"/>
      <c r="K148" s="93"/>
      <c r="L148" s="77"/>
      <c r="M148" s="77"/>
      <c r="N148" s="77"/>
      <c r="O148" s="77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</row>
    <row r="149" spans="1:27" ht="12.75" customHeight="1" x14ac:dyDescent="0.25">
      <c r="A149" s="72"/>
      <c r="B149" s="72"/>
      <c r="C149" s="101"/>
      <c r="D149" s="73"/>
      <c r="E149" s="73"/>
      <c r="F149" s="86"/>
      <c r="G149" s="92"/>
      <c r="H149" s="92"/>
      <c r="I149" s="92"/>
      <c r="J149" s="93"/>
      <c r="K149" s="93"/>
      <c r="L149" s="77"/>
      <c r="M149" s="77"/>
      <c r="N149" s="77"/>
      <c r="O149" s="77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</row>
    <row r="150" spans="1:27" ht="12.75" customHeight="1" x14ac:dyDescent="0.25">
      <c r="A150" s="72"/>
      <c r="B150" s="72"/>
      <c r="C150" s="101"/>
      <c r="D150" s="73"/>
      <c r="E150" s="73"/>
      <c r="F150" s="86"/>
      <c r="G150" s="92"/>
      <c r="H150" s="92"/>
      <c r="I150" s="92"/>
      <c r="J150" s="93"/>
      <c r="K150" s="93"/>
      <c r="L150" s="77"/>
      <c r="M150" s="77"/>
      <c r="N150" s="77"/>
      <c r="O150" s="77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</row>
    <row r="151" spans="1:27" ht="12.75" customHeight="1" x14ac:dyDescent="0.25">
      <c r="A151" s="72"/>
      <c r="B151" s="72"/>
      <c r="C151" s="101"/>
      <c r="D151" s="73"/>
      <c r="E151" s="73"/>
      <c r="F151" s="86"/>
      <c r="G151" s="92"/>
      <c r="H151" s="92"/>
      <c r="I151" s="92"/>
      <c r="J151" s="93"/>
      <c r="K151" s="93"/>
      <c r="L151" s="77"/>
      <c r="M151" s="77"/>
      <c r="N151" s="77"/>
      <c r="O151" s="77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</row>
    <row r="152" spans="1:27" ht="12.75" customHeight="1" x14ac:dyDescent="0.25">
      <c r="A152" s="72"/>
      <c r="B152" s="72"/>
      <c r="C152" s="101"/>
      <c r="D152" s="73"/>
      <c r="E152" s="73"/>
      <c r="F152" s="86"/>
      <c r="G152" s="92"/>
      <c r="H152" s="92"/>
      <c r="I152" s="92"/>
      <c r="J152" s="93"/>
      <c r="K152" s="93"/>
      <c r="L152" s="77"/>
      <c r="M152" s="77"/>
      <c r="N152" s="77"/>
      <c r="O152" s="77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</row>
    <row r="153" spans="1:27" ht="12.75" customHeight="1" x14ac:dyDescent="0.25">
      <c r="A153" s="72"/>
      <c r="B153" s="72"/>
      <c r="C153" s="101"/>
      <c r="D153" s="73"/>
      <c r="E153" s="73"/>
      <c r="F153" s="86"/>
      <c r="G153" s="92"/>
      <c r="H153" s="92"/>
      <c r="I153" s="92"/>
      <c r="J153" s="93"/>
      <c r="K153" s="93"/>
      <c r="L153" s="77"/>
      <c r="M153" s="77"/>
      <c r="N153" s="77"/>
      <c r="O153" s="77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</row>
    <row r="154" spans="1:27" ht="12.75" customHeight="1" x14ac:dyDescent="0.25">
      <c r="A154" s="72"/>
      <c r="B154" s="72"/>
      <c r="C154" s="101"/>
      <c r="D154" s="73"/>
      <c r="E154" s="73"/>
      <c r="F154" s="86"/>
      <c r="G154" s="92"/>
      <c r="H154" s="92"/>
      <c r="I154" s="92"/>
      <c r="J154" s="93"/>
      <c r="K154" s="93"/>
      <c r="L154" s="77"/>
      <c r="M154" s="77"/>
      <c r="N154" s="77"/>
      <c r="O154" s="77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</row>
    <row r="155" spans="1:27" ht="12.75" customHeight="1" x14ac:dyDescent="0.25">
      <c r="A155" s="72"/>
      <c r="B155" s="72"/>
      <c r="C155" s="101"/>
      <c r="D155" s="73"/>
      <c r="E155" s="73"/>
      <c r="F155" s="86"/>
      <c r="G155" s="92"/>
      <c r="H155" s="92"/>
      <c r="I155" s="92"/>
      <c r="J155" s="93"/>
      <c r="K155" s="93"/>
      <c r="L155" s="77"/>
      <c r="M155" s="77"/>
      <c r="N155" s="77"/>
      <c r="O155" s="77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</row>
    <row r="156" spans="1:27" ht="12.75" customHeight="1" x14ac:dyDescent="0.25">
      <c r="A156" s="72"/>
      <c r="B156" s="72"/>
      <c r="C156" s="101"/>
      <c r="D156" s="73"/>
      <c r="E156" s="73"/>
      <c r="F156" s="86"/>
      <c r="G156" s="92"/>
      <c r="H156" s="92"/>
      <c r="I156" s="92"/>
      <c r="J156" s="93"/>
      <c r="K156" s="93"/>
      <c r="L156" s="77"/>
      <c r="M156" s="77"/>
      <c r="N156" s="77"/>
      <c r="O156" s="77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</row>
    <row r="157" spans="1:27" ht="12.75" customHeight="1" x14ac:dyDescent="0.25">
      <c r="A157" s="72"/>
      <c r="B157" s="72"/>
      <c r="C157" s="101"/>
      <c r="D157" s="73"/>
      <c r="E157" s="73"/>
      <c r="F157" s="86"/>
      <c r="G157" s="92"/>
      <c r="H157" s="92"/>
      <c r="I157" s="92"/>
      <c r="J157" s="93"/>
      <c r="K157" s="93"/>
      <c r="L157" s="77"/>
      <c r="M157" s="77"/>
      <c r="N157" s="77"/>
      <c r="O157" s="77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</row>
    <row r="158" spans="1:27" ht="12.75" customHeight="1" x14ac:dyDescent="0.25">
      <c r="A158" s="72"/>
      <c r="B158" s="72"/>
      <c r="C158" s="101"/>
      <c r="D158" s="73"/>
      <c r="E158" s="73"/>
      <c r="F158" s="86"/>
      <c r="G158" s="92"/>
      <c r="H158" s="92"/>
      <c r="I158" s="92"/>
      <c r="J158" s="93"/>
      <c r="K158" s="93"/>
      <c r="L158" s="77"/>
      <c r="M158" s="77"/>
      <c r="N158" s="77"/>
      <c r="O158" s="77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</row>
    <row r="159" spans="1:27" ht="12.75" customHeight="1" x14ac:dyDescent="0.25">
      <c r="A159" s="72"/>
      <c r="B159" s="72"/>
      <c r="C159" s="101"/>
      <c r="D159" s="73"/>
      <c r="E159" s="73"/>
      <c r="F159" s="86"/>
      <c r="G159" s="92"/>
      <c r="H159" s="92"/>
      <c r="I159" s="92"/>
      <c r="J159" s="93"/>
      <c r="K159" s="93"/>
      <c r="L159" s="77"/>
      <c r="M159" s="77"/>
      <c r="N159" s="77"/>
      <c r="O159" s="77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</row>
    <row r="160" spans="1:27" ht="12.75" customHeight="1" x14ac:dyDescent="0.25">
      <c r="A160" s="72"/>
      <c r="B160" s="72"/>
      <c r="C160" s="101"/>
      <c r="D160" s="73"/>
      <c r="E160" s="73"/>
      <c r="F160" s="86"/>
      <c r="G160" s="92"/>
      <c r="H160" s="92"/>
      <c r="I160" s="92"/>
      <c r="J160" s="93"/>
      <c r="K160" s="93"/>
      <c r="L160" s="77"/>
      <c r="M160" s="77"/>
      <c r="N160" s="77"/>
      <c r="O160" s="77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</row>
    <row r="161" spans="1:27" ht="12.75" customHeight="1" x14ac:dyDescent="0.25">
      <c r="A161" s="72"/>
      <c r="B161" s="72"/>
      <c r="C161" s="101"/>
      <c r="D161" s="73"/>
      <c r="E161" s="73"/>
      <c r="F161" s="86"/>
      <c r="G161" s="92"/>
      <c r="H161" s="92"/>
      <c r="I161" s="92"/>
      <c r="J161" s="93"/>
      <c r="K161" s="93"/>
      <c r="L161" s="77"/>
      <c r="M161" s="77"/>
      <c r="N161" s="77"/>
      <c r="O161" s="77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</row>
    <row r="162" spans="1:27" ht="12.75" customHeight="1" x14ac:dyDescent="0.25">
      <c r="A162" s="72"/>
      <c r="B162" s="72"/>
      <c r="C162" s="101"/>
      <c r="D162" s="73"/>
      <c r="E162" s="73"/>
      <c r="F162" s="86"/>
      <c r="G162" s="92"/>
      <c r="H162" s="92"/>
      <c r="I162" s="92"/>
      <c r="J162" s="93"/>
      <c r="K162" s="93"/>
      <c r="L162" s="77"/>
      <c r="M162" s="77"/>
      <c r="N162" s="77"/>
      <c r="O162" s="77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</row>
    <row r="163" spans="1:27" ht="12.75" customHeight="1" x14ac:dyDescent="0.25">
      <c r="A163" s="72"/>
      <c r="B163" s="72"/>
      <c r="C163" s="101"/>
      <c r="D163" s="73"/>
      <c r="E163" s="73"/>
      <c r="F163" s="86"/>
      <c r="G163" s="92"/>
      <c r="H163" s="92"/>
      <c r="I163" s="92"/>
      <c r="J163" s="93"/>
      <c r="K163" s="93"/>
      <c r="L163" s="77"/>
      <c r="M163" s="77"/>
      <c r="N163" s="77"/>
      <c r="O163" s="77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</row>
    <row r="164" spans="1:27" ht="12.75" customHeight="1" x14ac:dyDescent="0.25">
      <c r="A164" s="72"/>
      <c r="B164" s="72"/>
      <c r="C164" s="101"/>
      <c r="D164" s="73"/>
      <c r="E164" s="73"/>
      <c r="F164" s="86"/>
      <c r="G164" s="92"/>
      <c r="H164" s="92"/>
      <c r="I164" s="92"/>
      <c r="J164" s="93"/>
      <c r="K164" s="93"/>
      <c r="L164" s="77"/>
      <c r="M164" s="77"/>
      <c r="N164" s="77"/>
      <c r="O164" s="77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 spans="1:27" ht="12.75" customHeight="1" x14ac:dyDescent="0.25">
      <c r="A165" s="72"/>
      <c r="B165" s="72"/>
      <c r="C165" s="101"/>
      <c r="D165" s="73"/>
      <c r="E165" s="73"/>
      <c r="F165" s="86"/>
      <c r="G165" s="92"/>
      <c r="H165" s="92"/>
      <c r="I165" s="92"/>
      <c r="J165" s="93"/>
      <c r="K165" s="93"/>
      <c r="L165" s="77"/>
      <c r="M165" s="77"/>
      <c r="N165" s="77"/>
      <c r="O165" s="77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</row>
    <row r="166" spans="1:27" ht="12.75" customHeight="1" x14ac:dyDescent="0.25">
      <c r="A166" s="72"/>
      <c r="B166" s="72"/>
      <c r="C166" s="101"/>
      <c r="D166" s="73"/>
      <c r="E166" s="73"/>
      <c r="F166" s="86"/>
      <c r="G166" s="92"/>
      <c r="H166" s="92"/>
      <c r="I166" s="92"/>
      <c r="J166" s="93"/>
      <c r="K166" s="93"/>
      <c r="L166" s="77"/>
      <c r="M166" s="77"/>
      <c r="N166" s="77"/>
      <c r="O166" s="77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</row>
    <row r="167" spans="1:27" ht="12.75" customHeight="1" x14ac:dyDescent="0.25">
      <c r="A167" s="72"/>
      <c r="B167" s="72"/>
      <c r="C167" s="101"/>
      <c r="D167" s="73"/>
      <c r="E167" s="73"/>
      <c r="F167" s="86"/>
      <c r="G167" s="92"/>
      <c r="H167" s="92"/>
      <c r="I167" s="92"/>
      <c r="J167" s="93"/>
      <c r="K167" s="93"/>
      <c r="L167" s="77"/>
      <c r="M167" s="77"/>
      <c r="N167" s="77"/>
      <c r="O167" s="77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</row>
    <row r="168" spans="1:27" ht="12.75" customHeight="1" x14ac:dyDescent="0.25">
      <c r="A168" s="72"/>
      <c r="B168" s="72"/>
      <c r="C168" s="101"/>
      <c r="D168" s="73"/>
      <c r="E168" s="73"/>
      <c r="F168" s="86"/>
      <c r="G168" s="92"/>
      <c r="H168" s="92"/>
      <c r="I168" s="92"/>
      <c r="J168" s="93"/>
      <c r="K168" s="93"/>
      <c r="L168" s="77"/>
      <c r="M168" s="77"/>
      <c r="N168" s="77"/>
      <c r="O168" s="77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</row>
    <row r="169" spans="1:27" ht="12.75" customHeight="1" x14ac:dyDescent="0.25">
      <c r="A169" s="72"/>
      <c r="B169" s="72"/>
      <c r="C169" s="101"/>
      <c r="D169" s="73"/>
      <c r="E169" s="73"/>
      <c r="F169" s="86"/>
      <c r="G169" s="92"/>
      <c r="H169" s="92"/>
      <c r="I169" s="92"/>
      <c r="J169" s="93"/>
      <c r="K169" s="93"/>
      <c r="L169" s="77"/>
      <c r="M169" s="77"/>
      <c r="N169" s="77"/>
      <c r="O169" s="77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</row>
    <row r="170" spans="1:27" ht="12.75" customHeight="1" x14ac:dyDescent="0.25">
      <c r="A170" s="72"/>
      <c r="B170" s="72"/>
      <c r="C170" s="101"/>
      <c r="D170" s="73"/>
      <c r="E170" s="73"/>
      <c r="F170" s="86"/>
      <c r="G170" s="92"/>
      <c r="H170" s="92"/>
      <c r="I170" s="92"/>
      <c r="J170" s="93"/>
      <c r="K170" s="93"/>
      <c r="L170" s="77"/>
      <c r="M170" s="77"/>
      <c r="N170" s="77"/>
      <c r="O170" s="77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</row>
    <row r="171" spans="1:27" ht="12.75" customHeight="1" x14ac:dyDescent="0.25">
      <c r="A171" s="72"/>
      <c r="B171" s="72"/>
      <c r="C171" s="101"/>
      <c r="D171" s="73"/>
      <c r="E171" s="73"/>
      <c r="F171" s="86"/>
      <c r="G171" s="92"/>
      <c r="H171" s="92"/>
      <c r="I171" s="92"/>
      <c r="J171" s="93"/>
      <c r="K171" s="93"/>
      <c r="L171" s="77"/>
      <c r="M171" s="77"/>
      <c r="N171" s="77"/>
      <c r="O171" s="77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</row>
    <row r="172" spans="1:27" ht="12.75" customHeight="1" x14ac:dyDescent="0.25">
      <c r="A172" s="72"/>
      <c r="B172" s="72"/>
      <c r="C172" s="101"/>
      <c r="D172" s="73"/>
      <c r="E172" s="73"/>
      <c r="F172" s="86"/>
      <c r="G172" s="92"/>
      <c r="H172" s="92"/>
      <c r="I172" s="92"/>
      <c r="J172" s="93"/>
      <c r="K172" s="93"/>
      <c r="L172" s="77"/>
      <c r="M172" s="77"/>
      <c r="N172" s="77"/>
      <c r="O172" s="77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</row>
    <row r="173" spans="1:27" ht="12.75" customHeight="1" x14ac:dyDescent="0.25">
      <c r="A173" s="72"/>
      <c r="B173" s="72"/>
      <c r="C173" s="101"/>
      <c r="D173" s="73"/>
      <c r="E173" s="73"/>
      <c r="F173" s="86"/>
      <c r="G173" s="92"/>
      <c r="H173" s="92"/>
      <c r="I173" s="92"/>
      <c r="J173" s="93"/>
      <c r="K173" s="93"/>
      <c r="L173" s="77"/>
      <c r="M173" s="77"/>
      <c r="N173" s="77"/>
      <c r="O173" s="77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</row>
    <row r="174" spans="1:27" ht="12.75" customHeight="1" x14ac:dyDescent="0.25">
      <c r="A174" s="72"/>
      <c r="B174" s="72"/>
      <c r="C174" s="101"/>
      <c r="D174" s="73"/>
      <c r="E174" s="73"/>
      <c r="F174" s="86"/>
      <c r="G174" s="92"/>
      <c r="H174" s="92"/>
      <c r="I174" s="92"/>
      <c r="J174" s="93"/>
      <c r="K174" s="93"/>
      <c r="L174" s="77"/>
      <c r="M174" s="77"/>
      <c r="N174" s="77"/>
      <c r="O174" s="77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</row>
    <row r="175" spans="1:27" ht="12.75" customHeight="1" x14ac:dyDescent="0.25">
      <c r="A175" s="72"/>
      <c r="B175" s="72"/>
      <c r="C175" s="101"/>
      <c r="D175" s="73"/>
      <c r="E175" s="73"/>
      <c r="F175" s="86"/>
      <c r="G175" s="92"/>
      <c r="H175" s="92"/>
      <c r="I175" s="92"/>
      <c r="J175" s="93"/>
      <c r="K175" s="93"/>
      <c r="L175" s="77"/>
      <c r="M175" s="77"/>
      <c r="N175" s="77"/>
      <c r="O175" s="77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</row>
    <row r="176" spans="1:27" ht="12.75" customHeight="1" x14ac:dyDescent="0.25">
      <c r="A176" s="72"/>
      <c r="B176" s="72"/>
      <c r="C176" s="101"/>
      <c r="D176" s="73"/>
      <c r="E176" s="73"/>
      <c r="F176" s="86"/>
      <c r="G176" s="92"/>
      <c r="H176" s="92"/>
      <c r="I176" s="92"/>
      <c r="J176" s="93"/>
      <c r="K176" s="93"/>
      <c r="L176" s="77"/>
      <c r="M176" s="77"/>
      <c r="N176" s="77"/>
      <c r="O176" s="77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 spans="1:27" ht="12.75" customHeight="1" x14ac:dyDescent="0.25">
      <c r="A177" s="72"/>
      <c r="B177" s="72"/>
      <c r="C177" s="101"/>
      <c r="D177" s="73"/>
      <c r="E177" s="73"/>
      <c r="F177" s="86"/>
      <c r="G177" s="92"/>
      <c r="H177" s="92"/>
      <c r="I177" s="92"/>
      <c r="J177" s="93"/>
      <c r="K177" s="93"/>
      <c r="L177" s="77"/>
      <c r="M177" s="77"/>
      <c r="N177" s="77"/>
      <c r="O177" s="77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</row>
    <row r="178" spans="1:27" ht="12.75" customHeight="1" x14ac:dyDescent="0.25">
      <c r="A178" s="72"/>
      <c r="B178" s="72"/>
      <c r="C178" s="101"/>
      <c r="D178" s="73"/>
      <c r="E178" s="73"/>
      <c r="F178" s="86"/>
      <c r="G178" s="92"/>
      <c r="H178" s="92"/>
      <c r="I178" s="92"/>
      <c r="J178" s="93"/>
      <c r="K178" s="93"/>
      <c r="L178" s="77"/>
      <c r="M178" s="77"/>
      <c r="N178" s="77"/>
      <c r="O178" s="77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</row>
    <row r="179" spans="1:27" ht="12.75" customHeight="1" x14ac:dyDescent="0.25">
      <c r="A179" s="72"/>
      <c r="B179" s="72"/>
      <c r="C179" s="101"/>
      <c r="D179" s="73"/>
      <c r="E179" s="73"/>
      <c r="F179" s="86"/>
      <c r="G179" s="92"/>
      <c r="H179" s="92"/>
      <c r="I179" s="92"/>
      <c r="J179" s="93"/>
      <c r="K179" s="93"/>
      <c r="L179" s="77"/>
      <c r="M179" s="77"/>
      <c r="N179" s="77"/>
      <c r="O179" s="77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</row>
    <row r="180" spans="1:27" ht="12.75" customHeight="1" x14ac:dyDescent="0.25">
      <c r="A180" s="72"/>
      <c r="B180" s="72"/>
      <c r="C180" s="101"/>
      <c r="D180" s="73"/>
      <c r="E180" s="73"/>
      <c r="F180" s="86"/>
      <c r="G180" s="92"/>
      <c r="H180" s="92"/>
      <c r="I180" s="92"/>
      <c r="J180" s="93"/>
      <c r="K180" s="93"/>
      <c r="L180" s="77"/>
      <c r="M180" s="77"/>
      <c r="N180" s="77"/>
      <c r="O180" s="77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</row>
    <row r="181" spans="1:27" ht="12.75" customHeight="1" x14ac:dyDescent="0.25">
      <c r="A181" s="72"/>
      <c r="B181" s="72"/>
      <c r="C181" s="101"/>
      <c r="D181" s="73"/>
      <c r="E181" s="73"/>
      <c r="F181" s="86"/>
      <c r="G181" s="92"/>
      <c r="H181" s="92"/>
      <c r="I181" s="92"/>
      <c r="J181" s="93"/>
      <c r="K181" s="93"/>
      <c r="L181" s="77"/>
      <c r="M181" s="77"/>
      <c r="N181" s="77"/>
      <c r="O181" s="77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</row>
    <row r="182" spans="1:27" ht="12.75" customHeight="1" x14ac:dyDescent="0.25">
      <c r="A182" s="72"/>
      <c r="B182" s="72"/>
      <c r="C182" s="101"/>
      <c r="D182" s="73"/>
      <c r="E182" s="73"/>
      <c r="F182" s="86"/>
      <c r="G182" s="92"/>
      <c r="H182" s="92"/>
      <c r="I182" s="92"/>
      <c r="J182" s="93"/>
      <c r="K182" s="93"/>
      <c r="L182" s="77"/>
      <c r="M182" s="77"/>
      <c r="N182" s="77"/>
      <c r="O182" s="77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</row>
    <row r="183" spans="1:27" ht="12.75" customHeight="1" x14ac:dyDescent="0.25">
      <c r="A183" s="72"/>
      <c r="B183" s="72"/>
      <c r="C183" s="101"/>
      <c r="D183" s="73"/>
      <c r="E183" s="73"/>
      <c r="F183" s="86"/>
      <c r="G183" s="92"/>
      <c r="H183" s="92"/>
      <c r="I183" s="92"/>
      <c r="J183" s="93"/>
      <c r="K183" s="93"/>
      <c r="L183" s="77"/>
      <c r="M183" s="77"/>
      <c r="N183" s="77"/>
      <c r="O183" s="77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</row>
    <row r="184" spans="1:27" ht="12.75" customHeight="1" x14ac:dyDescent="0.25">
      <c r="A184" s="72"/>
      <c r="B184" s="72"/>
      <c r="C184" s="101"/>
      <c r="D184" s="73"/>
      <c r="E184" s="73"/>
      <c r="F184" s="86"/>
      <c r="G184" s="92"/>
      <c r="H184" s="92"/>
      <c r="I184" s="92"/>
      <c r="J184" s="93"/>
      <c r="K184" s="93"/>
      <c r="L184" s="77"/>
      <c r="M184" s="77"/>
      <c r="N184" s="77"/>
      <c r="O184" s="77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</row>
    <row r="185" spans="1:27" ht="12.75" customHeight="1" x14ac:dyDescent="0.25">
      <c r="A185" s="72"/>
      <c r="B185" s="72"/>
      <c r="C185" s="101"/>
      <c r="D185" s="73"/>
      <c r="E185" s="73"/>
      <c r="F185" s="86"/>
      <c r="G185" s="92"/>
      <c r="H185" s="92"/>
      <c r="I185" s="92"/>
      <c r="J185" s="93"/>
      <c r="K185" s="93"/>
      <c r="L185" s="77"/>
      <c r="M185" s="77"/>
      <c r="N185" s="77"/>
      <c r="O185" s="77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</row>
    <row r="186" spans="1:27" ht="12.75" customHeight="1" x14ac:dyDescent="0.25">
      <c r="A186" s="72"/>
      <c r="B186" s="72"/>
      <c r="C186" s="101"/>
      <c r="D186" s="73"/>
      <c r="E186" s="73"/>
      <c r="F186" s="86"/>
      <c r="G186" s="92"/>
      <c r="H186" s="92"/>
      <c r="I186" s="92"/>
      <c r="J186" s="93"/>
      <c r="K186" s="93"/>
      <c r="L186" s="77"/>
      <c r="M186" s="77"/>
      <c r="N186" s="77"/>
      <c r="O186" s="77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</row>
    <row r="187" spans="1:27" ht="12.75" customHeight="1" x14ac:dyDescent="0.25">
      <c r="A187" s="72"/>
      <c r="B187" s="72"/>
      <c r="C187" s="101"/>
      <c r="D187" s="73"/>
      <c r="E187" s="73"/>
      <c r="F187" s="86"/>
      <c r="G187" s="92"/>
      <c r="H187" s="92"/>
      <c r="I187" s="92"/>
      <c r="J187" s="93"/>
      <c r="K187" s="93"/>
      <c r="L187" s="77"/>
      <c r="M187" s="77"/>
      <c r="N187" s="77"/>
      <c r="O187" s="77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</row>
    <row r="188" spans="1:27" ht="12.75" customHeight="1" x14ac:dyDescent="0.25">
      <c r="A188" s="72"/>
      <c r="B188" s="72"/>
      <c r="C188" s="101"/>
      <c r="D188" s="73"/>
      <c r="E188" s="73"/>
      <c r="F188" s="86"/>
      <c r="G188" s="92"/>
      <c r="H188" s="92"/>
      <c r="I188" s="92"/>
      <c r="J188" s="93"/>
      <c r="K188" s="93"/>
      <c r="L188" s="77"/>
      <c r="M188" s="77"/>
      <c r="N188" s="77"/>
      <c r="O188" s="77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</row>
    <row r="189" spans="1:27" ht="12.75" customHeight="1" x14ac:dyDescent="0.25">
      <c r="A189" s="72"/>
      <c r="B189" s="72"/>
      <c r="C189" s="101"/>
      <c r="D189" s="73"/>
      <c r="E189" s="73"/>
      <c r="F189" s="86"/>
      <c r="G189" s="92"/>
      <c r="H189" s="92"/>
      <c r="I189" s="92"/>
      <c r="J189" s="93"/>
      <c r="K189" s="93"/>
      <c r="L189" s="77"/>
      <c r="M189" s="77"/>
      <c r="N189" s="77"/>
      <c r="O189" s="77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</row>
    <row r="190" spans="1:27" ht="12.75" customHeight="1" x14ac:dyDescent="0.25">
      <c r="A190" s="72"/>
      <c r="B190" s="72"/>
      <c r="C190" s="101"/>
      <c r="D190" s="73"/>
      <c r="E190" s="73"/>
      <c r="F190" s="86"/>
      <c r="G190" s="92"/>
      <c r="H190" s="92"/>
      <c r="I190" s="92"/>
      <c r="J190" s="93"/>
      <c r="K190" s="93"/>
      <c r="L190" s="77"/>
      <c r="M190" s="77"/>
      <c r="N190" s="77"/>
      <c r="O190" s="77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</row>
    <row r="191" spans="1:27" ht="12.75" customHeight="1" x14ac:dyDescent="0.25">
      <c r="A191" s="72"/>
      <c r="B191" s="72"/>
      <c r="C191" s="101"/>
      <c r="D191" s="73"/>
      <c r="E191" s="73"/>
      <c r="F191" s="86"/>
      <c r="G191" s="92"/>
      <c r="H191" s="92"/>
      <c r="I191" s="92"/>
      <c r="J191" s="93"/>
      <c r="K191" s="93"/>
      <c r="L191" s="77"/>
      <c r="M191" s="77"/>
      <c r="N191" s="77"/>
      <c r="O191" s="77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</row>
    <row r="192" spans="1:27" ht="12.75" customHeight="1" x14ac:dyDescent="0.25">
      <c r="A192" s="72"/>
      <c r="B192" s="72"/>
      <c r="C192" s="101"/>
      <c r="D192" s="73"/>
      <c r="E192" s="73"/>
      <c r="F192" s="86"/>
      <c r="G192" s="92"/>
      <c r="H192" s="92"/>
      <c r="I192" s="92"/>
      <c r="J192" s="93"/>
      <c r="K192" s="93"/>
      <c r="L192" s="77"/>
      <c r="M192" s="77"/>
      <c r="N192" s="77"/>
      <c r="O192" s="77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</row>
    <row r="193" spans="1:27" ht="12.75" customHeight="1" x14ac:dyDescent="0.25">
      <c r="A193" s="72"/>
      <c r="B193" s="72"/>
      <c r="C193" s="101"/>
      <c r="D193" s="73"/>
      <c r="E193" s="73"/>
      <c r="F193" s="86"/>
      <c r="G193" s="92"/>
      <c r="H193" s="92"/>
      <c r="I193" s="92"/>
      <c r="J193" s="93"/>
      <c r="K193" s="93"/>
      <c r="L193" s="77"/>
      <c r="M193" s="77"/>
      <c r="N193" s="77"/>
      <c r="O193" s="77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</row>
    <row r="194" spans="1:27" ht="12.75" customHeight="1" x14ac:dyDescent="0.25">
      <c r="A194" s="72"/>
      <c r="B194" s="72"/>
      <c r="C194" s="101"/>
      <c r="D194" s="73"/>
      <c r="E194" s="73"/>
      <c r="F194" s="86"/>
      <c r="G194" s="92"/>
      <c r="H194" s="92"/>
      <c r="I194" s="92"/>
      <c r="J194" s="93"/>
      <c r="K194" s="93"/>
      <c r="L194" s="77"/>
      <c r="M194" s="77"/>
      <c r="N194" s="77"/>
      <c r="O194" s="77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</row>
    <row r="195" spans="1:27" ht="12.75" customHeight="1" x14ac:dyDescent="0.25">
      <c r="A195" s="72"/>
      <c r="B195" s="72"/>
      <c r="C195" s="101"/>
      <c r="D195" s="73"/>
      <c r="E195" s="73"/>
      <c r="F195" s="86"/>
      <c r="G195" s="92"/>
      <c r="H195" s="92"/>
      <c r="I195" s="92"/>
      <c r="J195" s="93"/>
      <c r="K195" s="93"/>
      <c r="L195" s="77"/>
      <c r="M195" s="77"/>
      <c r="N195" s="77"/>
      <c r="O195" s="77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</row>
    <row r="196" spans="1:27" ht="12.75" customHeight="1" x14ac:dyDescent="0.25">
      <c r="A196" s="72"/>
      <c r="B196" s="72"/>
      <c r="C196" s="101"/>
      <c r="D196" s="73"/>
      <c r="E196" s="73"/>
      <c r="F196" s="86"/>
      <c r="G196" s="92"/>
      <c r="H196" s="92"/>
      <c r="I196" s="92"/>
      <c r="J196" s="93"/>
      <c r="K196" s="93"/>
      <c r="L196" s="77"/>
      <c r="M196" s="77"/>
      <c r="N196" s="77"/>
      <c r="O196" s="77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</row>
    <row r="197" spans="1:27" ht="12.75" customHeight="1" x14ac:dyDescent="0.25">
      <c r="A197" s="72"/>
      <c r="B197" s="72"/>
      <c r="C197" s="101"/>
      <c r="D197" s="73"/>
      <c r="E197" s="73"/>
      <c r="F197" s="86"/>
      <c r="G197" s="92"/>
      <c r="H197" s="92"/>
      <c r="I197" s="92"/>
      <c r="J197" s="93"/>
      <c r="K197" s="93"/>
      <c r="L197" s="77"/>
      <c r="M197" s="77"/>
      <c r="N197" s="77"/>
      <c r="O197" s="77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</row>
    <row r="198" spans="1:27" ht="12.75" customHeight="1" x14ac:dyDescent="0.25">
      <c r="A198" s="72"/>
      <c r="B198" s="72"/>
      <c r="C198" s="101"/>
      <c r="D198" s="73"/>
      <c r="E198" s="73"/>
      <c r="F198" s="86"/>
      <c r="G198" s="92"/>
      <c r="H198" s="92"/>
      <c r="I198" s="92"/>
      <c r="J198" s="93"/>
      <c r="K198" s="93"/>
      <c r="L198" s="77"/>
      <c r="M198" s="77"/>
      <c r="N198" s="77"/>
      <c r="O198" s="77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</row>
    <row r="199" spans="1:27" ht="12.75" customHeight="1" x14ac:dyDescent="0.25">
      <c r="A199" s="72"/>
      <c r="B199" s="72"/>
      <c r="C199" s="101"/>
      <c r="D199" s="73"/>
      <c r="E199" s="73"/>
      <c r="F199" s="86"/>
      <c r="G199" s="92"/>
      <c r="H199" s="92"/>
      <c r="I199" s="92"/>
      <c r="J199" s="93"/>
      <c r="K199" s="93"/>
      <c r="L199" s="77"/>
      <c r="M199" s="77"/>
      <c r="N199" s="77"/>
      <c r="O199" s="77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</row>
    <row r="200" spans="1:27" ht="12.75" customHeight="1" x14ac:dyDescent="0.25">
      <c r="A200" s="72"/>
      <c r="B200" s="72"/>
      <c r="C200" s="101"/>
      <c r="D200" s="73"/>
      <c r="E200" s="73"/>
      <c r="F200" s="86"/>
      <c r="G200" s="92"/>
      <c r="H200" s="92"/>
      <c r="I200" s="92"/>
      <c r="J200" s="93"/>
      <c r="K200" s="93"/>
      <c r="L200" s="77"/>
      <c r="M200" s="77"/>
      <c r="N200" s="77"/>
      <c r="O200" s="77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 spans="1:27" ht="12.75" customHeight="1" x14ac:dyDescent="0.25">
      <c r="A201" s="72"/>
      <c r="B201" s="72"/>
      <c r="C201" s="101"/>
      <c r="D201" s="73"/>
      <c r="E201" s="73"/>
      <c r="F201" s="86"/>
      <c r="G201" s="92"/>
      <c r="H201" s="92"/>
      <c r="I201" s="92"/>
      <c r="J201" s="93"/>
      <c r="K201" s="93"/>
      <c r="L201" s="77"/>
      <c r="M201" s="77"/>
      <c r="N201" s="77"/>
      <c r="O201" s="77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</row>
    <row r="202" spans="1:27" ht="12.75" customHeight="1" x14ac:dyDescent="0.25">
      <c r="A202" s="72"/>
      <c r="B202" s="72"/>
      <c r="C202" s="101"/>
      <c r="D202" s="73"/>
      <c r="E202" s="73"/>
      <c r="F202" s="86"/>
      <c r="G202" s="92"/>
      <c r="H202" s="92"/>
      <c r="I202" s="92"/>
      <c r="J202" s="93"/>
      <c r="K202" s="93"/>
      <c r="L202" s="77"/>
      <c r="M202" s="77"/>
      <c r="N202" s="77"/>
      <c r="O202" s="77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</row>
    <row r="203" spans="1:27" ht="12.75" customHeight="1" x14ac:dyDescent="0.25">
      <c r="A203" s="72"/>
      <c r="B203" s="72"/>
      <c r="C203" s="101"/>
      <c r="D203" s="73"/>
      <c r="E203" s="73"/>
      <c r="F203" s="86"/>
      <c r="G203" s="92"/>
      <c r="H203" s="92"/>
      <c r="I203" s="92"/>
      <c r="J203" s="93"/>
      <c r="K203" s="93"/>
      <c r="L203" s="77"/>
      <c r="M203" s="77"/>
      <c r="N203" s="77"/>
      <c r="O203" s="77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</row>
    <row r="204" spans="1:27" ht="12.75" customHeight="1" x14ac:dyDescent="0.25">
      <c r="A204" s="72"/>
      <c r="B204" s="72"/>
      <c r="C204" s="101"/>
      <c r="D204" s="73"/>
      <c r="E204" s="73"/>
      <c r="F204" s="86"/>
      <c r="G204" s="92"/>
      <c r="H204" s="92"/>
      <c r="I204" s="92"/>
      <c r="J204" s="93"/>
      <c r="K204" s="93"/>
      <c r="L204" s="77"/>
      <c r="M204" s="77"/>
      <c r="N204" s="77"/>
      <c r="O204" s="77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</row>
    <row r="205" spans="1:27" ht="12.75" customHeight="1" x14ac:dyDescent="0.25">
      <c r="A205" s="72"/>
      <c r="B205" s="72"/>
      <c r="C205" s="101"/>
      <c r="D205" s="73"/>
      <c r="E205" s="73"/>
      <c r="F205" s="86"/>
      <c r="G205" s="92"/>
      <c r="H205" s="92"/>
      <c r="I205" s="92"/>
      <c r="J205" s="93"/>
      <c r="K205" s="93"/>
      <c r="L205" s="77"/>
      <c r="M205" s="77"/>
      <c r="N205" s="77"/>
      <c r="O205" s="77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</row>
    <row r="206" spans="1:27" ht="12.75" customHeight="1" x14ac:dyDescent="0.25">
      <c r="A206" s="72"/>
      <c r="B206" s="72"/>
      <c r="C206" s="101"/>
      <c r="D206" s="73"/>
      <c r="E206" s="73"/>
      <c r="F206" s="86"/>
      <c r="G206" s="92"/>
      <c r="H206" s="92"/>
      <c r="I206" s="92"/>
      <c r="J206" s="93"/>
      <c r="K206" s="93"/>
      <c r="L206" s="77"/>
      <c r="M206" s="77"/>
      <c r="N206" s="77"/>
      <c r="O206" s="77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</row>
    <row r="207" spans="1:27" ht="12.75" customHeight="1" x14ac:dyDescent="0.25">
      <c r="A207" s="72"/>
      <c r="B207" s="72"/>
      <c r="C207" s="101"/>
      <c r="D207" s="73"/>
      <c r="E207" s="73"/>
      <c r="F207" s="86"/>
      <c r="G207" s="92"/>
      <c r="H207" s="92"/>
      <c r="I207" s="92"/>
      <c r="J207" s="93"/>
      <c r="K207" s="93"/>
      <c r="L207" s="77"/>
      <c r="M207" s="77"/>
      <c r="N207" s="77"/>
      <c r="O207" s="77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</row>
    <row r="208" spans="1:27" ht="12.75" customHeight="1" x14ac:dyDescent="0.25">
      <c r="A208" s="72"/>
      <c r="B208" s="72"/>
      <c r="C208" s="101"/>
      <c r="D208" s="73"/>
      <c r="E208" s="73"/>
      <c r="F208" s="86"/>
      <c r="G208" s="92"/>
      <c r="H208" s="92"/>
      <c r="I208" s="92"/>
      <c r="J208" s="93"/>
      <c r="K208" s="93"/>
      <c r="L208" s="77"/>
      <c r="M208" s="77"/>
      <c r="N208" s="77"/>
      <c r="O208" s="77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</row>
    <row r="209" spans="1:27" ht="12.75" customHeight="1" x14ac:dyDescent="0.25">
      <c r="A209" s="72"/>
      <c r="B209" s="72"/>
      <c r="C209" s="101"/>
      <c r="D209" s="73"/>
      <c r="E209" s="73"/>
      <c r="F209" s="86"/>
      <c r="G209" s="92"/>
      <c r="H209" s="92"/>
      <c r="I209" s="92"/>
      <c r="J209" s="93"/>
      <c r="K209" s="93"/>
      <c r="L209" s="77"/>
      <c r="M209" s="77"/>
      <c r="N209" s="77"/>
      <c r="O209" s="77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</row>
    <row r="210" spans="1:27" ht="12.75" customHeight="1" x14ac:dyDescent="0.25">
      <c r="A210" s="72"/>
      <c r="B210" s="72"/>
      <c r="C210" s="101"/>
      <c r="D210" s="73"/>
      <c r="E210" s="73"/>
      <c r="F210" s="86"/>
      <c r="G210" s="92"/>
      <c r="H210" s="92"/>
      <c r="I210" s="92"/>
      <c r="J210" s="93"/>
      <c r="K210" s="93"/>
      <c r="L210" s="77"/>
      <c r="M210" s="77"/>
      <c r="N210" s="77"/>
      <c r="O210" s="77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</row>
    <row r="211" spans="1:27" ht="12.75" customHeight="1" x14ac:dyDescent="0.25">
      <c r="A211" s="72"/>
      <c r="B211" s="72"/>
      <c r="C211" s="101"/>
      <c r="D211" s="73"/>
      <c r="E211" s="73"/>
      <c r="F211" s="86"/>
      <c r="G211" s="92"/>
      <c r="H211" s="92"/>
      <c r="I211" s="92"/>
      <c r="J211" s="93"/>
      <c r="K211" s="93"/>
      <c r="L211" s="77"/>
      <c r="M211" s="77"/>
      <c r="N211" s="77"/>
      <c r="O211" s="77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</row>
    <row r="212" spans="1:27" ht="12.75" customHeight="1" x14ac:dyDescent="0.25">
      <c r="A212" s="72"/>
      <c r="B212" s="72"/>
      <c r="C212" s="101"/>
      <c r="D212" s="73"/>
      <c r="E212" s="73"/>
      <c r="F212" s="86"/>
      <c r="G212" s="92"/>
      <c r="H212" s="92"/>
      <c r="I212" s="92"/>
      <c r="J212" s="93"/>
      <c r="K212" s="93"/>
      <c r="L212" s="77"/>
      <c r="M212" s="77"/>
      <c r="N212" s="77"/>
      <c r="O212" s="77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 spans="1:27" ht="12.75" customHeight="1" x14ac:dyDescent="0.25">
      <c r="A213" s="72"/>
      <c r="B213" s="72"/>
      <c r="C213" s="101"/>
      <c r="D213" s="73"/>
      <c r="E213" s="73"/>
      <c r="F213" s="86"/>
      <c r="G213" s="92"/>
      <c r="H213" s="92"/>
      <c r="I213" s="92"/>
      <c r="J213" s="93"/>
      <c r="K213" s="93"/>
      <c r="L213" s="77"/>
      <c r="M213" s="77"/>
      <c r="N213" s="77"/>
      <c r="O213" s="77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</row>
    <row r="214" spans="1:27" ht="12.75" customHeight="1" x14ac:dyDescent="0.25">
      <c r="A214" s="72"/>
      <c r="B214" s="72"/>
      <c r="C214" s="101"/>
      <c r="D214" s="73"/>
      <c r="E214" s="73"/>
      <c r="F214" s="86"/>
      <c r="G214" s="92"/>
      <c r="H214" s="92"/>
      <c r="I214" s="92"/>
      <c r="J214" s="93"/>
      <c r="K214" s="93"/>
      <c r="L214" s="77"/>
      <c r="M214" s="77"/>
      <c r="N214" s="77"/>
      <c r="O214" s="77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</row>
    <row r="215" spans="1:27" ht="12.75" customHeight="1" x14ac:dyDescent="0.25">
      <c r="A215" s="72"/>
      <c r="B215" s="72"/>
      <c r="C215" s="101"/>
      <c r="D215" s="73"/>
      <c r="E215" s="73"/>
      <c r="F215" s="86"/>
      <c r="G215" s="92"/>
      <c r="H215" s="92"/>
      <c r="I215" s="92"/>
      <c r="J215" s="93"/>
      <c r="K215" s="93"/>
      <c r="L215" s="77"/>
      <c r="M215" s="77"/>
      <c r="N215" s="77"/>
      <c r="O215" s="77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</row>
    <row r="216" spans="1:27" ht="12.75" customHeight="1" x14ac:dyDescent="0.25">
      <c r="A216" s="72"/>
      <c r="B216" s="72"/>
      <c r="C216" s="101"/>
      <c r="D216" s="73"/>
      <c r="E216" s="73"/>
      <c r="F216" s="86"/>
      <c r="G216" s="92"/>
      <c r="H216" s="92"/>
      <c r="I216" s="92"/>
      <c r="J216" s="93"/>
      <c r="K216" s="93"/>
      <c r="L216" s="77"/>
      <c r="M216" s="77"/>
      <c r="N216" s="77"/>
      <c r="O216" s="77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</row>
    <row r="217" spans="1:27" ht="12.75" customHeight="1" x14ac:dyDescent="0.25">
      <c r="A217" s="72"/>
      <c r="B217" s="72"/>
      <c r="C217" s="101"/>
      <c r="D217" s="73"/>
      <c r="E217" s="73"/>
      <c r="F217" s="86"/>
      <c r="G217" s="92"/>
      <c r="H217" s="92"/>
      <c r="I217" s="92"/>
      <c r="J217" s="93"/>
      <c r="K217" s="93"/>
      <c r="L217" s="77"/>
      <c r="M217" s="77"/>
      <c r="N217" s="77"/>
      <c r="O217" s="77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</row>
    <row r="218" spans="1:27" ht="12.75" customHeight="1" x14ac:dyDescent="0.25">
      <c r="A218" s="72"/>
      <c r="B218" s="72"/>
      <c r="C218" s="101"/>
      <c r="D218" s="73"/>
      <c r="E218" s="73"/>
      <c r="F218" s="86"/>
      <c r="G218" s="92"/>
      <c r="H218" s="92"/>
      <c r="I218" s="92"/>
      <c r="J218" s="93"/>
      <c r="K218" s="93"/>
      <c r="L218" s="77"/>
      <c r="M218" s="77"/>
      <c r="N218" s="77"/>
      <c r="O218" s="77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</row>
    <row r="219" spans="1:27" ht="12.75" customHeight="1" x14ac:dyDescent="0.25">
      <c r="A219" s="72"/>
      <c r="B219" s="72"/>
      <c r="C219" s="101"/>
      <c r="D219" s="73"/>
      <c r="E219" s="73"/>
      <c r="F219" s="86"/>
      <c r="G219" s="92"/>
      <c r="H219" s="92"/>
      <c r="I219" s="92"/>
      <c r="J219" s="93"/>
      <c r="K219" s="93"/>
      <c r="L219" s="77"/>
      <c r="M219" s="77"/>
      <c r="N219" s="77"/>
      <c r="O219" s="77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</row>
    <row r="220" spans="1:27" ht="12.75" customHeight="1" x14ac:dyDescent="0.25">
      <c r="A220" s="72"/>
      <c r="B220" s="72"/>
      <c r="C220" s="101"/>
      <c r="D220" s="73"/>
      <c r="E220" s="73"/>
      <c r="F220" s="86"/>
      <c r="G220" s="92"/>
      <c r="H220" s="92"/>
      <c r="I220" s="92"/>
      <c r="J220" s="93"/>
      <c r="K220" s="93"/>
      <c r="L220" s="77"/>
      <c r="M220" s="77"/>
      <c r="N220" s="77"/>
      <c r="O220" s="77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</row>
    <row r="221" spans="1:27" ht="12.75" customHeight="1" x14ac:dyDescent="0.25">
      <c r="A221" s="72"/>
      <c r="B221" s="72"/>
      <c r="C221" s="101"/>
      <c r="D221" s="73"/>
      <c r="E221" s="73"/>
      <c r="F221" s="86"/>
      <c r="G221" s="92"/>
      <c r="H221" s="92"/>
      <c r="I221" s="92"/>
      <c r="J221" s="93"/>
      <c r="K221" s="93"/>
      <c r="L221" s="77"/>
      <c r="M221" s="77"/>
      <c r="N221" s="77"/>
      <c r="O221" s="77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</row>
    <row r="222" spans="1:27" ht="12.75" customHeight="1" x14ac:dyDescent="0.25">
      <c r="A222" s="72"/>
      <c r="B222" s="72"/>
      <c r="C222" s="101"/>
      <c r="D222" s="73"/>
      <c r="E222" s="73"/>
      <c r="F222" s="86"/>
      <c r="G222" s="92"/>
      <c r="H222" s="92"/>
      <c r="I222" s="92"/>
      <c r="J222" s="93"/>
      <c r="K222" s="93"/>
      <c r="L222" s="77"/>
      <c r="M222" s="77"/>
      <c r="N222" s="77"/>
      <c r="O222" s="77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</row>
    <row r="223" spans="1:27" ht="12.75" customHeight="1" x14ac:dyDescent="0.25">
      <c r="A223" s="72"/>
      <c r="B223" s="72"/>
      <c r="C223" s="101"/>
      <c r="D223" s="73"/>
      <c r="E223" s="73"/>
      <c r="F223" s="86"/>
      <c r="G223" s="92"/>
      <c r="H223" s="92"/>
      <c r="I223" s="92"/>
      <c r="J223" s="93"/>
      <c r="K223" s="93"/>
      <c r="L223" s="77"/>
      <c r="M223" s="77"/>
      <c r="N223" s="77"/>
      <c r="O223" s="77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</row>
    <row r="224" spans="1:27" ht="12.75" customHeight="1" x14ac:dyDescent="0.25">
      <c r="A224" s="72"/>
      <c r="B224" s="72"/>
      <c r="C224" s="101"/>
      <c r="D224" s="73"/>
      <c r="E224" s="73"/>
      <c r="F224" s="86"/>
      <c r="G224" s="92"/>
      <c r="H224" s="92"/>
      <c r="I224" s="92"/>
      <c r="J224" s="93"/>
      <c r="K224" s="93"/>
      <c r="L224" s="77"/>
      <c r="M224" s="77"/>
      <c r="N224" s="77"/>
      <c r="O224" s="77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 spans="1:27" ht="12.75" customHeight="1" x14ac:dyDescent="0.25">
      <c r="A225" s="72"/>
      <c r="B225" s="72"/>
      <c r="C225" s="101"/>
      <c r="D225" s="73"/>
      <c r="E225" s="73"/>
      <c r="F225" s="86"/>
      <c r="G225" s="92"/>
      <c r="H225" s="92"/>
      <c r="I225" s="92"/>
      <c r="J225" s="93"/>
      <c r="K225" s="93"/>
      <c r="L225" s="77"/>
      <c r="M225" s="77"/>
      <c r="N225" s="77"/>
      <c r="O225" s="77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</row>
    <row r="226" spans="1:27" ht="12.75" customHeight="1" x14ac:dyDescent="0.25">
      <c r="A226" s="72"/>
      <c r="B226" s="72"/>
      <c r="C226" s="101"/>
      <c r="D226" s="73"/>
      <c r="E226" s="73"/>
      <c r="F226" s="86"/>
      <c r="G226" s="92"/>
      <c r="H226" s="92"/>
      <c r="I226" s="92"/>
      <c r="J226" s="93"/>
      <c r="K226" s="93"/>
      <c r="L226" s="77"/>
      <c r="M226" s="77"/>
      <c r="N226" s="77"/>
      <c r="O226" s="77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</row>
    <row r="227" spans="1:27" ht="12.75" customHeight="1" x14ac:dyDescent="0.25">
      <c r="A227" s="72"/>
      <c r="B227" s="72"/>
      <c r="C227" s="101"/>
      <c r="D227" s="73"/>
      <c r="E227" s="73"/>
      <c r="F227" s="86"/>
      <c r="G227" s="92"/>
      <c r="H227" s="92"/>
      <c r="I227" s="92"/>
      <c r="J227" s="93"/>
      <c r="K227" s="93"/>
      <c r="L227" s="77"/>
      <c r="M227" s="77"/>
      <c r="N227" s="77"/>
      <c r="O227" s="77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</row>
    <row r="228" spans="1:27" ht="12.75" customHeight="1" x14ac:dyDescent="0.25">
      <c r="A228" s="72"/>
      <c r="B228" s="72"/>
      <c r="C228" s="101"/>
      <c r="D228" s="73"/>
      <c r="E228" s="73"/>
      <c r="F228" s="86"/>
      <c r="G228" s="92"/>
      <c r="H228" s="92"/>
      <c r="I228" s="92"/>
      <c r="J228" s="93"/>
      <c r="K228" s="93"/>
      <c r="L228" s="77"/>
      <c r="M228" s="77"/>
      <c r="N228" s="77"/>
      <c r="O228" s="77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</row>
    <row r="229" spans="1:27" ht="12.75" customHeight="1" x14ac:dyDescent="0.25">
      <c r="A229" s="72"/>
      <c r="B229" s="72"/>
      <c r="C229" s="101"/>
      <c r="D229" s="73"/>
      <c r="E229" s="73"/>
      <c r="F229" s="86"/>
      <c r="G229" s="92"/>
      <c r="H229" s="92"/>
      <c r="I229" s="92"/>
      <c r="J229" s="93"/>
      <c r="K229" s="93"/>
      <c r="L229" s="77"/>
      <c r="M229" s="77"/>
      <c r="N229" s="77"/>
      <c r="O229" s="77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</row>
    <row r="230" spans="1:27" ht="12.75" customHeight="1" x14ac:dyDescent="0.25">
      <c r="A230" s="72"/>
      <c r="B230" s="72"/>
      <c r="C230" s="101"/>
      <c r="D230" s="73"/>
      <c r="E230" s="73"/>
      <c r="F230" s="86"/>
      <c r="G230" s="92"/>
      <c r="H230" s="92"/>
      <c r="I230" s="92"/>
      <c r="J230" s="93"/>
      <c r="K230" s="93"/>
      <c r="L230" s="77"/>
      <c r="M230" s="77"/>
      <c r="N230" s="77"/>
      <c r="O230" s="77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</row>
    <row r="231" spans="1:27" ht="12.75" customHeight="1" x14ac:dyDescent="0.25">
      <c r="A231" s="72"/>
      <c r="B231" s="72"/>
      <c r="C231" s="101"/>
      <c r="D231" s="73"/>
      <c r="E231" s="73"/>
      <c r="F231" s="86"/>
      <c r="G231" s="92"/>
      <c r="H231" s="92"/>
      <c r="I231" s="92"/>
      <c r="J231" s="93"/>
      <c r="K231" s="93"/>
      <c r="L231" s="77"/>
      <c r="M231" s="77"/>
      <c r="N231" s="77"/>
      <c r="O231" s="77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</row>
    <row r="232" spans="1:27" ht="12.75" customHeight="1" x14ac:dyDescent="0.25">
      <c r="A232" s="72"/>
      <c r="B232" s="72"/>
      <c r="C232" s="101"/>
      <c r="D232" s="73"/>
      <c r="E232" s="73"/>
      <c r="F232" s="86"/>
      <c r="G232" s="92"/>
      <c r="H232" s="92"/>
      <c r="I232" s="92"/>
      <c r="J232" s="93"/>
      <c r="K232" s="93"/>
      <c r="L232" s="77"/>
      <c r="M232" s="77"/>
      <c r="N232" s="77"/>
      <c r="O232" s="77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</row>
    <row r="233" spans="1:27" ht="12.75" customHeight="1" x14ac:dyDescent="0.25">
      <c r="A233" s="72"/>
      <c r="B233" s="72"/>
      <c r="C233" s="101"/>
      <c r="D233" s="73"/>
      <c r="E233" s="73"/>
      <c r="F233" s="86"/>
      <c r="G233" s="92"/>
      <c r="H233" s="92"/>
      <c r="I233" s="92"/>
      <c r="J233" s="93"/>
      <c r="K233" s="93"/>
      <c r="L233" s="77"/>
      <c r="M233" s="77"/>
      <c r="N233" s="77"/>
      <c r="O233" s="77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</row>
    <row r="234" spans="1:27" ht="12.75" customHeight="1" x14ac:dyDescent="0.25">
      <c r="A234" s="72"/>
      <c r="B234" s="72"/>
      <c r="C234" s="101"/>
      <c r="D234" s="73"/>
      <c r="E234" s="73"/>
      <c r="F234" s="86"/>
      <c r="G234" s="92"/>
      <c r="H234" s="92"/>
      <c r="I234" s="92"/>
      <c r="J234" s="93"/>
      <c r="K234" s="93"/>
      <c r="L234" s="77"/>
      <c r="M234" s="77"/>
      <c r="N234" s="77"/>
      <c r="O234" s="77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</row>
    <row r="235" spans="1:27" ht="12.75" customHeight="1" x14ac:dyDescent="0.25">
      <c r="A235" s="72"/>
      <c r="B235" s="72"/>
      <c r="C235" s="101"/>
      <c r="D235" s="73"/>
      <c r="E235" s="73"/>
      <c r="F235" s="86"/>
      <c r="G235" s="92"/>
      <c r="H235" s="92"/>
      <c r="I235" s="92"/>
      <c r="J235" s="93"/>
      <c r="K235" s="93"/>
      <c r="L235" s="77"/>
      <c r="M235" s="77"/>
      <c r="N235" s="77"/>
      <c r="O235" s="77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</row>
    <row r="236" spans="1:27" ht="12.75" customHeight="1" x14ac:dyDescent="0.25">
      <c r="A236" s="72"/>
      <c r="B236" s="72"/>
      <c r="C236" s="101"/>
      <c r="D236" s="73"/>
      <c r="E236" s="73"/>
      <c r="F236" s="86"/>
      <c r="G236" s="92"/>
      <c r="H236" s="92"/>
      <c r="I236" s="92"/>
      <c r="J236" s="93"/>
      <c r="K236" s="93"/>
      <c r="L236" s="77"/>
      <c r="M236" s="77"/>
      <c r="N236" s="77"/>
      <c r="O236" s="77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 spans="1:27" ht="12.75" customHeight="1" x14ac:dyDescent="0.25">
      <c r="A237" s="72"/>
      <c r="B237" s="72"/>
      <c r="C237" s="101"/>
      <c r="D237" s="73"/>
      <c r="E237" s="73"/>
      <c r="F237" s="86"/>
      <c r="G237" s="92"/>
      <c r="H237" s="92"/>
      <c r="I237" s="92"/>
      <c r="J237" s="93"/>
      <c r="K237" s="93"/>
      <c r="L237" s="77"/>
      <c r="M237" s="77"/>
      <c r="N237" s="77"/>
      <c r="O237" s="77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</row>
    <row r="238" spans="1:27" ht="12.75" customHeight="1" x14ac:dyDescent="0.25">
      <c r="A238" s="79"/>
      <c r="B238" s="79"/>
      <c r="C238" s="77"/>
      <c r="D238" s="80"/>
      <c r="E238" s="80"/>
      <c r="F238" s="86"/>
      <c r="G238" s="92"/>
      <c r="H238" s="92"/>
      <c r="I238" s="92"/>
      <c r="J238" s="93"/>
      <c r="K238" s="93"/>
      <c r="L238" s="77"/>
      <c r="M238" s="77"/>
      <c r="N238" s="77"/>
      <c r="O238" s="77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</row>
    <row r="239" spans="1:27" ht="12.75" customHeight="1" x14ac:dyDescent="0.25">
      <c r="A239" s="79"/>
      <c r="B239" s="79"/>
      <c r="C239" s="77"/>
      <c r="D239" s="80"/>
      <c r="E239" s="80"/>
      <c r="F239" s="86"/>
      <c r="G239" s="92"/>
      <c r="H239" s="92"/>
      <c r="I239" s="92"/>
      <c r="J239" s="93"/>
      <c r="K239" s="93"/>
      <c r="L239" s="77"/>
      <c r="M239" s="77"/>
      <c r="N239" s="77"/>
      <c r="O239" s="77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</row>
    <row r="240" spans="1:27" ht="12.75" customHeight="1" x14ac:dyDescent="0.25">
      <c r="A240" s="79"/>
      <c r="B240" s="79"/>
      <c r="C240" s="77"/>
      <c r="D240" s="80"/>
      <c r="E240" s="80"/>
      <c r="F240" s="86"/>
      <c r="G240" s="92"/>
      <c r="H240" s="92"/>
      <c r="I240" s="92"/>
      <c r="J240" s="93"/>
      <c r="K240" s="93"/>
      <c r="L240" s="77"/>
      <c r="M240" s="77"/>
      <c r="N240" s="77"/>
      <c r="O240" s="77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</row>
    <row r="241" spans="1:27" ht="12.75" customHeight="1" x14ac:dyDescent="0.25">
      <c r="A241" s="79"/>
      <c r="B241" s="79"/>
      <c r="C241" s="77"/>
      <c r="D241" s="80"/>
      <c r="E241" s="80"/>
      <c r="F241" s="86"/>
      <c r="G241" s="92"/>
      <c r="H241" s="92"/>
      <c r="I241" s="92"/>
      <c r="J241" s="93"/>
      <c r="K241" s="93"/>
      <c r="L241" s="77"/>
      <c r="M241" s="77"/>
      <c r="N241" s="77"/>
      <c r="O241" s="77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</row>
    <row r="242" spans="1:27" ht="12.75" customHeight="1" x14ac:dyDescent="0.25">
      <c r="A242" s="79"/>
      <c r="B242" s="79"/>
      <c r="C242" s="77"/>
      <c r="D242" s="80"/>
      <c r="E242" s="80"/>
      <c r="F242" s="86"/>
      <c r="G242" s="92"/>
      <c r="H242" s="92"/>
      <c r="I242" s="92"/>
      <c r="J242" s="93"/>
      <c r="K242" s="93"/>
      <c r="L242" s="77"/>
      <c r="M242" s="77"/>
      <c r="N242" s="77"/>
      <c r="O242" s="77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</row>
    <row r="243" spans="1:27" ht="12.75" customHeight="1" x14ac:dyDescent="0.25">
      <c r="A243" s="79"/>
      <c r="B243" s="79"/>
      <c r="C243" s="77"/>
      <c r="D243" s="80"/>
      <c r="E243" s="80"/>
      <c r="F243" s="86"/>
      <c r="G243" s="92"/>
      <c r="H243" s="92"/>
      <c r="I243" s="92"/>
      <c r="J243" s="93"/>
      <c r="K243" s="93"/>
      <c r="L243" s="77"/>
      <c r="M243" s="77"/>
      <c r="N243" s="77"/>
      <c r="O243" s="77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</row>
    <row r="244" spans="1:27" ht="12.75" customHeight="1" x14ac:dyDescent="0.25">
      <c r="A244" s="79"/>
      <c r="B244" s="79"/>
      <c r="C244" s="77"/>
      <c r="D244" s="80"/>
      <c r="E244" s="80"/>
      <c r="F244" s="86"/>
      <c r="G244" s="92"/>
      <c r="H244" s="92"/>
      <c r="I244" s="92"/>
      <c r="J244" s="93"/>
      <c r="K244" s="93"/>
      <c r="L244" s="77"/>
      <c r="M244" s="77"/>
      <c r="N244" s="77"/>
      <c r="O244" s="77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</row>
    <row r="245" spans="1:27" ht="12.75" customHeight="1" x14ac:dyDescent="0.25">
      <c r="A245" s="79"/>
      <c r="B245" s="79"/>
      <c r="C245" s="77"/>
      <c r="D245" s="80"/>
      <c r="E245" s="80"/>
      <c r="F245" s="86"/>
      <c r="G245" s="92"/>
      <c r="H245" s="92"/>
      <c r="I245" s="92"/>
      <c r="J245" s="93"/>
      <c r="K245" s="93"/>
      <c r="L245" s="77"/>
      <c r="M245" s="77"/>
      <c r="N245" s="77"/>
      <c r="O245" s="77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</row>
    <row r="246" spans="1:27" ht="12.75" customHeight="1" x14ac:dyDescent="0.25">
      <c r="A246" s="79"/>
      <c r="B246" s="79"/>
      <c r="C246" s="77"/>
      <c r="D246" s="80"/>
      <c r="E246" s="80"/>
      <c r="F246" s="86"/>
      <c r="G246" s="92"/>
      <c r="H246" s="92"/>
      <c r="I246" s="92"/>
      <c r="J246" s="93"/>
      <c r="K246" s="93"/>
      <c r="L246" s="77"/>
      <c r="M246" s="77"/>
      <c r="N246" s="77"/>
      <c r="O246" s="77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</row>
    <row r="247" spans="1:27" ht="12.75" customHeight="1" x14ac:dyDescent="0.25">
      <c r="A247" s="79"/>
      <c r="B247" s="79"/>
      <c r="C247" s="77"/>
      <c r="D247" s="80"/>
      <c r="E247" s="80"/>
      <c r="F247" s="86"/>
      <c r="G247" s="92"/>
      <c r="H247" s="92"/>
      <c r="I247" s="92"/>
      <c r="J247" s="93"/>
      <c r="K247" s="93"/>
      <c r="L247" s="77"/>
      <c r="M247" s="77"/>
      <c r="N247" s="77"/>
      <c r="O247" s="77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</row>
    <row r="248" spans="1:27" ht="12.75" customHeight="1" x14ac:dyDescent="0.25">
      <c r="A248" s="79"/>
      <c r="B248" s="79"/>
      <c r="C248" s="77"/>
      <c r="D248" s="80"/>
      <c r="E248" s="80"/>
      <c r="F248" s="86"/>
      <c r="G248" s="92"/>
      <c r="H248" s="92"/>
      <c r="I248" s="92"/>
      <c r="J248" s="93"/>
      <c r="K248" s="93"/>
      <c r="L248" s="77"/>
      <c r="M248" s="77"/>
      <c r="N248" s="77"/>
      <c r="O248" s="77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</row>
    <row r="249" spans="1:27" ht="12.75" customHeight="1" x14ac:dyDescent="0.25">
      <c r="A249" s="79"/>
      <c r="B249" s="79"/>
      <c r="C249" s="77"/>
      <c r="D249" s="80"/>
      <c r="E249" s="80"/>
      <c r="F249" s="86"/>
      <c r="G249" s="92"/>
      <c r="H249" s="92"/>
      <c r="I249" s="92"/>
      <c r="J249" s="93"/>
      <c r="K249" s="93"/>
      <c r="L249" s="77"/>
      <c r="M249" s="77"/>
      <c r="N249" s="77"/>
      <c r="O249" s="77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</row>
    <row r="250" spans="1:27" ht="12.75" customHeight="1" x14ac:dyDescent="0.25">
      <c r="A250" s="79"/>
      <c r="B250" s="79"/>
      <c r="C250" s="77"/>
      <c r="D250" s="80"/>
      <c r="E250" s="80"/>
      <c r="F250" s="86"/>
      <c r="G250" s="92"/>
      <c r="H250" s="92"/>
      <c r="I250" s="92"/>
      <c r="J250" s="93"/>
      <c r="K250" s="93"/>
      <c r="L250" s="77"/>
      <c r="M250" s="77"/>
      <c r="N250" s="77"/>
      <c r="O250" s="77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</row>
    <row r="251" spans="1:27" ht="12.75" customHeight="1" x14ac:dyDescent="0.25">
      <c r="A251" s="79"/>
      <c r="B251" s="79"/>
      <c r="C251" s="77"/>
      <c r="D251" s="80"/>
      <c r="E251" s="80"/>
      <c r="F251" s="86"/>
      <c r="G251" s="92"/>
      <c r="H251" s="92"/>
      <c r="I251" s="92"/>
      <c r="J251" s="93"/>
      <c r="K251" s="93"/>
      <c r="L251" s="77"/>
      <c r="M251" s="77"/>
      <c r="N251" s="77"/>
      <c r="O251" s="77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</row>
    <row r="252" spans="1:27" ht="12.75" customHeight="1" x14ac:dyDescent="0.25">
      <c r="A252" s="79"/>
      <c r="B252" s="79"/>
      <c r="C252" s="77"/>
      <c r="D252" s="80"/>
      <c r="E252" s="80"/>
      <c r="F252" s="86"/>
      <c r="G252" s="92"/>
      <c r="H252" s="92"/>
      <c r="I252" s="92"/>
      <c r="J252" s="93"/>
      <c r="K252" s="93"/>
      <c r="L252" s="77"/>
      <c r="M252" s="77"/>
      <c r="N252" s="77"/>
      <c r="O252" s="77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</row>
    <row r="253" spans="1:27" ht="12.75" customHeight="1" x14ac:dyDescent="0.25">
      <c r="A253" s="79"/>
      <c r="B253" s="79"/>
      <c r="C253" s="77"/>
      <c r="D253" s="80"/>
      <c r="E253" s="80"/>
      <c r="F253" s="86"/>
      <c r="G253" s="92"/>
      <c r="H253" s="92"/>
      <c r="I253" s="92"/>
      <c r="J253" s="93"/>
      <c r="K253" s="93"/>
      <c r="L253" s="77"/>
      <c r="M253" s="77"/>
      <c r="N253" s="77"/>
      <c r="O253" s="77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</row>
    <row r="254" spans="1:27" ht="12.75" customHeight="1" x14ac:dyDescent="0.25">
      <c r="A254" s="79"/>
      <c r="B254" s="79"/>
      <c r="C254" s="77"/>
      <c r="D254" s="80"/>
      <c r="E254" s="80"/>
      <c r="F254" s="86"/>
      <c r="G254" s="92"/>
      <c r="H254" s="92"/>
      <c r="I254" s="92"/>
      <c r="J254" s="93"/>
      <c r="K254" s="93"/>
      <c r="L254" s="77"/>
      <c r="M254" s="77"/>
      <c r="N254" s="77"/>
      <c r="O254" s="77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</row>
    <row r="255" spans="1:27" ht="12.75" customHeight="1" x14ac:dyDescent="0.25">
      <c r="A255" s="79"/>
      <c r="B255" s="79"/>
      <c r="C255" s="77"/>
      <c r="D255" s="80"/>
      <c r="E255" s="80"/>
      <c r="F255" s="86"/>
      <c r="G255" s="92"/>
      <c r="H255" s="92"/>
      <c r="I255" s="92"/>
      <c r="J255" s="93"/>
      <c r="K255" s="93"/>
      <c r="L255" s="77"/>
      <c r="M255" s="77"/>
      <c r="N255" s="77"/>
      <c r="O255" s="77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</row>
    <row r="256" spans="1:27" ht="12.75" customHeight="1" x14ac:dyDescent="0.25">
      <c r="A256" s="79"/>
      <c r="B256" s="79"/>
      <c r="C256" s="77"/>
      <c r="D256" s="80"/>
      <c r="E256" s="80"/>
      <c r="F256" s="86"/>
      <c r="G256" s="92"/>
      <c r="H256" s="92"/>
      <c r="I256" s="92"/>
      <c r="J256" s="93"/>
      <c r="K256" s="93"/>
      <c r="L256" s="77"/>
      <c r="M256" s="77"/>
      <c r="N256" s="77"/>
      <c r="O256" s="77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</row>
    <row r="257" spans="1:27" ht="12.75" customHeight="1" x14ac:dyDescent="0.25">
      <c r="A257" s="79"/>
      <c r="B257" s="79"/>
      <c r="C257" s="77"/>
      <c r="D257" s="80"/>
      <c r="E257" s="80"/>
      <c r="F257" s="86"/>
      <c r="G257" s="92"/>
      <c r="H257" s="92"/>
      <c r="I257" s="92"/>
      <c r="J257" s="93"/>
      <c r="K257" s="93"/>
      <c r="L257" s="77"/>
      <c r="M257" s="77"/>
      <c r="N257" s="77"/>
      <c r="O257" s="77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</row>
    <row r="258" spans="1:27" ht="12.75" customHeight="1" x14ac:dyDescent="0.25">
      <c r="A258" s="79"/>
      <c r="B258" s="79"/>
      <c r="C258" s="77"/>
      <c r="D258" s="80"/>
      <c r="E258" s="80"/>
      <c r="F258" s="86"/>
      <c r="G258" s="92"/>
      <c r="H258" s="92"/>
      <c r="I258" s="92"/>
      <c r="J258" s="93"/>
      <c r="K258" s="93"/>
      <c r="L258" s="77"/>
      <c r="M258" s="77"/>
      <c r="N258" s="77"/>
      <c r="O258" s="77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</row>
    <row r="259" spans="1:27" ht="12.75" customHeight="1" x14ac:dyDescent="0.25">
      <c r="A259" s="79"/>
      <c r="B259" s="79"/>
      <c r="C259" s="77"/>
      <c r="D259" s="80"/>
      <c r="E259" s="80"/>
      <c r="F259" s="86"/>
      <c r="G259" s="92"/>
      <c r="H259" s="92"/>
      <c r="I259" s="92"/>
      <c r="J259" s="93"/>
      <c r="K259" s="93"/>
      <c r="L259" s="77"/>
      <c r="M259" s="77"/>
      <c r="N259" s="77"/>
      <c r="O259" s="77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</row>
    <row r="260" spans="1:27" ht="12.75" customHeight="1" x14ac:dyDescent="0.25">
      <c r="A260" s="79"/>
      <c r="B260" s="79"/>
      <c r="C260" s="77"/>
      <c r="D260" s="80"/>
      <c r="E260" s="80"/>
      <c r="F260" s="86"/>
      <c r="G260" s="92"/>
      <c r="H260" s="92"/>
      <c r="I260" s="92"/>
      <c r="J260" s="93"/>
      <c r="K260" s="93"/>
      <c r="L260" s="77"/>
      <c r="M260" s="77"/>
      <c r="N260" s="77"/>
      <c r="O260" s="77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</row>
    <row r="261" spans="1:27" ht="12.75" customHeight="1" x14ac:dyDescent="0.25">
      <c r="A261" s="79"/>
      <c r="B261" s="79"/>
      <c r="C261" s="77"/>
      <c r="D261" s="80"/>
      <c r="E261" s="80"/>
      <c r="F261" s="86"/>
      <c r="G261" s="92"/>
      <c r="H261" s="92"/>
      <c r="I261" s="92"/>
      <c r="J261" s="93"/>
      <c r="K261" s="93"/>
      <c r="L261" s="77"/>
      <c r="M261" s="77"/>
      <c r="N261" s="77"/>
      <c r="O261" s="77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</row>
    <row r="262" spans="1:27" ht="12.75" customHeight="1" x14ac:dyDescent="0.25">
      <c r="A262" s="79"/>
      <c r="B262" s="79"/>
      <c r="C262" s="77"/>
      <c r="D262" s="80"/>
      <c r="E262" s="80"/>
      <c r="F262" s="86"/>
      <c r="G262" s="92"/>
      <c r="H262" s="92"/>
      <c r="I262" s="92"/>
      <c r="J262" s="93"/>
      <c r="K262" s="93"/>
      <c r="L262" s="77"/>
      <c r="M262" s="77"/>
      <c r="N262" s="77"/>
      <c r="O262" s="77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</row>
    <row r="263" spans="1:27" ht="12.75" customHeight="1" x14ac:dyDescent="0.25">
      <c r="A263" s="79"/>
      <c r="B263" s="79"/>
      <c r="C263" s="77"/>
      <c r="D263" s="80"/>
      <c r="E263" s="80"/>
      <c r="F263" s="86"/>
      <c r="G263" s="92"/>
      <c r="H263" s="92"/>
      <c r="I263" s="92"/>
      <c r="J263" s="93"/>
      <c r="K263" s="93"/>
      <c r="L263" s="77"/>
      <c r="M263" s="77"/>
      <c r="N263" s="77"/>
      <c r="O263" s="77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</row>
    <row r="264" spans="1:27" ht="12.75" customHeight="1" x14ac:dyDescent="0.25">
      <c r="A264" s="79"/>
      <c r="B264" s="79"/>
      <c r="C264" s="77"/>
      <c r="D264" s="80"/>
      <c r="E264" s="80"/>
      <c r="F264" s="86"/>
      <c r="G264" s="92"/>
      <c r="H264" s="92"/>
      <c r="I264" s="92"/>
      <c r="J264" s="93"/>
      <c r="K264" s="93"/>
      <c r="L264" s="77"/>
      <c r="M264" s="77"/>
      <c r="N264" s="77"/>
      <c r="O264" s="77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</row>
    <row r="265" spans="1:27" ht="12.75" customHeight="1" x14ac:dyDescent="0.25">
      <c r="A265" s="79"/>
      <c r="B265" s="79"/>
      <c r="C265" s="77"/>
      <c r="D265" s="80"/>
      <c r="E265" s="80"/>
      <c r="F265" s="86"/>
      <c r="G265" s="92"/>
      <c r="H265" s="92"/>
      <c r="I265" s="92"/>
      <c r="J265" s="93"/>
      <c r="K265" s="93"/>
      <c r="L265" s="77"/>
      <c r="M265" s="77"/>
      <c r="N265" s="77"/>
      <c r="O265" s="77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</row>
    <row r="266" spans="1:27" ht="12.75" customHeight="1" x14ac:dyDescent="0.25">
      <c r="A266" s="79"/>
      <c r="B266" s="79"/>
      <c r="C266" s="77"/>
      <c r="D266" s="80"/>
      <c r="E266" s="80"/>
      <c r="F266" s="86"/>
      <c r="G266" s="92"/>
      <c r="H266" s="92"/>
      <c r="I266" s="92"/>
      <c r="J266" s="93"/>
      <c r="K266" s="93"/>
      <c r="L266" s="77"/>
      <c r="M266" s="77"/>
      <c r="N266" s="77"/>
      <c r="O266" s="77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</row>
    <row r="267" spans="1:27" ht="12.75" customHeight="1" x14ac:dyDescent="0.25">
      <c r="A267" s="79"/>
      <c r="B267" s="79"/>
      <c r="C267" s="77"/>
      <c r="D267" s="80"/>
      <c r="E267" s="80"/>
      <c r="F267" s="86"/>
      <c r="G267" s="92"/>
      <c r="H267" s="92"/>
      <c r="I267" s="92"/>
      <c r="J267" s="93"/>
      <c r="K267" s="93"/>
      <c r="L267" s="77"/>
      <c r="M267" s="77"/>
      <c r="N267" s="77"/>
      <c r="O267" s="77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</row>
    <row r="268" spans="1:27" ht="12.75" customHeight="1" x14ac:dyDescent="0.25">
      <c r="A268" s="79"/>
      <c r="B268" s="79"/>
      <c r="C268" s="77"/>
      <c r="D268" s="80"/>
      <c r="E268" s="80"/>
      <c r="F268" s="86"/>
      <c r="G268" s="92"/>
      <c r="H268" s="92"/>
      <c r="I268" s="92"/>
      <c r="J268" s="93"/>
      <c r="K268" s="93"/>
      <c r="L268" s="77"/>
      <c r="M268" s="77"/>
      <c r="N268" s="77"/>
      <c r="O268" s="77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</row>
    <row r="269" spans="1:27" ht="12.75" customHeight="1" x14ac:dyDescent="0.25">
      <c r="A269" s="79"/>
      <c r="B269" s="79"/>
      <c r="C269" s="77"/>
      <c r="D269" s="80"/>
      <c r="E269" s="80"/>
      <c r="F269" s="86"/>
      <c r="G269" s="92"/>
      <c r="H269" s="92"/>
      <c r="I269" s="92"/>
      <c r="J269" s="93"/>
      <c r="K269" s="93"/>
      <c r="L269" s="77"/>
      <c r="M269" s="77"/>
      <c r="N269" s="77"/>
      <c r="O269" s="77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</row>
    <row r="270" spans="1:27" ht="12.75" customHeight="1" x14ac:dyDescent="0.25">
      <c r="A270" s="79"/>
      <c r="B270" s="79"/>
      <c r="C270" s="77"/>
      <c r="D270" s="80"/>
      <c r="E270" s="80"/>
      <c r="F270" s="86"/>
      <c r="G270" s="92"/>
      <c r="H270" s="92"/>
      <c r="I270" s="92"/>
      <c r="J270" s="93"/>
      <c r="K270" s="93"/>
      <c r="L270" s="77"/>
      <c r="M270" s="77"/>
      <c r="N270" s="77"/>
      <c r="O270" s="77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</row>
    <row r="271" spans="1:27" ht="12.75" customHeight="1" x14ac:dyDescent="0.25">
      <c r="A271" s="79"/>
      <c r="B271" s="79"/>
      <c r="C271" s="77"/>
      <c r="D271" s="80"/>
      <c r="E271" s="80"/>
      <c r="F271" s="86"/>
      <c r="G271" s="92"/>
      <c r="H271" s="92"/>
      <c r="I271" s="92"/>
      <c r="J271" s="93"/>
      <c r="K271" s="93"/>
      <c r="L271" s="77"/>
      <c r="M271" s="77"/>
      <c r="N271" s="77"/>
      <c r="O271" s="77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</row>
    <row r="272" spans="1:27" ht="12.75" customHeight="1" x14ac:dyDescent="0.25">
      <c r="A272" s="79"/>
      <c r="B272" s="79"/>
      <c r="C272" s="77"/>
      <c r="D272" s="80"/>
      <c r="E272" s="80"/>
      <c r="F272" s="86"/>
      <c r="G272" s="92"/>
      <c r="H272" s="92"/>
      <c r="I272" s="92"/>
      <c r="J272" s="93"/>
      <c r="K272" s="93"/>
      <c r="L272" s="77"/>
      <c r="M272" s="77"/>
      <c r="N272" s="77"/>
      <c r="O272" s="77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</row>
    <row r="273" spans="1:27" ht="12.75" customHeight="1" x14ac:dyDescent="0.25">
      <c r="A273" s="79"/>
      <c r="B273" s="79"/>
      <c r="C273" s="77"/>
      <c r="D273" s="80"/>
      <c r="E273" s="80"/>
      <c r="F273" s="86"/>
      <c r="G273" s="92"/>
      <c r="H273" s="92"/>
      <c r="I273" s="92"/>
      <c r="J273" s="93"/>
      <c r="K273" s="93"/>
      <c r="L273" s="77"/>
      <c r="M273" s="77"/>
      <c r="N273" s="77"/>
      <c r="O273" s="77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</row>
    <row r="274" spans="1:27" ht="12.75" customHeight="1" x14ac:dyDescent="0.25">
      <c r="A274" s="79"/>
      <c r="B274" s="79"/>
      <c r="C274" s="77"/>
      <c r="D274" s="80"/>
      <c r="E274" s="80"/>
      <c r="F274" s="86"/>
      <c r="G274" s="92"/>
      <c r="H274" s="92"/>
      <c r="I274" s="92"/>
      <c r="J274" s="93"/>
      <c r="K274" s="93"/>
      <c r="L274" s="77"/>
      <c r="M274" s="77"/>
      <c r="N274" s="77"/>
      <c r="O274" s="77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</row>
    <row r="275" spans="1:27" ht="12.75" customHeight="1" x14ac:dyDescent="0.25">
      <c r="A275" s="79"/>
      <c r="B275" s="79"/>
      <c r="C275" s="77"/>
      <c r="D275" s="80"/>
      <c r="E275" s="80"/>
      <c r="F275" s="86"/>
      <c r="G275" s="92"/>
      <c r="H275" s="92"/>
      <c r="I275" s="92"/>
      <c r="J275" s="93"/>
      <c r="K275" s="93"/>
      <c r="L275" s="77"/>
      <c r="M275" s="77"/>
      <c r="N275" s="77"/>
      <c r="O275" s="77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</row>
    <row r="276" spans="1:27" ht="12.75" customHeight="1" x14ac:dyDescent="0.25">
      <c r="A276" s="79"/>
      <c r="B276" s="79"/>
      <c r="C276" s="77"/>
      <c r="D276" s="80"/>
      <c r="E276" s="80"/>
      <c r="F276" s="86"/>
      <c r="G276" s="92"/>
      <c r="H276" s="92"/>
      <c r="I276" s="92"/>
      <c r="J276" s="93"/>
      <c r="K276" s="93"/>
      <c r="L276" s="77"/>
      <c r="M276" s="77"/>
      <c r="N276" s="77"/>
      <c r="O276" s="77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</row>
    <row r="277" spans="1:27" ht="12.75" customHeight="1" x14ac:dyDescent="0.25">
      <c r="A277" s="79"/>
      <c r="B277" s="79"/>
      <c r="C277" s="77"/>
      <c r="D277" s="80"/>
      <c r="E277" s="80"/>
      <c r="F277" s="86"/>
      <c r="G277" s="92"/>
      <c r="H277" s="92"/>
      <c r="I277" s="92"/>
      <c r="J277" s="93"/>
      <c r="K277" s="93"/>
      <c r="L277" s="77"/>
      <c r="M277" s="77"/>
      <c r="N277" s="77"/>
      <c r="O277" s="77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</row>
    <row r="278" spans="1:27" ht="12.75" customHeight="1" x14ac:dyDescent="0.25">
      <c r="A278" s="79"/>
      <c r="B278" s="79"/>
      <c r="C278" s="77"/>
      <c r="D278" s="80"/>
      <c r="E278" s="80"/>
      <c r="F278" s="86"/>
      <c r="G278" s="92"/>
      <c r="H278" s="92"/>
      <c r="I278" s="92"/>
      <c r="J278" s="93"/>
      <c r="K278" s="93"/>
      <c r="L278" s="77"/>
      <c r="M278" s="77"/>
      <c r="N278" s="77"/>
      <c r="O278" s="77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</row>
    <row r="279" spans="1:27" ht="12.75" customHeight="1" x14ac:dyDescent="0.25">
      <c r="A279" s="79"/>
      <c r="B279" s="79"/>
      <c r="C279" s="77"/>
      <c r="D279" s="80"/>
      <c r="E279" s="80"/>
      <c r="F279" s="86"/>
      <c r="G279" s="92"/>
      <c r="H279" s="92"/>
      <c r="I279" s="92"/>
      <c r="J279" s="93"/>
      <c r="K279" s="93"/>
      <c r="L279" s="77"/>
      <c r="M279" s="77"/>
      <c r="N279" s="77"/>
      <c r="O279" s="77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</row>
    <row r="280" spans="1:27" ht="12.75" customHeight="1" x14ac:dyDescent="0.25">
      <c r="A280" s="79"/>
      <c r="B280" s="79"/>
      <c r="C280" s="77"/>
      <c r="D280" s="80"/>
      <c r="E280" s="80"/>
      <c r="F280" s="86"/>
      <c r="G280" s="92"/>
      <c r="H280" s="92"/>
      <c r="I280" s="92"/>
      <c r="J280" s="93"/>
      <c r="K280" s="93"/>
      <c r="L280" s="77"/>
      <c r="M280" s="77"/>
      <c r="N280" s="77"/>
      <c r="O280" s="77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</row>
    <row r="281" spans="1:27" ht="12.75" customHeight="1" x14ac:dyDescent="0.25">
      <c r="A281" s="79"/>
      <c r="B281" s="79"/>
      <c r="C281" s="77"/>
      <c r="D281" s="80"/>
      <c r="E281" s="80"/>
      <c r="F281" s="86"/>
      <c r="G281" s="92"/>
      <c r="H281" s="92"/>
      <c r="I281" s="92"/>
      <c r="J281" s="93"/>
      <c r="K281" s="93"/>
      <c r="L281" s="77"/>
      <c r="M281" s="77"/>
      <c r="N281" s="77"/>
      <c r="O281" s="77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</row>
    <row r="282" spans="1:27" ht="12.75" customHeight="1" x14ac:dyDescent="0.25">
      <c r="A282" s="79"/>
      <c r="B282" s="79"/>
      <c r="C282" s="77"/>
      <c r="D282" s="80"/>
      <c r="E282" s="80"/>
      <c r="F282" s="86"/>
      <c r="G282" s="92"/>
      <c r="H282" s="92"/>
      <c r="I282" s="92"/>
      <c r="J282" s="93"/>
      <c r="K282" s="93"/>
      <c r="L282" s="77"/>
      <c r="M282" s="77"/>
      <c r="N282" s="77"/>
      <c r="O282" s="77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</row>
    <row r="283" spans="1:27" ht="12.75" customHeight="1" x14ac:dyDescent="0.25">
      <c r="A283" s="79"/>
      <c r="B283" s="79"/>
      <c r="C283" s="77"/>
      <c r="D283" s="80"/>
      <c r="E283" s="80"/>
      <c r="F283" s="86"/>
      <c r="G283" s="92"/>
      <c r="H283" s="92"/>
      <c r="I283" s="92"/>
      <c r="J283" s="93"/>
      <c r="K283" s="93"/>
      <c r="L283" s="77"/>
      <c r="M283" s="77"/>
      <c r="N283" s="77"/>
      <c r="O283" s="77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</row>
    <row r="284" spans="1:27" ht="12.75" customHeight="1" x14ac:dyDescent="0.25">
      <c r="A284" s="79"/>
      <c r="B284" s="79"/>
      <c r="C284" s="77"/>
      <c r="D284" s="80"/>
      <c r="E284" s="80"/>
      <c r="F284" s="86"/>
      <c r="G284" s="92"/>
      <c r="H284" s="92"/>
      <c r="I284" s="92"/>
      <c r="J284" s="93"/>
      <c r="K284" s="93"/>
      <c r="L284" s="77"/>
      <c r="M284" s="77"/>
      <c r="N284" s="77"/>
      <c r="O284" s="77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</row>
    <row r="285" spans="1:27" ht="12.75" customHeight="1" x14ac:dyDescent="0.25">
      <c r="A285" s="79"/>
      <c r="B285" s="79"/>
      <c r="C285" s="77"/>
      <c r="D285" s="80"/>
      <c r="E285" s="80"/>
      <c r="F285" s="86"/>
      <c r="G285" s="92"/>
      <c r="H285" s="92"/>
      <c r="I285" s="92"/>
      <c r="J285" s="93"/>
      <c r="K285" s="93"/>
      <c r="L285" s="77"/>
      <c r="M285" s="77"/>
      <c r="N285" s="77"/>
      <c r="O285" s="77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</row>
    <row r="286" spans="1:27" ht="12.75" customHeight="1" x14ac:dyDescent="0.25">
      <c r="A286" s="79"/>
      <c r="B286" s="79"/>
      <c r="C286" s="77"/>
      <c r="D286" s="80"/>
      <c r="E286" s="80"/>
      <c r="F286" s="86"/>
      <c r="G286" s="92"/>
      <c r="H286" s="92"/>
      <c r="I286" s="92"/>
      <c r="J286" s="93"/>
      <c r="K286" s="93"/>
      <c r="L286" s="77"/>
      <c r="M286" s="77"/>
      <c r="N286" s="77"/>
      <c r="O286" s="77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</row>
    <row r="287" spans="1:27" ht="12.75" customHeight="1" x14ac:dyDescent="0.25">
      <c r="A287" s="79"/>
      <c r="B287" s="79"/>
      <c r="C287" s="77"/>
      <c r="D287" s="80"/>
      <c r="E287" s="80"/>
      <c r="F287" s="86"/>
      <c r="G287" s="92"/>
      <c r="H287" s="92"/>
      <c r="I287" s="92"/>
      <c r="J287" s="93"/>
      <c r="K287" s="93"/>
      <c r="L287" s="77"/>
      <c r="M287" s="77"/>
      <c r="N287" s="77"/>
      <c r="O287" s="77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</row>
    <row r="288" spans="1:27" ht="12.75" customHeight="1" x14ac:dyDescent="0.25">
      <c r="A288" s="79"/>
      <c r="B288" s="79"/>
      <c r="C288" s="77"/>
      <c r="D288" s="80"/>
      <c r="E288" s="80"/>
      <c r="F288" s="86"/>
      <c r="G288" s="92"/>
      <c r="H288" s="92"/>
      <c r="I288" s="92"/>
      <c r="J288" s="93"/>
      <c r="K288" s="93"/>
      <c r="L288" s="77"/>
      <c r="M288" s="77"/>
      <c r="N288" s="77"/>
      <c r="O288" s="77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</row>
    <row r="289" spans="1:27" ht="12.75" customHeight="1" x14ac:dyDescent="0.25">
      <c r="A289" s="79"/>
      <c r="B289" s="79"/>
      <c r="C289" s="77"/>
      <c r="D289" s="80"/>
      <c r="E289" s="80"/>
      <c r="F289" s="86"/>
      <c r="G289" s="92"/>
      <c r="H289" s="92"/>
      <c r="I289" s="92"/>
      <c r="J289" s="93"/>
      <c r="K289" s="93"/>
      <c r="L289" s="77"/>
      <c r="M289" s="77"/>
      <c r="N289" s="77"/>
      <c r="O289" s="77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</row>
    <row r="290" spans="1:27" ht="12.75" customHeight="1" x14ac:dyDescent="0.25">
      <c r="A290" s="79"/>
      <c r="B290" s="79"/>
      <c r="C290" s="77"/>
      <c r="D290" s="80"/>
      <c r="E290" s="80"/>
      <c r="F290" s="86"/>
      <c r="G290" s="92"/>
      <c r="H290" s="92"/>
      <c r="I290" s="92"/>
      <c r="J290" s="93"/>
      <c r="K290" s="93"/>
      <c r="L290" s="77"/>
      <c r="M290" s="77"/>
      <c r="N290" s="77"/>
      <c r="O290" s="77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</row>
    <row r="291" spans="1:27" ht="12.75" customHeight="1" x14ac:dyDescent="0.25">
      <c r="A291" s="79"/>
      <c r="B291" s="79"/>
      <c r="C291" s="77"/>
      <c r="D291" s="80"/>
      <c r="E291" s="80"/>
      <c r="F291" s="86"/>
      <c r="G291" s="92"/>
      <c r="H291" s="92"/>
      <c r="I291" s="92"/>
      <c r="J291" s="93"/>
      <c r="K291" s="93"/>
      <c r="L291" s="77"/>
      <c r="M291" s="77"/>
      <c r="N291" s="77"/>
      <c r="O291" s="77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</row>
    <row r="292" spans="1:27" ht="12.75" customHeight="1" x14ac:dyDescent="0.25">
      <c r="A292" s="79"/>
      <c r="B292" s="79"/>
      <c r="C292" s="77"/>
      <c r="D292" s="80"/>
      <c r="E292" s="80"/>
      <c r="F292" s="86"/>
      <c r="G292" s="92"/>
      <c r="H292" s="92"/>
      <c r="I292" s="92"/>
      <c r="J292" s="93"/>
      <c r="K292" s="93"/>
      <c r="L292" s="77"/>
      <c r="M292" s="77"/>
      <c r="N292" s="77"/>
      <c r="O292" s="77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</row>
    <row r="293" spans="1:27" ht="12.75" customHeight="1" x14ac:dyDescent="0.25">
      <c r="A293" s="79"/>
      <c r="B293" s="79"/>
      <c r="C293" s="77"/>
      <c r="D293" s="80"/>
      <c r="E293" s="80"/>
      <c r="F293" s="86"/>
      <c r="G293" s="92"/>
      <c r="H293" s="92"/>
      <c r="I293" s="92"/>
      <c r="J293" s="93"/>
      <c r="K293" s="93"/>
      <c r="L293" s="77"/>
      <c r="M293" s="77"/>
      <c r="N293" s="77"/>
      <c r="O293" s="77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</row>
    <row r="294" spans="1:27" ht="12.75" customHeight="1" x14ac:dyDescent="0.25">
      <c r="A294" s="79"/>
      <c r="B294" s="79"/>
      <c r="C294" s="77"/>
      <c r="D294" s="80"/>
      <c r="E294" s="80"/>
      <c r="F294" s="86"/>
      <c r="G294" s="92"/>
      <c r="H294" s="92"/>
      <c r="I294" s="92"/>
      <c r="J294" s="93"/>
      <c r="K294" s="93"/>
      <c r="L294" s="77"/>
      <c r="M294" s="77"/>
      <c r="N294" s="77"/>
      <c r="O294" s="77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</row>
    <row r="295" spans="1:27" ht="12.75" customHeight="1" x14ac:dyDescent="0.25">
      <c r="A295" s="79"/>
      <c r="B295" s="79"/>
      <c r="C295" s="77"/>
      <c r="D295" s="80"/>
      <c r="E295" s="80"/>
      <c r="F295" s="86"/>
      <c r="G295" s="92"/>
      <c r="H295" s="92"/>
      <c r="I295" s="92"/>
      <c r="J295" s="93"/>
      <c r="K295" s="93"/>
      <c r="L295" s="77"/>
      <c r="M295" s="77"/>
      <c r="N295" s="77"/>
      <c r="O295" s="77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</row>
    <row r="296" spans="1:27" ht="12.75" customHeight="1" x14ac:dyDescent="0.25">
      <c r="A296" s="79"/>
      <c r="B296" s="79"/>
      <c r="C296" s="77"/>
      <c r="D296" s="80"/>
      <c r="E296" s="80"/>
      <c r="F296" s="86"/>
      <c r="G296" s="92"/>
      <c r="H296" s="92"/>
      <c r="I296" s="92"/>
      <c r="J296" s="93"/>
      <c r="K296" s="93"/>
      <c r="L296" s="77"/>
      <c r="M296" s="77"/>
      <c r="N296" s="77"/>
      <c r="O296" s="77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</row>
    <row r="297" spans="1:27" ht="12.75" customHeight="1" x14ac:dyDescent="0.25">
      <c r="A297" s="79"/>
      <c r="B297" s="79"/>
      <c r="C297" s="77"/>
      <c r="D297" s="80"/>
      <c r="E297" s="80"/>
      <c r="F297" s="86"/>
      <c r="G297" s="92"/>
      <c r="H297" s="92"/>
      <c r="I297" s="92"/>
      <c r="J297" s="93"/>
      <c r="K297" s="93"/>
      <c r="L297" s="77"/>
      <c r="M297" s="77"/>
      <c r="N297" s="77"/>
      <c r="O297" s="77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</row>
    <row r="298" spans="1:27" ht="12.75" customHeight="1" x14ac:dyDescent="0.25">
      <c r="A298" s="79"/>
      <c r="B298" s="79"/>
      <c r="C298" s="77"/>
      <c r="D298" s="80"/>
      <c r="E298" s="80"/>
      <c r="F298" s="86"/>
      <c r="G298" s="92"/>
      <c r="H298" s="92"/>
      <c r="I298" s="92"/>
      <c r="J298" s="93"/>
      <c r="K298" s="93"/>
      <c r="L298" s="77"/>
      <c r="M298" s="77"/>
      <c r="N298" s="77"/>
      <c r="O298" s="77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</row>
    <row r="299" spans="1:27" ht="12.75" customHeight="1" x14ac:dyDescent="0.25">
      <c r="A299" s="79"/>
      <c r="B299" s="79"/>
      <c r="C299" s="77"/>
      <c r="D299" s="80"/>
      <c r="E299" s="80"/>
      <c r="F299" s="86"/>
      <c r="G299" s="92"/>
      <c r="H299" s="92"/>
      <c r="I299" s="92"/>
      <c r="J299" s="93"/>
      <c r="K299" s="93"/>
      <c r="L299" s="77"/>
      <c r="M299" s="77"/>
      <c r="N299" s="77"/>
      <c r="O299" s="77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</row>
    <row r="300" spans="1:27" ht="12.75" customHeight="1" x14ac:dyDescent="0.25">
      <c r="A300" s="79"/>
      <c r="B300" s="79"/>
      <c r="C300" s="77"/>
      <c r="D300" s="80"/>
      <c r="E300" s="80"/>
      <c r="F300" s="86"/>
      <c r="G300" s="92"/>
      <c r="H300" s="92"/>
      <c r="I300" s="92"/>
      <c r="J300" s="93"/>
      <c r="K300" s="93"/>
      <c r="L300" s="77"/>
      <c r="M300" s="77"/>
      <c r="N300" s="77"/>
      <c r="O300" s="77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</row>
    <row r="301" spans="1:27" ht="12.75" customHeight="1" x14ac:dyDescent="0.25">
      <c r="A301" s="79"/>
      <c r="B301" s="79"/>
      <c r="C301" s="77"/>
      <c r="D301" s="80"/>
      <c r="E301" s="80"/>
      <c r="F301" s="86"/>
      <c r="G301" s="92"/>
      <c r="H301" s="92"/>
      <c r="I301" s="92"/>
      <c r="J301" s="93"/>
      <c r="K301" s="93"/>
      <c r="L301" s="77"/>
      <c r="M301" s="77"/>
      <c r="N301" s="77"/>
      <c r="O301" s="77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</row>
    <row r="302" spans="1:27" ht="12.75" customHeight="1" x14ac:dyDescent="0.25">
      <c r="A302" s="79"/>
      <c r="B302" s="79"/>
      <c r="C302" s="77"/>
      <c r="D302" s="80"/>
      <c r="E302" s="80"/>
      <c r="F302" s="86"/>
      <c r="G302" s="92"/>
      <c r="H302" s="92"/>
      <c r="I302" s="92"/>
      <c r="J302" s="93"/>
      <c r="K302" s="93"/>
      <c r="L302" s="77"/>
      <c r="M302" s="77"/>
      <c r="N302" s="77"/>
      <c r="O302" s="77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</row>
    <row r="303" spans="1:27" ht="12.75" customHeight="1" x14ac:dyDescent="0.25">
      <c r="A303" s="79"/>
      <c r="B303" s="79"/>
      <c r="C303" s="77"/>
      <c r="D303" s="80"/>
      <c r="E303" s="80"/>
      <c r="F303" s="86"/>
      <c r="G303" s="92"/>
      <c r="H303" s="92"/>
      <c r="I303" s="92"/>
      <c r="J303" s="93"/>
      <c r="K303" s="93"/>
      <c r="L303" s="77"/>
      <c r="M303" s="77"/>
      <c r="N303" s="77"/>
      <c r="O303" s="77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</row>
    <row r="304" spans="1:27" ht="12.75" customHeight="1" x14ac:dyDescent="0.25">
      <c r="A304" s="79"/>
      <c r="B304" s="79"/>
      <c r="C304" s="77"/>
      <c r="D304" s="80"/>
      <c r="E304" s="80"/>
      <c r="F304" s="86"/>
      <c r="G304" s="92"/>
      <c r="H304" s="92"/>
      <c r="I304" s="92"/>
      <c r="J304" s="93"/>
      <c r="K304" s="93"/>
      <c r="L304" s="77"/>
      <c r="M304" s="77"/>
      <c r="N304" s="77"/>
      <c r="O304" s="77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</row>
    <row r="305" spans="1:27" ht="12.75" customHeight="1" x14ac:dyDescent="0.25">
      <c r="A305" s="79"/>
      <c r="B305" s="79"/>
      <c r="C305" s="77"/>
      <c r="D305" s="80"/>
      <c r="E305" s="80"/>
      <c r="F305" s="86"/>
      <c r="G305" s="92"/>
      <c r="H305" s="92"/>
      <c r="I305" s="92"/>
      <c r="J305" s="93"/>
      <c r="K305" s="93"/>
      <c r="L305" s="77"/>
      <c r="M305" s="77"/>
      <c r="N305" s="77"/>
      <c r="O305" s="77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</row>
    <row r="306" spans="1:27" ht="12.75" customHeight="1" x14ac:dyDescent="0.25">
      <c r="A306" s="79"/>
      <c r="B306" s="79"/>
      <c r="C306" s="77"/>
      <c r="D306" s="80"/>
      <c r="E306" s="80"/>
      <c r="F306" s="86"/>
      <c r="G306" s="92"/>
      <c r="H306" s="92"/>
      <c r="I306" s="92"/>
      <c r="J306" s="93"/>
      <c r="K306" s="93"/>
      <c r="L306" s="77"/>
      <c r="M306" s="77"/>
      <c r="N306" s="77"/>
      <c r="O306" s="77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</row>
    <row r="307" spans="1:27" ht="12.75" customHeight="1" x14ac:dyDescent="0.25">
      <c r="A307" s="79"/>
      <c r="B307" s="79"/>
      <c r="C307" s="77"/>
      <c r="D307" s="80"/>
      <c r="E307" s="80"/>
      <c r="F307" s="86"/>
      <c r="G307" s="92"/>
      <c r="H307" s="92"/>
      <c r="I307" s="92"/>
      <c r="J307" s="93"/>
      <c r="K307" s="93"/>
      <c r="L307" s="77"/>
      <c r="M307" s="77"/>
      <c r="N307" s="77"/>
      <c r="O307" s="77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</row>
    <row r="308" spans="1:27" ht="12.75" customHeight="1" x14ac:dyDescent="0.25">
      <c r="A308" s="79"/>
      <c r="B308" s="79"/>
      <c r="C308" s="77"/>
      <c r="D308" s="80"/>
      <c r="E308" s="80"/>
      <c r="F308" s="86"/>
      <c r="G308" s="92"/>
      <c r="H308" s="92"/>
      <c r="I308" s="92"/>
      <c r="J308" s="93"/>
      <c r="K308" s="93"/>
      <c r="L308" s="77"/>
      <c r="M308" s="77"/>
      <c r="N308" s="77"/>
      <c r="O308" s="77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</row>
    <row r="309" spans="1:27" ht="12.75" customHeight="1" x14ac:dyDescent="0.25">
      <c r="A309" s="79"/>
      <c r="B309" s="79"/>
      <c r="C309" s="77"/>
      <c r="D309" s="80"/>
      <c r="E309" s="80"/>
      <c r="F309" s="86"/>
      <c r="G309" s="92"/>
      <c r="H309" s="92"/>
      <c r="I309" s="92"/>
      <c r="J309" s="93"/>
      <c r="K309" s="93"/>
      <c r="L309" s="77"/>
      <c r="M309" s="77"/>
      <c r="N309" s="77"/>
      <c r="O309" s="77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</row>
    <row r="310" spans="1:27" ht="12.75" customHeight="1" x14ac:dyDescent="0.25">
      <c r="A310" s="79"/>
      <c r="B310" s="79"/>
      <c r="C310" s="77"/>
      <c r="D310" s="80"/>
      <c r="E310" s="80"/>
      <c r="F310" s="86"/>
      <c r="G310" s="92"/>
      <c r="H310" s="92"/>
      <c r="I310" s="92"/>
      <c r="J310" s="93"/>
      <c r="K310" s="93"/>
      <c r="L310" s="77"/>
      <c r="M310" s="77"/>
      <c r="N310" s="77"/>
      <c r="O310" s="77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</row>
    <row r="311" spans="1:27" ht="12.75" customHeight="1" x14ac:dyDescent="0.25">
      <c r="A311" s="79"/>
      <c r="B311" s="79"/>
      <c r="C311" s="77"/>
      <c r="D311" s="80"/>
      <c r="E311" s="80"/>
      <c r="F311" s="86"/>
      <c r="G311" s="92"/>
      <c r="H311" s="92"/>
      <c r="I311" s="92"/>
      <c r="J311" s="93"/>
      <c r="K311" s="93"/>
      <c r="L311" s="77"/>
      <c r="M311" s="77"/>
      <c r="N311" s="77"/>
      <c r="O311" s="77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</row>
    <row r="312" spans="1:27" ht="12.75" customHeight="1" x14ac:dyDescent="0.25">
      <c r="A312" s="79"/>
      <c r="B312" s="79"/>
      <c r="C312" s="77"/>
      <c r="D312" s="80"/>
      <c r="E312" s="80"/>
      <c r="F312" s="86"/>
      <c r="G312" s="92"/>
      <c r="H312" s="92"/>
      <c r="I312" s="92"/>
      <c r="J312" s="93"/>
      <c r="K312" s="93"/>
      <c r="L312" s="77"/>
      <c r="M312" s="77"/>
      <c r="N312" s="77"/>
      <c r="O312" s="77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</row>
    <row r="313" spans="1:27" ht="12.75" customHeight="1" x14ac:dyDescent="0.25">
      <c r="A313" s="79"/>
      <c r="B313" s="79"/>
      <c r="C313" s="77"/>
      <c r="D313" s="80"/>
      <c r="E313" s="80"/>
      <c r="F313" s="86"/>
      <c r="G313" s="92"/>
      <c r="H313" s="92"/>
      <c r="I313" s="92"/>
      <c r="J313" s="93"/>
      <c r="K313" s="93"/>
      <c r="L313" s="77"/>
      <c r="M313" s="77"/>
      <c r="N313" s="77"/>
      <c r="O313" s="7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</row>
    <row r="314" spans="1:27" ht="12.75" customHeight="1" x14ac:dyDescent="0.25">
      <c r="A314" s="79"/>
      <c r="B314" s="79"/>
      <c r="C314" s="77"/>
      <c r="D314" s="80"/>
      <c r="E314" s="80"/>
      <c r="F314" s="86"/>
      <c r="G314" s="92"/>
      <c r="H314" s="92"/>
      <c r="I314" s="92"/>
      <c r="J314" s="93"/>
      <c r="K314" s="93"/>
      <c r="L314" s="77"/>
      <c r="M314" s="77"/>
      <c r="N314" s="77"/>
      <c r="O314" s="77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</row>
    <row r="315" spans="1:27" ht="12.75" customHeight="1" x14ac:dyDescent="0.25">
      <c r="A315" s="79"/>
      <c r="B315" s="79"/>
      <c r="C315" s="77"/>
      <c r="D315" s="80"/>
      <c r="E315" s="80"/>
      <c r="F315" s="86"/>
      <c r="G315" s="92"/>
      <c r="H315" s="92"/>
      <c r="I315" s="92"/>
      <c r="J315" s="93"/>
      <c r="K315" s="93"/>
      <c r="L315" s="77"/>
      <c r="M315" s="77"/>
      <c r="N315" s="77"/>
      <c r="O315" s="77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</row>
    <row r="316" spans="1:27" ht="12.75" customHeight="1" x14ac:dyDescent="0.25">
      <c r="A316" s="79"/>
      <c r="B316" s="79"/>
      <c r="C316" s="77"/>
      <c r="D316" s="80"/>
      <c r="E316" s="80"/>
      <c r="F316" s="86"/>
      <c r="G316" s="92"/>
      <c r="H316" s="92"/>
      <c r="I316" s="92"/>
      <c r="J316" s="93"/>
      <c r="K316" s="93"/>
      <c r="L316" s="77"/>
      <c r="M316" s="77"/>
      <c r="N316" s="77"/>
      <c r="O316" s="77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</row>
    <row r="317" spans="1:27" ht="12.75" customHeight="1" x14ac:dyDescent="0.25">
      <c r="A317" s="79"/>
      <c r="B317" s="79"/>
      <c r="C317" s="77"/>
      <c r="D317" s="80"/>
      <c r="E317" s="80"/>
      <c r="F317" s="86"/>
      <c r="G317" s="92"/>
      <c r="H317" s="92"/>
      <c r="I317" s="92"/>
      <c r="J317" s="93"/>
      <c r="K317" s="93"/>
      <c r="L317" s="77"/>
      <c r="M317" s="77"/>
      <c r="N317" s="77"/>
      <c r="O317" s="77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</row>
    <row r="318" spans="1:27" ht="12.75" customHeight="1" x14ac:dyDescent="0.25">
      <c r="A318" s="79"/>
      <c r="B318" s="79"/>
      <c r="C318" s="77"/>
      <c r="D318" s="80"/>
      <c r="E318" s="80"/>
      <c r="F318" s="86"/>
      <c r="G318" s="92"/>
      <c r="H318" s="92"/>
      <c r="I318" s="92"/>
      <c r="J318" s="93"/>
      <c r="K318" s="93"/>
      <c r="L318" s="77"/>
      <c r="M318" s="77"/>
      <c r="N318" s="77"/>
      <c r="O318" s="77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</row>
    <row r="319" spans="1:27" ht="12.75" customHeight="1" x14ac:dyDescent="0.25">
      <c r="A319" s="79"/>
      <c r="B319" s="79"/>
      <c r="C319" s="77"/>
      <c r="D319" s="80"/>
      <c r="E319" s="80"/>
      <c r="F319" s="86"/>
      <c r="G319" s="92"/>
      <c r="H319" s="92"/>
      <c r="I319" s="92"/>
      <c r="J319" s="93"/>
      <c r="K319" s="93"/>
      <c r="L319" s="77"/>
      <c r="M319" s="77"/>
      <c r="N319" s="77"/>
      <c r="O319" s="77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</row>
    <row r="320" spans="1:27" ht="12.75" customHeight="1" x14ac:dyDescent="0.25">
      <c r="A320" s="79"/>
      <c r="B320" s="79"/>
      <c r="C320" s="77"/>
      <c r="D320" s="80"/>
      <c r="E320" s="80"/>
      <c r="F320" s="86"/>
      <c r="G320" s="92"/>
      <c r="H320" s="92"/>
      <c r="I320" s="92"/>
      <c r="J320" s="93"/>
      <c r="K320" s="93"/>
      <c r="L320" s="77"/>
      <c r="M320" s="77"/>
      <c r="N320" s="77"/>
      <c r="O320" s="77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</row>
    <row r="321" spans="1:27" ht="12.75" customHeight="1" x14ac:dyDescent="0.25">
      <c r="A321" s="79"/>
      <c r="B321" s="79"/>
      <c r="C321" s="77"/>
      <c r="D321" s="80"/>
      <c r="E321" s="80"/>
      <c r="F321" s="86"/>
      <c r="G321" s="92"/>
      <c r="H321" s="92"/>
      <c r="I321" s="92"/>
      <c r="J321" s="93"/>
      <c r="K321" s="93"/>
      <c r="L321" s="77"/>
      <c r="M321" s="77"/>
      <c r="N321" s="77"/>
      <c r="O321" s="77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</row>
    <row r="322" spans="1:27" ht="12.75" customHeight="1" x14ac:dyDescent="0.25">
      <c r="A322" s="79"/>
      <c r="B322" s="79"/>
      <c r="C322" s="77"/>
      <c r="D322" s="80"/>
      <c r="E322" s="80"/>
      <c r="F322" s="86"/>
      <c r="G322" s="92"/>
      <c r="H322" s="92"/>
      <c r="I322" s="92"/>
      <c r="J322" s="93"/>
      <c r="K322" s="93"/>
      <c r="L322" s="77"/>
      <c r="M322" s="77"/>
      <c r="N322" s="77"/>
      <c r="O322" s="77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</row>
    <row r="323" spans="1:27" ht="12.75" customHeight="1" x14ac:dyDescent="0.25">
      <c r="A323" s="79"/>
      <c r="B323" s="79"/>
      <c r="C323" s="77"/>
      <c r="D323" s="80"/>
      <c r="E323" s="80"/>
      <c r="F323" s="86"/>
      <c r="G323" s="92"/>
      <c r="H323" s="92"/>
      <c r="I323" s="92"/>
      <c r="J323" s="93"/>
      <c r="K323" s="93"/>
      <c r="L323" s="77"/>
      <c r="M323" s="77"/>
      <c r="N323" s="77"/>
      <c r="O323" s="77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</row>
    <row r="324" spans="1:27" ht="12.75" customHeight="1" x14ac:dyDescent="0.25">
      <c r="A324" s="79"/>
      <c r="B324" s="79"/>
      <c r="C324" s="77"/>
      <c r="D324" s="80"/>
      <c r="E324" s="80"/>
      <c r="F324" s="86"/>
      <c r="G324" s="92"/>
      <c r="H324" s="92"/>
      <c r="I324" s="92"/>
      <c r="J324" s="93"/>
      <c r="K324" s="93"/>
      <c r="L324" s="77"/>
      <c r="M324" s="77"/>
      <c r="N324" s="77"/>
      <c r="O324" s="77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</row>
    <row r="325" spans="1:27" ht="12.75" customHeight="1" x14ac:dyDescent="0.25">
      <c r="A325" s="79"/>
      <c r="B325" s="79"/>
      <c r="C325" s="77"/>
      <c r="D325" s="80"/>
      <c r="E325" s="80"/>
      <c r="F325" s="86"/>
      <c r="G325" s="92"/>
      <c r="H325" s="92"/>
      <c r="I325" s="92"/>
      <c r="J325" s="93"/>
      <c r="K325" s="93"/>
      <c r="L325" s="77"/>
      <c r="M325" s="77"/>
      <c r="N325" s="77"/>
      <c r="O325" s="77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</row>
    <row r="326" spans="1:27" ht="12.75" customHeight="1" x14ac:dyDescent="0.25">
      <c r="A326" s="79"/>
      <c r="B326" s="79"/>
      <c r="C326" s="77"/>
      <c r="D326" s="80"/>
      <c r="E326" s="80"/>
      <c r="F326" s="86"/>
      <c r="G326" s="92"/>
      <c r="H326" s="92"/>
      <c r="I326" s="92"/>
      <c r="J326" s="93"/>
      <c r="K326" s="93"/>
      <c r="L326" s="77"/>
      <c r="M326" s="77"/>
      <c r="N326" s="77"/>
      <c r="O326" s="77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</row>
    <row r="327" spans="1:27" ht="12.75" customHeight="1" x14ac:dyDescent="0.25">
      <c r="A327" s="79"/>
      <c r="B327" s="79"/>
      <c r="C327" s="77"/>
      <c r="D327" s="80"/>
      <c r="E327" s="80"/>
      <c r="F327" s="86"/>
      <c r="G327" s="92"/>
      <c r="H327" s="92"/>
      <c r="I327" s="92"/>
      <c r="J327" s="93"/>
      <c r="K327" s="93"/>
      <c r="L327" s="77"/>
      <c r="M327" s="77"/>
      <c r="N327" s="77"/>
      <c r="O327" s="77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</row>
    <row r="328" spans="1:27" ht="12.75" customHeight="1" x14ac:dyDescent="0.25">
      <c r="A328" s="79"/>
      <c r="B328" s="79"/>
      <c r="C328" s="77"/>
      <c r="D328" s="80"/>
      <c r="E328" s="80"/>
      <c r="F328" s="86"/>
      <c r="G328" s="92"/>
      <c r="H328" s="92"/>
      <c r="I328" s="92"/>
      <c r="J328" s="93"/>
      <c r="K328" s="93"/>
      <c r="L328" s="77"/>
      <c r="M328" s="77"/>
      <c r="N328" s="77"/>
      <c r="O328" s="77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</row>
    <row r="329" spans="1:27" ht="12.75" customHeight="1" x14ac:dyDescent="0.25">
      <c r="A329" s="79"/>
      <c r="B329" s="79"/>
      <c r="C329" s="77"/>
      <c r="D329" s="80"/>
      <c r="E329" s="80"/>
      <c r="F329" s="86"/>
      <c r="G329" s="92"/>
      <c r="H329" s="92"/>
      <c r="I329" s="92"/>
      <c r="J329" s="93"/>
      <c r="K329" s="93"/>
      <c r="L329" s="77"/>
      <c r="M329" s="77"/>
      <c r="N329" s="77"/>
      <c r="O329" s="77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</row>
    <row r="330" spans="1:27" ht="12.75" customHeight="1" x14ac:dyDescent="0.25">
      <c r="A330" s="79"/>
      <c r="B330" s="79"/>
      <c r="C330" s="77"/>
      <c r="D330" s="80"/>
      <c r="E330" s="80"/>
      <c r="F330" s="86"/>
      <c r="G330" s="92"/>
      <c r="H330" s="92"/>
      <c r="I330" s="92"/>
      <c r="J330" s="93"/>
      <c r="K330" s="93"/>
      <c r="L330" s="77"/>
      <c r="M330" s="77"/>
      <c r="N330" s="77"/>
      <c r="O330" s="77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</row>
    <row r="331" spans="1:27" ht="12.75" customHeight="1" x14ac:dyDescent="0.25">
      <c r="A331" s="79"/>
      <c r="B331" s="79"/>
      <c r="C331" s="77"/>
      <c r="D331" s="80"/>
      <c r="E331" s="80"/>
      <c r="F331" s="86"/>
      <c r="G331" s="92"/>
      <c r="H331" s="92"/>
      <c r="I331" s="92"/>
      <c r="J331" s="93"/>
      <c r="K331" s="93"/>
      <c r="L331" s="77"/>
      <c r="M331" s="77"/>
      <c r="N331" s="77"/>
      <c r="O331" s="77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</row>
    <row r="332" spans="1:27" ht="12.75" customHeight="1" x14ac:dyDescent="0.25">
      <c r="A332" s="79"/>
      <c r="B332" s="79"/>
      <c r="C332" s="77"/>
      <c r="D332" s="80"/>
      <c r="E332" s="80"/>
      <c r="F332" s="86"/>
      <c r="G332" s="92"/>
      <c r="H332" s="92"/>
      <c r="I332" s="92"/>
      <c r="J332" s="93"/>
      <c r="K332" s="93"/>
      <c r="L332" s="77"/>
      <c r="M332" s="77"/>
      <c r="N332" s="77"/>
      <c r="O332" s="7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</row>
    <row r="333" spans="1:27" ht="12.75" customHeight="1" x14ac:dyDescent="0.25">
      <c r="A333" s="79"/>
      <c r="B333" s="79"/>
      <c r="C333" s="77"/>
      <c r="D333" s="80"/>
      <c r="E333" s="80"/>
      <c r="F333" s="86"/>
      <c r="G333" s="92"/>
      <c r="H333" s="92"/>
      <c r="I333" s="92"/>
      <c r="J333" s="93"/>
      <c r="K333" s="93"/>
      <c r="L333" s="77"/>
      <c r="M333" s="77"/>
      <c r="N333" s="77"/>
      <c r="O333" s="77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</row>
    <row r="334" spans="1:27" ht="12.75" customHeight="1" x14ac:dyDescent="0.25">
      <c r="A334" s="79"/>
      <c r="B334" s="79"/>
      <c r="C334" s="77"/>
      <c r="D334" s="80"/>
      <c r="E334" s="80"/>
      <c r="F334" s="86"/>
      <c r="G334" s="92"/>
      <c r="H334" s="92"/>
      <c r="I334" s="92"/>
      <c r="J334" s="93"/>
      <c r="K334" s="93"/>
      <c r="L334" s="77"/>
      <c r="M334" s="77"/>
      <c r="N334" s="77"/>
      <c r="O334" s="77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</row>
    <row r="335" spans="1:27" ht="12.75" customHeight="1" x14ac:dyDescent="0.25">
      <c r="A335" s="79"/>
      <c r="B335" s="79"/>
      <c r="C335" s="77"/>
      <c r="D335" s="80"/>
      <c r="E335" s="80"/>
      <c r="F335" s="86"/>
      <c r="G335" s="92"/>
      <c r="H335" s="92"/>
      <c r="I335" s="92"/>
      <c r="J335" s="93"/>
      <c r="K335" s="93"/>
      <c r="L335" s="77"/>
      <c r="M335" s="77"/>
      <c r="N335" s="77"/>
      <c r="O335" s="77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</row>
    <row r="336" spans="1:27" ht="12.75" customHeight="1" x14ac:dyDescent="0.25">
      <c r="A336" s="79"/>
      <c r="B336" s="79"/>
      <c r="C336" s="77"/>
      <c r="D336" s="80"/>
      <c r="E336" s="80"/>
      <c r="F336" s="86"/>
      <c r="G336" s="92"/>
      <c r="H336" s="92"/>
      <c r="I336" s="92"/>
      <c r="J336" s="93"/>
      <c r="K336" s="93"/>
      <c r="L336" s="77"/>
      <c r="M336" s="77"/>
      <c r="N336" s="77"/>
      <c r="O336" s="77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</row>
    <row r="337" spans="1:27" ht="12.75" customHeight="1" x14ac:dyDescent="0.25">
      <c r="A337" s="79"/>
      <c r="B337" s="79"/>
      <c r="C337" s="77"/>
      <c r="D337" s="80"/>
      <c r="E337" s="80"/>
      <c r="F337" s="86"/>
      <c r="G337" s="92"/>
      <c r="H337" s="92"/>
      <c r="I337" s="92"/>
      <c r="J337" s="93"/>
      <c r="K337" s="93"/>
      <c r="L337" s="77"/>
      <c r="M337" s="77"/>
      <c r="N337" s="77"/>
      <c r="O337" s="77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</row>
    <row r="338" spans="1:27" ht="12.75" customHeight="1" x14ac:dyDescent="0.25">
      <c r="A338" s="79"/>
      <c r="B338" s="79"/>
      <c r="C338" s="77"/>
      <c r="D338" s="80"/>
      <c r="E338" s="80"/>
      <c r="F338" s="86"/>
      <c r="G338" s="92"/>
      <c r="H338" s="92"/>
      <c r="I338" s="92"/>
      <c r="J338" s="93"/>
      <c r="K338" s="93"/>
      <c r="L338" s="77"/>
      <c r="M338" s="77"/>
      <c r="N338" s="77"/>
      <c r="O338" s="77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</row>
    <row r="339" spans="1:27" ht="12.75" customHeight="1" x14ac:dyDescent="0.25">
      <c r="A339" s="79"/>
      <c r="B339" s="79"/>
      <c r="C339" s="77"/>
      <c r="D339" s="80"/>
      <c r="E339" s="80"/>
      <c r="F339" s="86"/>
      <c r="G339" s="92"/>
      <c r="H339" s="92"/>
      <c r="I339" s="92"/>
      <c r="J339" s="93"/>
      <c r="K339" s="93"/>
      <c r="L339" s="77"/>
      <c r="M339" s="77"/>
      <c r="N339" s="77"/>
      <c r="O339" s="77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</row>
    <row r="340" spans="1:27" ht="12.75" customHeight="1" x14ac:dyDescent="0.25">
      <c r="A340" s="79"/>
      <c r="B340" s="79"/>
      <c r="C340" s="77"/>
      <c r="D340" s="80"/>
      <c r="E340" s="80"/>
      <c r="F340" s="86"/>
      <c r="G340" s="92"/>
      <c r="H340" s="92"/>
      <c r="I340" s="92"/>
      <c r="J340" s="93"/>
      <c r="K340" s="93"/>
      <c r="L340" s="77"/>
      <c r="M340" s="77"/>
      <c r="N340" s="77"/>
      <c r="O340" s="77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</row>
    <row r="341" spans="1:27" ht="12.75" customHeight="1" x14ac:dyDescent="0.25">
      <c r="A341" s="79"/>
      <c r="B341" s="79"/>
      <c r="C341" s="77"/>
      <c r="D341" s="80"/>
      <c r="E341" s="80"/>
      <c r="F341" s="86"/>
      <c r="G341" s="92"/>
      <c r="H341" s="92"/>
      <c r="I341" s="92"/>
      <c r="J341" s="93"/>
      <c r="K341" s="93"/>
      <c r="L341" s="77"/>
      <c r="M341" s="77"/>
      <c r="N341" s="77"/>
      <c r="O341" s="77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</row>
    <row r="342" spans="1:27" ht="12.75" customHeight="1" x14ac:dyDescent="0.25">
      <c r="A342" s="79"/>
      <c r="B342" s="79"/>
      <c r="C342" s="77"/>
      <c r="D342" s="80"/>
      <c r="E342" s="80"/>
      <c r="F342" s="86"/>
      <c r="G342" s="92"/>
      <c r="H342" s="92"/>
      <c r="I342" s="92"/>
      <c r="J342" s="93"/>
      <c r="K342" s="93"/>
      <c r="L342" s="77"/>
      <c r="M342" s="77"/>
      <c r="N342" s="77"/>
      <c r="O342" s="77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</row>
    <row r="343" spans="1:27" ht="12.75" customHeight="1" x14ac:dyDescent="0.25">
      <c r="A343" s="79"/>
      <c r="B343" s="79"/>
      <c r="C343" s="77"/>
      <c r="D343" s="80"/>
      <c r="E343" s="80"/>
      <c r="F343" s="86"/>
      <c r="G343" s="92"/>
      <c r="H343" s="92"/>
      <c r="I343" s="92"/>
      <c r="J343" s="93"/>
      <c r="K343" s="93"/>
      <c r="L343" s="77"/>
      <c r="M343" s="77"/>
      <c r="N343" s="77"/>
      <c r="O343" s="77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</row>
    <row r="344" spans="1:27" ht="12.75" customHeight="1" x14ac:dyDescent="0.25">
      <c r="A344" s="79"/>
      <c r="B344" s="79"/>
      <c r="C344" s="77"/>
      <c r="D344" s="80"/>
      <c r="E344" s="80"/>
      <c r="F344" s="86"/>
      <c r="G344" s="92"/>
      <c r="H344" s="92"/>
      <c r="I344" s="92"/>
      <c r="J344" s="93"/>
      <c r="K344" s="93"/>
      <c r="L344" s="77"/>
      <c r="M344" s="77"/>
      <c r="N344" s="77"/>
      <c r="O344" s="77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</row>
    <row r="345" spans="1:27" ht="12.75" customHeight="1" x14ac:dyDescent="0.25">
      <c r="A345" s="79"/>
      <c r="B345" s="79"/>
      <c r="C345" s="77"/>
      <c r="D345" s="80"/>
      <c r="E345" s="80"/>
      <c r="F345" s="86"/>
      <c r="G345" s="92"/>
      <c r="H345" s="92"/>
      <c r="I345" s="92"/>
      <c r="J345" s="93"/>
      <c r="K345" s="93"/>
      <c r="L345" s="77"/>
      <c r="M345" s="77"/>
      <c r="N345" s="77"/>
      <c r="O345" s="77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</row>
    <row r="346" spans="1:27" ht="12.75" customHeight="1" x14ac:dyDescent="0.25">
      <c r="A346" s="79"/>
      <c r="B346" s="79"/>
      <c r="C346" s="77"/>
      <c r="D346" s="80"/>
      <c r="E346" s="80"/>
      <c r="F346" s="86"/>
      <c r="G346" s="92"/>
      <c r="H346" s="92"/>
      <c r="I346" s="92"/>
      <c r="J346" s="93"/>
      <c r="K346" s="93"/>
      <c r="L346" s="77"/>
      <c r="M346" s="77"/>
      <c r="N346" s="77"/>
      <c r="O346" s="77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</row>
    <row r="347" spans="1:27" ht="12.75" customHeight="1" x14ac:dyDescent="0.25">
      <c r="A347" s="79"/>
      <c r="B347" s="79"/>
      <c r="C347" s="77"/>
      <c r="D347" s="80"/>
      <c r="E347" s="80"/>
      <c r="F347" s="86"/>
      <c r="G347" s="92"/>
      <c r="H347" s="92"/>
      <c r="I347" s="92"/>
      <c r="J347" s="93"/>
      <c r="K347" s="93"/>
      <c r="L347" s="77"/>
      <c r="M347" s="77"/>
      <c r="N347" s="77"/>
      <c r="O347" s="77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</row>
    <row r="348" spans="1:27" ht="12.75" customHeight="1" x14ac:dyDescent="0.25">
      <c r="A348" s="79"/>
      <c r="B348" s="79"/>
      <c r="C348" s="77"/>
      <c r="D348" s="80"/>
      <c r="E348" s="80"/>
      <c r="F348" s="86"/>
      <c r="G348" s="92"/>
      <c r="H348" s="92"/>
      <c r="I348" s="92"/>
      <c r="J348" s="93"/>
      <c r="K348" s="93"/>
      <c r="L348" s="77"/>
      <c r="M348" s="77"/>
      <c r="N348" s="77"/>
      <c r="O348" s="77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</row>
    <row r="349" spans="1:27" ht="12.75" customHeight="1" x14ac:dyDescent="0.25">
      <c r="A349" s="79"/>
      <c r="B349" s="79"/>
      <c r="C349" s="77"/>
      <c r="D349" s="80"/>
      <c r="E349" s="80"/>
      <c r="F349" s="86"/>
      <c r="G349" s="92"/>
      <c r="H349" s="92"/>
      <c r="I349" s="92"/>
      <c r="J349" s="93"/>
      <c r="K349" s="93"/>
      <c r="L349" s="77"/>
      <c r="M349" s="77"/>
      <c r="N349" s="77"/>
      <c r="O349" s="77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</row>
    <row r="350" spans="1:27" ht="12.75" customHeight="1" x14ac:dyDescent="0.25">
      <c r="A350" s="79"/>
      <c r="B350" s="79"/>
      <c r="C350" s="77"/>
      <c r="D350" s="80"/>
      <c r="E350" s="80"/>
      <c r="F350" s="86"/>
      <c r="G350" s="92"/>
      <c r="H350" s="92"/>
      <c r="I350" s="92"/>
      <c r="J350" s="93"/>
      <c r="K350" s="93"/>
      <c r="L350" s="77"/>
      <c r="M350" s="77"/>
      <c r="N350" s="77"/>
      <c r="O350" s="77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</row>
    <row r="351" spans="1:27" ht="12.75" customHeight="1" x14ac:dyDescent="0.25">
      <c r="A351" s="79"/>
      <c r="B351" s="79"/>
      <c r="C351" s="77"/>
      <c r="D351" s="80"/>
      <c r="E351" s="80"/>
      <c r="F351" s="86"/>
      <c r="G351" s="92"/>
      <c r="H351" s="92"/>
      <c r="I351" s="92"/>
      <c r="J351" s="93"/>
      <c r="K351" s="93"/>
      <c r="L351" s="77"/>
      <c r="M351" s="77"/>
      <c r="N351" s="77"/>
      <c r="O351" s="77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</row>
    <row r="352" spans="1:27" ht="12.75" customHeight="1" x14ac:dyDescent="0.25">
      <c r="A352" s="79"/>
      <c r="B352" s="79"/>
      <c r="C352" s="77"/>
      <c r="D352" s="80"/>
      <c r="E352" s="80"/>
      <c r="F352" s="86"/>
      <c r="G352" s="92"/>
      <c r="H352" s="92"/>
      <c r="I352" s="92"/>
      <c r="J352" s="93"/>
      <c r="K352" s="93"/>
      <c r="L352" s="77"/>
      <c r="M352" s="77"/>
      <c r="N352" s="77"/>
      <c r="O352" s="77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</row>
    <row r="353" spans="1:27" ht="12.75" customHeight="1" x14ac:dyDescent="0.25">
      <c r="A353" s="79"/>
      <c r="B353" s="79"/>
      <c r="C353" s="77"/>
      <c r="D353" s="80"/>
      <c r="E353" s="80"/>
      <c r="F353" s="86"/>
      <c r="G353" s="92"/>
      <c r="H353" s="92"/>
      <c r="I353" s="92"/>
      <c r="J353" s="93"/>
      <c r="K353" s="93"/>
      <c r="L353" s="77"/>
      <c r="M353" s="77"/>
      <c r="N353" s="77"/>
      <c r="O353" s="77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</row>
    <row r="354" spans="1:27" ht="12.75" customHeight="1" x14ac:dyDescent="0.25">
      <c r="A354" s="79"/>
      <c r="B354" s="79"/>
      <c r="C354" s="77"/>
      <c r="D354" s="80"/>
      <c r="E354" s="80"/>
      <c r="F354" s="86"/>
      <c r="G354" s="92"/>
      <c r="H354" s="92"/>
      <c r="I354" s="92"/>
      <c r="J354" s="93"/>
      <c r="K354" s="93"/>
      <c r="L354" s="77"/>
      <c r="M354" s="77"/>
      <c r="N354" s="77"/>
      <c r="O354" s="77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</row>
    <row r="355" spans="1:27" ht="12.75" customHeight="1" x14ac:dyDescent="0.25">
      <c r="A355" s="79"/>
      <c r="B355" s="79"/>
      <c r="C355" s="77"/>
      <c r="D355" s="80"/>
      <c r="E355" s="80"/>
      <c r="F355" s="86"/>
      <c r="G355" s="92"/>
      <c r="H355" s="92"/>
      <c r="I355" s="92"/>
      <c r="J355" s="93"/>
      <c r="K355" s="93"/>
      <c r="L355" s="77"/>
      <c r="M355" s="77"/>
      <c r="N355" s="77"/>
      <c r="O355" s="77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</row>
    <row r="356" spans="1:27" ht="12.75" customHeight="1" x14ac:dyDescent="0.25">
      <c r="A356" s="79"/>
      <c r="B356" s="79"/>
      <c r="C356" s="77"/>
      <c r="D356" s="80"/>
      <c r="E356" s="80"/>
      <c r="F356" s="86"/>
      <c r="G356" s="92"/>
      <c r="H356" s="92"/>
      <c r="I356" s="92"/>
      <c r="J356" s="93"/>
      <c r="K356" s="93"/>
      <c r="L356" s="77"/>
      <c r="M356" s="77"/>
      <c r="N356" s="77"/>
      <c r="O356" s="77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</row>
    <row r="357" spans="1:27" ht="12.75" customHeight="1" x14ac:dyDescent="0.25">
      <c r="A357" s="79"/>
      <c r="B357" s="79"/>
      <c r="C357" s="77"/>
      <c r="D357" s="80"/>
      <c r="E357" s="80"/>
      <c r="F357" s="86"/>
      <c r="G357" s="92"/>
      <c r="H357" s="92"/>
      <c r="I357" s="92"/>
      <c r="J357" s="93"/>
      <c r="K357" s="93"/>
      <c r="L357" s="77"/>
      <c r="M357" s="77"/>
      <c r="N357" s="77"/>
      <c r="O357" s="77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</row>
    <row r="358" spans="1:27" ht="12.75" customHeight="1" x14ac:dyDescent="0.25">
      <c r="A358" s="79"/>
      <c r="B358" s="79"/>
      <c r="C358" s="77"/>
      <c r="D358" s="80"/>
      <c r="E358" s="80"/>
      <c r="F358" s="86"/>
      <c r="G358" s="92"/>
      <c r="H358" s="92"/>
      <c r="I358" s="92"/>
      <c r="J358" s="93"/>
      <c r="K358" s="93"/>
      <c r="L358" s="77"/>
      <c r="M358" s="77"/>
      <c r="N358" s="77"/>
      <c r="O358" s="77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</row>
    <row r="359" spans="1:27" ht="12.75" customHeight="1" x14ac:dyDescent="0.25">
      <c r="A359" s="79"/>
      <c r="B359" s="79"/>
      <c r="C359" s="77"/>
      <c r="D359" s="80"/>
      <c r="E359" s="80"/>
      <c r="F359" s="86"/>
      <c r="G359" s="92"/>
      <c r="H359" s="92"/>
      <c r="I359" s="92"/>
      <c r="J359" s="93"/>
      <c r="K359" s="93"/>
      <c r="L359" s="77"/>
      <c r="M359" s="77"/>
      <c r="N359" s="77"/>
      <c r="O359" s="77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</row>
    <row r="360" spans="1:27" ht="12.75" customHeight="1" x14ac:dyDescent="0.25">
      <c r="A360" s="79"/>
      <c r="B360" s="79"/>
      <c r="C360" s="77"/>
      <c r="D360" s="80"/>
      <c r="E360" s="80"/>
      <c r="F360" s="86"/>
      <c r="G360" s="92"/>
      <c r="H360" s="92"/>
      <c r="I360" s="92"/>
      <c r="J360" s="93"/>
      <c r="K360" s="93"/>
      <c r="L360" s="77"/>
      <c r="M360" s="77"/>
      <c r="N360" s="77"/>
      <c r="O360" s="77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</row>
    <row r="361" spans="1:27" ht="12.75" customHeight="1" x14ac:dyDescent="0.25">
      <c r="A361" s="79"/>
      <c r="B361" s="79"/>
      <c r="C361" s="77"/>
      <c r="D361" s="80"/>
      <c r="E361" s="80"/>
      <c r="F361" s="86"/>
      <c r="G361" s="92"/>
      <c r="H361" s="92"/>
      <c r="I361" s="92"/>
      <c r="J361" s="93"/>
      <c r="K361" s="93"/>
      <c r="L361" s="77"/>
      <c r="M361" s="77"/>
      <c r="N361" s="77"/>
      <c r="O361" s="77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</row>
    <row r="362" spans="1:27" ht="12.75" customHeight="1" x14ac:dyDescent="0.25">
      <c r="A362" s="79"/>
      <c r="B362" s="79"/>
      <c r="C362" s="77"/>
      <c r="D362" s="80"/>
      <c r="E362" s="80"/>
      <c r="F362" s="86"/>
      <c r="G362" s="92"/>
      <c r="H362" s="92"/>
      <c r="I362" s="92"/>
      <c r="J362" s="93"/>
      <c r="K362" s="93"/>
      <c r="L362" s="77"/>
      <c r="M362" s="77"/>
      <c r="N362" s="77"/>
      <c r="O362" s="77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</row>
    <row r="363" spans="1:27" ht="12.75" customHeight="1" x14ac:dyDescent="0.25">
      <c r="A363" s="79"/>
      <c r="B363" s="79"/>
      <c r="C363" s="77"/>
      <c r="D363" s="80"/>
      <c r="E363" s="80"/>
      <c r="F363" s="86"/>
      <c r="G363" s="92"/>
      <c r="H363" s="92"/>
      <c r="I363" s="92"/>
      <c r="J363" s="93"/>
      <c r="K363" s="93"/>
      <c r="L363" s="77"/>
      <c r="M363" s="77"/>
      <c r="N363" s="77"/>
      <c r="O363" s="77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</row>
    <row r="364" spans="1:27" ht="12.75" customHeight="1" x14ac:dyDescent="0.25">
      <c r="A364" s="79"/>
      <c r="B364" s="79"/>
      <c r="C364" s="77"/>
      <c r="D364" s="80"/>
      <c r="E364" s="80"/>
      <c r="F364" s="86"/>
      <c r="G364" s="92"/>
      <c r="H364" s="92"/>
      <c r="I364" s="92"/>
      <c r="J364" s="93"/>
      <c r="K364" s="93"/>
      <c r="L364" s="77"/>
      <c r="M364" s="77"/>
      <c r="N364" s="77"/>
      <c r="O364" s="77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</row>
    <row r="365" spans="1:27" ht="12.75" customHeight="1" x14ac:dyDescent="0.25">
      <c r="A365" s="79"/>
      <c r="B365" s="79"/>
      <c r="C365" s="77"/>
      <c r="D365" s="80"/>
      <c r="E365" s="80"/>
      <c r="F365" s="86"/>
      <c r="G365" s="92"/>
      <c r="H365" s="92"/>
      <c r="I365" s="92"/>
      <c r="J365" s="93"/>
      <c r="K365" s="93"/>
      <c r="L365" s="77"/>
      <c r="M365" s="77"/>
      <c r="N365" s="77"/>
      <c r="O365" s="77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</row>
    <row r="366" spans="1:27" ht="12.75" customHeight="1" x14ac:dyDescent="0.25">
      <c r="A366" s="79"/>
      <c r="B366" s="79"/>
      <c r="C366" s="77"/>
      <c r="D366" s="80"/>
      <c r="E366" s="80"/>
      <c r="F366" s="86"/>
      <c r="G366" s="92"/>
      <c r="H366" s="92"/>
      <c r="I366" s="92"/>
      <c r="J366" s="93"/>
      <c r="K366" s="93"/>
      <c r="L366" s="77"/>
      <c r="M366" s="77"/>
      <c r="N366" s="77"/>
      <c r="O366" s="77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</row>
    <row r="367" spans="1:27" ht="12.75" customHeight="1" x14ac:dyDescent="0.25">
      <c r="A367" s="79"/>
      <c r="B367" s="79"/>
      <c r="C367" s="77"/>
      <c r="D367" s="80"/>
      <c r="E367" s="80"/>
      <c r="F367" s="86"/>
      <c r="G367" s="92"/>
      <c r="H367" s="92"/>
      <c r="I367" s="92"/>
      <c r="J367" s="93"/>
      <c r="K367" s="93"/>
      <c r="L367" s="77"/>
      <c r="M367" s="77"/>
      <c r="N367" s="77"/>
      <c r="O367" s="77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</row>
    <row r="368" spans="1:27" ht="12.75" customHeight="1" x14ac:dyDescent="0.25">
      <c r="A368" s="79"/>
      <c r="B368" s="79"/>
      <c r="C368" s="77"/>
      <c r="D368" s="80"/>
      <c r="E368" s="80"/>
      <c r="F368" s="86"/>
      <c r="G368" s="92"/>
      <c r="H368" s="92"/>
      <c r="I368" s="92"/>
      <c r="J368" s="93"/>
      <c r="K368" s="93"/>
      <c r="L368" s="77"/>
      <c r="M368" s="77"/>
      <c r="N368" s="77"/>
      <c r="O368" s="77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</row>
    <row r="369" spans="1:27" ht="12.75" customHeight="1" x14ac:dyDescent="0.25">
      <c r="A369" s="79"/>
      <c r="B369" s="79"/>
      <c r="C369" s="77"/>
      <c r="D369" s="80"/>
      <c r="E369" s="80"/>
      <c r="F369" s="86"/>
      <c r="G369" s="92"/>
      <c r="H369" s="92"/>
      <c r="I369" s="92"/>
      <c r="J369" s="93"/>
      <c r="K369" s="93"/>
      <c r="L369" s="77"/>
      <c r="M369" s="77"/>
      <c r="N369" s="77"/>
      <c r="O369" s="77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</row>
    <row r="370" spans="1:27" ht="12.75" customHeight="1" x14ac:dyDescent="0.25">
      <c r="A370" s="79"/>
      <c r="B370" s="79"/>
      <c r="C370" s="77"/>
      <c r="D370" s="80"/>
      <c r="E370" s="80"/>
      <c r="F370" s="86"/>
      <c r="G370" s="92"/>
      <c r="H370" s="92"/>
      <c r="I370" s="92"/>
      <c r="J370" s="93"/>
      <c r="K370" s="93"/>
      <c r="L370" s="77"/>
      <c r="M370" s="77"/>
      <c r="N370" s="77"/>
      <c r="O370" s="77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</row>
    <row r="371" spans="1:27" ht="12.75" customHeight="1" x14ac:dyDescent="0.25">
      <c r="A371" s="79"/>
      <c r="B371" s="79"/>
      <c r="C371" s="77"/>
      <c r="D371" s="80"/>
      <c r="E371" s="80"/>
      <c r="F371" s="86"/>
      <c r="G371" s="92"/>
      <c r="H371" s="92"/>
      <c r="I371" s="92"/>
      <c r="J371" s="93"/>
      <c r="K371" s="93"/>
      <c r="L371" s="77"/>
      <c r="M371" s="77"/>
      <c r="N371" s="77"/>
      <c r="O371" s="77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</row>
    <row r="372" spans="1:27" ht="12.75" customHeight="1" x14ac:dyDescent="0.25">
      <c r="A372" s="79"/>
      <c r="B372" s="79"/>
      <c r="C372" s="77"/>
      <c r="D372" s="80"/>
      <c r="E372" s="80"/>
      <c r="F372" s="86"/>
      <c r="G372" s="92"/>
      <c r="H372" s="92"/>
      <c r="I372" s="92"/>
      <c r="J372" s="93"/>
      <c r="K372" s="93"/>
      <c r="L372" s="77"/>
      <c r="M372" s="77"/>
      <c r="N372" s="77"/>
      <c r="O372" s="77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</row>
    <row r="373" spans="1:27" ht="12.75" customHeight="1" x14ac:dyDescent="0.25">
      <c r="A373" s="79"/>
      <c r="B373" s="79"/>
      <c r="C373" s="77"/>
      <c r="D373" s="80"/>
      <c r="E373" s="80"/>
      <c r="F373" s="86"/>
      <c r="G373" s="92"/>
      <c r="H373" s="92"/>
      <c r="I373" s="92"/>
      <c r="J373" s="93"/>
      <c r="K373" s="93"/>
      <c r="L373" s="77"/>
      <c r="M373" s="77"/>
      <c r="N373" s="77"/>
      <c r="O373" s="77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</row>
    <row r="374" spans="1:27" ht="12.75" customHeight="1" x14ac:dyDescent="0.25">
      <c r="A374" s="79"/>
      <c r="B374" s="79"/>
      <c r="C374" s="77"/>
      <c r="D374" s="80"/>
      <c r="E374" s="80"/>
      <c r="F374" s="86"/>
      <c r="G374" s="92"/>
      <c r="H374" s="92"/>
      <c r="I374" s="92"/>
      <c r="J374" s="93"/>
      <c r="K374" s="93"/>
      <c r="L374" s="77"/>
      <c r="M374" s="77"/>
      <c r="N374" s="77"/>
      <c r="O374" s="77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</row>
    <row r="375" spans="1:27" ht="12.75" customHeight="1" x14ac:dyDescent="0.25">
      <c r="A375" s="79"/>
      <c r="B375" s="79"/>
      <c r="C375" s="77"/>
      <c r="D375" s="80"/>
      <c r="E375" s="80"/>
      <c r="F375" s="86"/>
      <c r="G375" s="92"/>
      <c r="H375" s="92"/>
      <c r="I375" s="92"/>
      <c r="J375" s="93"/>
      <c r="K375" s="93"/>
      <c r="L375" s="77"/>
      <c r="M375" s="77"/>
      <c r="N375" s="77"/>
      <c r="O375" s="77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</row>
    <row r="376" spans="1:27" ht="12.75" customHeight="1" x14ac:dyDescent="0.25">
      <c r="A376" s="79"/>
      <c r="B376" s="79"/>
      <c r="C376" s="77"/>
      <c r="D376" s="80"/>
      <c r="E376" s="80"/>
      <c r="F376" s="86"/>
      <c r="G376" s="92"/>
      <c r="H376" s="92"/>
      <c r="I376" s="92"/>
      <c r="J376" s="93"/>
      <c r="K376" s="93"/>
      <c r="L376" s="77"/>
      <c r="M376" s="77"/>
      <c r="N376" s="77"/>
      <c r="O376" s="77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</row>
    <row r="377" spans="1:27" ht="12.75" customHeight="1" x14ac:dyDescent="0.25">
      <c r="A377" s="79"/>
      <c r="B377" s="79"/>
      <c r="C377" s="77"/>
      <c r="D377" s="80"/>
      <c r="E377" s="80"/>
      <c r="F377" s="86"/>
      <c r="G377" s="92"/>
      <c r="H377" s="92"/>
      <c r="I377" s="92"/>
      <c r="J377" s="93"/>
      <c r="K377" s="93"/>
      <c r="L377" s="77"/>
      <c r="M377" s="77"/>
      <c r="N377" s="77"/>
      <c r="O377" s="77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</row>
    <row r="378" spans="1:27" ht="12.75" customHeight="1" x14ac:dyDescent="0.25">
      <c r="A378" s="79"/>
      <c r="B378" s="79"/>
      <c r="C378" s="77"/>
      <c r="D378" s="80"/>
      <c r="E378" s="80"/>
      <c r="F378" s="86"/>
      <c r="G378" s="92"/>
      <c r="H378" s="92"/>
      <c r="I378" s="92"/>
      <c r="J378" s="93"/>
      <c r="K378" s="93"/>
      <c r="L378" s="77"/>
      <c r="M378" s="77"/>
      <c r="N378" s="77"/>
      <c r="O378" s="77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</row>
    <row r="379" spans="1:27" ht="12.75" customHeight="1" x14ac:dyDescent="0.25">
      <c r="A379" s="79"/>
      <c r="B379" s="79"/>
      <c r="C379" s="77"/>
      <c r="D379" s="80"/>
      <c r="E379" s="80"/>
      <c r="F379" s="86"/>
      <c r="G379" s="92"/>
      <c r="H379" s="92"/>
      <c r="I379" s="92"/>
      <c r="J379" s="93"/>
      <c r="K379" s="93"/>
      <c r="L379" s="77"/>
      <c r="M379" s="77"/>
      <c r="N379" s="77"/>
      <c r="O379" s="77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</row>
    <row r="380" spans="1:27" ht="12.75" customHeight="1" x14ac:dyDescent="0.25">
      <c r="A380" s="79"/>
      <c r="B380" s="79"/>
      <c r="C380" s="77"/>
      <c r="D380" s="80"/>
      <c r="E380" s="80"/>
      <c r="F380" s="86"/>
      <c r="G380" s="92"/>
      <c r="H380" s="92"/>
      <c r="I380" s="92"/>
      <c r="J380" s="93"/>
      <c r="K380" s="93"/>
      <c r="L380" s="77"/>
      <c r="M380" s="77"/>
      <c r="N380" s="77"/>
      <c r="O380" s="77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</row>
    <row r="381" spans="1:27" ht="12.75" customHeight="1" x14ac:dyDescent="0.25">
      <c r="A381" s="79"/>
      <c r="B381" s="79"/>
      <c r="C381" s="77"/>
      <c r="D381" s="80"/>
      <c r="E381" s="80"/>
      <c r="F381" s="86"/>
      <c r="G381" s="92"/>
      <c r="H381" s="92"/>
      <c r="I381" s="92"/>
      <c r="J381" s="93"/>
      <c r="K381" s="93"/>
      <c r="L381" s="77"/>
      <c r="M381" s="77"/>
      <c r="N381" s="77"/>
      <c r="O381" s="77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</row>
    <row r="382" spans="1:27" ht="12.75" customHeight="1" x14ac:dyDescent="0.25">
      <c r="A382" s="79"/>
      <c r="B382" s="79"/>
      <c r="C382" s="77"/>
      <c r="D382" s="80"/>
      <c r="E382" s="80"/>
      <c r="F382" s="86"/>
      <c r="G382" s="92"/>
      <c r="H382" s="92"/>
      <c r="I382" s="92"/>
      <c r="J382" s="93"/>
      <c r="K382" s="93"/>
      <c r="L382" s="77"/>
      <c r="M382" s="77"/>
      <c r="N382" s="77"/>
      <c r="O382" s="77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</row>
    <row r="383" spans="1:27" ht="12.75" customHeight="1" x14ac:dyDescent="0.25">
      <c r="A383" s="79"/>
      <c r="B383" s="79"/>
      <c r="C383" s="77"/>
      <c r="D383" s="80"/>
      <c r="E383" s="80"/>
      <c r="F383" s="86"/>
      <c r="G383" s="92"/>
      <c r="H383" s="92"/>
      <c r="I383" s="92"/>
      <c r="J383" s="93"/>
      <c r="K383" s="93"/>
      <c r="L383" s="77"/>
      <c r="M383" s="77"/>
      <c r="N383" s="77"/>
      <c r="O383" s="77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</row>
    <row r="384" spans="1:27" ht="12.75" customHeight="1" x14ac:dyDescent="0.25">
      <c r="A384" s="79"/>
      <c r="B384" s="79"/>
      <c r="C384" s="77"/>
      <c r="D384" s="80"/>
      <c r="E384" s="80"/>
      <c r="F384" s="86"/>
      <c r="G384" s="92"/>
      <c r="H384" s="92"/>
      <c r="I384" s="92"/>
      <c r="J384" s="93"/>
      <c r="K384" s="93"/>
      <c r="L384" s="77"/>
      <c r="M384" s="77"/>
      <c r="N384" s="77"/>
      <c r="O384" s="77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</row>
    <row r="385" spans="1:27" ht="12.75" customHeight="1" x14ac:dyDescent="0.25">
      <c r="A385" s="79"/>
      <c r="B385" s="79"/>
      <c r="C385" s="77"/>
      <c r="D385" s="80"/>
      <c r="E385" s="80"/>
      <c r="F385" s="86"/>
      <c r="G385" s="92"/>
      <c r="H385" s="92"/>
      <c r="I385" s="92"/>
      <c r="J385" s="93"/>
      <c r="K385" s="93"/>
      <c r="L385" s="77"/>
      <c r="M385" s="77"/>
      <c r="N385" s="77"/>
      <c r="O385" s="77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</row>
    <row r="386" spans="1:27" ht="12.75" customHeight="1" x14ac:dyDescent="0.25">
      <c r="A386" s="79"/>
      <c r="B386" s="79"/>
      <c r="C386" s="77"/>
      <c r="D386" s="80"/>
      <c r="E386" s="80"/>
      <c r="F386" s="86"/>
      <c r="G386" s="92"/>
      <c r="H386" s="92"/>
      <c r="I386" s="92"/>
      <c r="J386" s="93"/>
      <c r="K386" s="93"/>
      <c r="L386" s="77"/>
      <c r="M386" s="77"/>
      <c r="N386" s="77"/>
      <c r="O386" s="77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</row>
    <row r="387" spans="1:27" ht="12.75" customHeight="1" x14ac:dyDescent="0.25">
      <c r="A387" s="79"/>
      <c r="B387" s="79"/>
      <c r="C387" s="77"/>
      <c r="D387" s="80"/>
      <c r="E387" s="80"/>
      <c r="F387" s="86"/>
      <c r="G387" s="92"/>
      <c r="H387" s="92"/>
      <c r="I387" s="92"/>
      <c r="J387" s="93"/>
      <c r="K387" s="93"/>
      <c r="L387" s="77"/>
      <c r="M387" s="77"/>
      <c r="N387" s="77"/>
      <c r="O387" s="77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</row>
    <row r="388" spans="1:27" ht="12.75" customHeight="1" x14ac:dyDescent="0.25">
      <c r="A388" s="79"/>
      <c r="B388" s="79"/>
      <c r="C388" s="77"/>
      <c r="D388" s="80"/>
      <c r="E388" s="80"/>
      <c r="F388" s="86"/>
      <c r="G388" s="92"/>
      <c r="H388" s="92"/>
      <c r="I388" s="92"/>
      <c r="J388" s="93"/>
      <c r="K388" s="93"/>
      <c r="L388" s="77"/>
      <c r="M388" s="77"/>
      <c r="N388" s="77"/>
      <c r="O388" s="77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</row>
    <row r="389" spans="1:27" ht="12.75" customHeight="1" x14ac:dyDescent="0.25">
      <c r="A389" s="79"/>
      <c r="B389" s="79"/>
      <c r="C389" s="77"/>
      <c r="D389" s="80"/>
      <c r="E389" s="80"/>
      <c r="F389" s="86"/>
      <c r="G389" s="92"/>
      <c r="H389" s="92"/>
      <c r="I389" s="92"/>
      <c r="J389" s="93"/>
      <c r="K389" s="93"/>
      <c r="L389" s="77"/>
      <c r="M389" s="77"/>
      <c r="N389" s="77"/>
      <c r="O389" s="77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</row>
    <row r="390" spans="1:27" ht="12.75" customHeight="1" x14ac:dyDescent="0.25">
      <c r="A390" s="79"/>
      <c r="B390" s="79"/>
      <c r="C390" s="77"/>
      <c r="D390" s="80"/>
      <c r="E390" s="80"/>
      <c r="F390" s="86"/>
      <c r="G390" s="92"/>
      <c r="H390" s="92"/>
      <c r="I390" s="92"/>
      <c r="J390" s="93"/>
      <c r="K390" s="93"/>
      <c r="L390" s="77"/>
      <c r="M390" s="77"/>
      <c r="N390" s="77"/>
      <c r="O390" s="77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</row>
    <row r="391" spans="1:27" ht="12.75" customHeight="1" x14ac:dyDescent="0.25">
      <c r="A391" s="79"/>
      <c r="B391" s="79"/>
      <c r="C391" s="77"/>
      <c r="D391" s="80"/>
      <c r="E391" s="80"/>
      <c r="F391" s="86"/>
      <c r="G391" s="92"/>
      <c r="H391" s="92"/>
      <c r="I391" s="92"/>
      <c r="J391" s="93"/>
      <c r="K391" s="93"/>
      <c r="L391" s="77"/>
      <c r="M391" s="77"/>
      <c r="N391" s="77"/>
      <c r="O391" s="77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</row>
    <row r="392" spans="1:27" ht="12.75" customHeight="1" x14ac:dyDescent="0.25">
      <c r="A392" s="79"/>
      <c r="B392" s="79"/>
      <c r="C392" s="77"/>
      <c r="D392" s="80"/>
      <c r="E392" s="80"/>
      <c r="F392" s="86"/>
      <c r="G392" s="92"/>
      <c r="H392" s="92"/>
      <c r="I392" s="92"/>
      <c r="J392" s="93"/>
      <c r="K392" s="93"/>
      <c r="L392" s="77"/>
      <c r="M392" s="77"/>
      <c r="N392" s="77"/>
      <c r="O392" s="77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</row>
    <row r="393" spans="1:27" ht="12.75" customHeight="1" x14ac:dyDescent="0.25">
      <c r="A393" s="79"/>
      <c r="B393" s="79"/>
      <c r="C393" s="77"/>
      <c r="D393" s="80"/>
      <c r="E393" s="80"/>
      <c r="F393" s="86"/>
      <c r="G393" s="92"/>
      <c r="H393" s="92"/>
      <c r="I393" s="92"/>
      <c r="J393" s="93"/>
      <c r="K393" s="93"/>
      <c r="L393" s="77"/>
      <c r="M393" s="77"/>
      <c r="N393" s="77"/>
      <c r="O393" s="77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</row>
    <row r="394" spans="1:27" ht="12.75" customHeight="1" x14ac:dyDescent="0.25">
      <c r="A394" s="79"/>
      <c r="B394" s="79"/>
      <c r="C394" s="77"/>
      <c r="D394" s="80"/>
      <c r="E394" s="80"/>
      <c r="F394" s="86"/>
      <c r="G394" s="92"/>
      <c r="H394" s="92"/>
      <c r="I394" s="92"/>
      <c r="J394" s="93"/>
      <c r="K394" s="93"/>
      <c r="L394" s="77"/>
      <c r="M394" s="77"/>
      <c r="N394" s="77"/>
      <c r="O394" s="77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</row>
    <row r="395" spans="1:27" ht="12.75" customHeight="1" x14ac:dyDescent="0.25">
      <c r="A395" s="79"/>
      <c r="B395" s="79"/>
      <c r="C395" s="77"/>
      <c r="D395" s="80"/>
      <c r="E395" s="80"/>
      <c r="F395" s="86"/>
      <c r="G395" s="92"/>
      <c r="H395" s="92"/>
      <c r="I395" s="92"/>
      <c r="J395" s="93"/>
      <c r="K395" s="93"/>
      <c r="L395" s="77"/>
      <c r="M395" s="77"/>
      <c r="N395" s="77"/>
      <c r="O395" s="77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</row>
    <row r="396" spans="1:27" ht="12.75" customHeight="1" x14ac:dyDescent="0.25">
      <c r="A396" s="79"/>
      <c r="B396" s="79"/>
      <c r="C396" s="77"/>
      <c r="D396" s="80"/>
      <c r="E396" s="80"/>
      <c r="F396" s="86"/>
      <c r="G396" s="92"/>
      <c r="H396" s="92"/>
      <c r="I396" s="92"/>
      <c r="J396" s="93"/>
      <c r="K396" s="93"/>
      <c r="L396" s="77"/>
      <c r="M396" s="77"/>
      <c r="N396" s="77"/>
      <c r="O396" s="77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</row>
    <row r="397" spans="1:27" ht="12.75" customHeight="1" x14ac:dyDescent="0.25">
      <c r="A397" s="79"/>
      <c r="B397" s="79"/>
      <c r="C397" s="77"/>
      <c r="D397" s="80"/>
      <c r="E397" s="80"/>
      <c r="F397" s="86"/>
      <c r="G397" s="92"/>
      <c r="H397" s="92"/>
      <c r="I397" s="92"/>
      <c r="J397" s="93"/>
      <c r="K397" s="93"/>
      <c r="L397" s="77"/>
      <c r="M397" s="77"/>
      <c r="N397" s="77"/>
      <c r="O397" s="77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</row>
    <row r="398" spans="1:27" ht="12.75" customHeight="1" x14ac:dyDescent="0.25">
      <c r="A398" s="79"/>
      <c r="B398" s="79"/>
      <c r="C398" s="77"/>
      <c r="D398" s="80"/>
      <c r="E398" s="80"/>
      <c r="F398" s="86"/>
      <c r="G398" s="92"/>
      <c r="H398" s="92"/>
      <c r="I398" s="92"/>
      <c r="J398" s="93"/>
      <c r="K398" s="93"/>
      <c r="L398" s="77"/>
      <c r="M398" s="77"/>
      <c r="N398" s="77"/>
      <c r="O398" s="77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</row>
    <row r="399" spans="1:27" ht="12.75" customHeight="1" x14ac:dyDescent="0.25">
      <c r="A399" s="79"/>
      <c r="B399" s="79"/>
      <c r="C399" s="77"/>
      <c r="D399" s="80"/>
      <c r="E399" s="80"/>
      <c r="F399" s="86"/>
      <c r="G399" s="92"/>
      <c r="H399" s="92"/>
      <c r="I399" s="92"/>
      <c r="J399" s="93"/>
      <c r="K399" s="93"/>
      <c r="L399" s="77"/>
      <c r="M399" s="77"/>
      <c r="N399" s="77"/>
      <c r="O399" s="77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</row>
    <row r="400" spans="1:27" ht="12.75" customHeight="1" x14ac:dyDescent="0.25">
      <c r="A400" s="79"/>
      <c r="B400" s="79"/>
      <c r="C400" s="77"/>
      <c r="D400" s="80"/>
      <c r="E400" s="80"/>
      <c r="F400" s="86"/>
      <c r="G400" s="92"/>
      <c r="H400" s="92"/>
      <c r="I400" s="92"/>
      <c r="J400" s="93"/>
      <c r="K400" s="93"/>
      <c r="L400" s="77"/>
      <c r="M400" s="77"/>
      <c r="N400" s="77"/>
      <c r="O400" s="77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</row>
    <row r="401" spans="1:27" ht="12.75" customHeight="1" x14ac:dyDescent="0.25">
      <c r="A401" s="79"/>
      <c r="B401" s="79"/>
      <c r="C401" s="77"/>
      <c r="D401" s="80"/>
      <c r="E401" s="80"/>
      <c r="F401" s="86"/>
      <c r="G401" s="92"/>
      <c r="H401" s="92"/>
      <c r="I401" s="92"/>
      <c r="J401" s="93"/>
      <c r="K401" s="93"/>
      <c r="L401" s="77"/>
      <c r="M401" s="77"/>
      <c r="N401" s="77"/>
      <c r="O401" s="77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</row>
    <row r="402" spans="1:27" ht="12.75" customHeight="1" x14ac:dyDescent="0.25">
      <c r="A402" s="79"/>
      <c r="B402" s="79"/>
      <c r="C402" s="77"/>
      <c r="D402" s="80"/>
      <c r="E402" s="80"/>
      <c r="F402" s="86"/>
      <c r="G402" s="92"/>
      <c r="H402" s="92"/>
      <c r="I402" s="92"/>
      <c r="J402" s="93"/>
      <c r="K402" s="93"/>
      <c r="L402" s="77"/>
      <c r="M402" s="77"/>
      <c r="N402" s="77"/>
      <c r="O402" s="77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</row>
    <row r="403" spans="1:27" ht="12.75" customHeight="1" x14ac:dyDescent="0.25">
      <c r="A403" s="79"/>
      <c r="B403" s="79"/>
      <c r="C403" s="77"/>
      <c r="D403" s="80"/>
      <c r="E403" s="80"/>
      <c r="F403" s="86"/>
      <c r="G403" s="92"/>
      <c r="H403" s="92"/>
      <c r="I403" s="92"/>
      <c r="J403" s="93"/>
      <c r="K403" s="93"/>
      <c r="L403" s="77"/>
      <c r="M403" s="77"/>
      <c r="N403" s="77"/>
      <c r="O403" s="77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</row>
    <row r="404" spans="1:27" ht="12.75" customHeight="1" x14ac:dyDescent="0.25">
      <c r="A404" s="79"/>
      <c r="B404" s="79"/>
      <c r="C404" s="77"/>
      <c r="D404" s="80"/>
      <c r="E404" s="80"/>
      <c r="F404" s="86"/>
      <c r="G404" s="92"/>
      <c r="H404" s="92"/>
      <c r="I404" s="92"/>
      <c r="J404" s="93"/>
      <c r="K404" s="93"/>
      <c r="L404" s="77"/>
      <c r="M404" s="77"/>
      <c r="N404" s="77"/>
      <c r="O404" s="77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</row>
    <row r="405" spans="1:27" ht="12.75" customHeight="1" x14ac:dyDescent="0.25">
      <c r="A405" s="79"/>
      <c r="B405" s="79"/>
      <c r="C405" s="77"/>
      <c r="D405" s="80"/>
      <c r="E405" s="80"/>
      <c r="F405" s="86"/>
      <c r="G405" s="92"/>
      <c r="H405" s="92"/>
      <c r="I405" s="92"/>
      <c r="J405" s="93"/>
      <c r="K405" s="93"/>
      <c r="L405" s="77"/>
      <c r="M405" s="77"/>
      <c r="N405" s="77"/>
      <c r="O405" s="77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</row>
    <row r="406" spans="1:27" ht="12.75" customHeight="1" x14ac:dyDescent="0.25">
      <c r="A406" s="79"/>
      <c r="B406" s="79"/>
      <c r="C406" s="77"/>
      <c r="D406" s="80"/>
      <c r="E406" s="80"/>
      <c r="F406" s="86"/>
      <c r="G406" s="92"/>
      <c r="H406" s="92"/>
      <c r="I406" s="92"/>
      <c r="J406" s="93"/>
      <c r="K406" s="93"/>
      <c r="L406" s="77"/>
      <c r="M406" s="77"/>
      <c r="N406" s="77"/>
      <c r="O406" s="77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</row>
    <row r="407" spans="1:27" ht="12.75" customHeight="1" x14ac:dyDescent="0.25">
      <c r="A407" s="79"/>
      <c r="B407" s="79"/>
      <c r="C407" s="77"/>
      <c r="D407" s="80"/>
      <c r="E407" s="80"/>
      <c r="F407" s="86"/>
      <c r="G407" s="92"/>
      <c r="H407" s="92"/>
      <c r="I407" s="92"/>
      <c r="J407" s="93"/>
      <c r="K407" s="93"/>
      <c r="L407" s="77"/>
      <c r="M407" s="77"/>
      <c r="N407" s="77"/>
      <c r="O407" s="77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</row>
    <row r="408" spans="1:27" ht="12.75" customHeight="1" x14ac:dyDescent="0.25">
      <c r="A408" s="79"/>
      <c r="B408" s="79"/>
      <c r="C408" s="77"/>
      <c r="D408" s="80"/>
      <c r="E408" s="80"/>
      <c r="F408" s="86"/>
      <c r="G408" s="92"/>
      <c r="H408" s="92"/>
      <c r="I408" s="92"/>
      <c r="J408" s="93"/>
      <c r="K408" s="93"/>
      <c r="L408" s="77"/>
      <c r="M408" s="77"/>
      <c r="N408" s="77"/>
      <c r="O408" s="77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</row>
    <row r="409" spans="1:27" ht="12.75" customHeight="1" x14ac:dyDescent="0.25">
      <c r="A409" s="79"/>
      <c r="B409" s="79"/>
      <c r="C409" s="77"/>
      <c r="D409" s="80"/>
      <c r="E409" s="80"/>
      <c r="F409" s="86"/>
      <c r="G409" s="92"/>
      <c r="H409" s="92"/>
      <c r="I409" s="92"/>
      <c r="J409" s="93"/>
      <c r="K409" s="93"/>
      <c r="L409" s="77"/>
      <c r="M409" s="77"/>
      <c r="N409" s="77"/>
      <c r="O409" s="77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</row>
    <row r="410" spans="1:27" ht="12.75" customHeight="1" x14ac:dyDescent="0.25">
      <c r="A410" s="79"/>
      <c r="B410" s="79"/>
      <c r="C410" s="77"/>
      <c r="D410" s="80"/>
      <c r="E410" s="80"/>
      <c r="F410" s="86"/>
      <c r="G410" s="92"/>
      <c r="H410" s="92"/>
      <c r="I410" s="92"/>
      <c r="J410" s="93"/>
      <c r="K410" s="93"/>
      <c r="L410" s="77"/>
      <c r="M410" s="77"/>
      <c r="N410" s="77"/>
      <c r="O410" s="77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</row>
    <row r="411" spans="1:27" ht="12.75" customHeight="1" x14ac:dyDescent="0.25">
      <c r="A411" s="79"/>
      <c r="B411" s="79"/>
      <c r="C411" s="77"/>
      <c r="D411" s="80"/>
      <c r="E411" s="80"/>
      <c r="F411" s="86"/>
      <c r="G411" s="92"/>
      <c r="H411" s="92"/>
      <c r="I411" s="92"/>
      <c r="J411" s="93"/>
      <c r="K411" s="93"/>
      <c r="L411" s="77"/>
      <c r="M411" s="77"/>
      <c r="N411" s="77"/>
      <c r="O411" s="77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</row>
    <row r="412" spans="1:27" ht="12.75" customHeight="1" x14ac:dyDescent="0.25">
      <c r="A412" s="79"/>
      <c r="B412" s="79"/>
      <c r="C412" s="77"/>
      <c r="D412" s="80"/>
      <c r="E412" s="80"/>
      <c r="F412" s="86"/>
      <c r="G412" s="92"/>
      <c r="H412" s="92"/>
      <c r="I412" s="92"/>
      <c r="J412" s="93"/>
      <c r="K412" s="93"/>
      <c r="L412" s="77"/>
      <c r="M412" s="77"/>
      <c r="N412" s="77"/>
      <c r="O412" s="77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</row>
    <row r="413" spans="1:27" ht="12.75" customHeight="1" x14ac:dyDescent="0.25">
      <c r="A413" s="79"/>
      <c r="B413" s="79"/>
      <c r="C413" s="77"/>
      <c r="D413" s="80"/>
      <c r="E413" s="80"/>
      <c r="F413" s="86"/>
      <c r="G413" s="92"/>
      <c r="H413" s="92"/>
      <c r="I413" s="92"/>
      <c r="J413" s="93"/>
      <c r="K413" s="93"/>
      <c r="L413" s="77"/>
      <c r="M413" s="77"/>
      <c r="N413" s="77"/>
      <c r="O413" s="77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</row>
    <row r="414" spans="1:27" ht="12.75" customHeight="1" x14ac:dyDescent="0.25">
      <c r="A414" s="79"/>
      <c r="B414" s="79"/>
      <c r="C414" s="77"/>
      <c r="D414" s="80"/>
      <c r="E414" s="80"/>
      <c r="F414" s="86"/>
      <c r="G414" s="92"/>
      <c r="H414" s="92"/>
      <c r="I414" s="92"/>
      <c r="J414" s="93"/>
      <c r="K414" s="93"/>
      <c r="L414" s="77"/>
      <c r="M414" s="77"/>
      <c r="N414" s="77"/>
      <c r="O414" s="77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</row>
    <row r="415" spans="1:27" ht="12.75" customHeight="1" x14ac:dyDescent="0.25">
      <c r="A415" s="79"/>
      <c r="B415" s="79"/>
      <c r="C415" s="77"/>
      <c r="D415" s="80"/>
      <c r="E415" s="80"/>
      <c r="F415" s="86"/>
      <c r="G415" s="92"/>
      <c r="H415" s="92"/>
      <c r="I415" s="92"/>
      <c r="J415" s="93"/>
      <c r="K415" s="93"/>
      <c r="L415" s="77"/>
      <c r="M415" s="77"/>
      <c r="N415" s="77"/>
      <c r="O415" s="77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</row>
    <row r="416" spans="1:27" ht="12.75" customHeight="1" x14ac:dyDescent="0.25">
      <c r="A416" s="79"/>
      <c r="B416" s="79"/>
      <c r="C416" s="77"/>
      <c r="D416" s="80"/>
      <c r="E416" s="80"/>
      <c r="F416" s="86"/>
      <c r="G416" s="92"/>
      <c r="H416" s="92"/>
      <c r="I416" s="92"/>
      <c r="J416" s="93"/>
      <c r="K416" s="93"/>
      <c r="L416" s="77"/>
      <c r="M416" s="77"/>
      <c r="N416" s="77"/>
      <c r="O416" s="77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</row>
    <row r="417" spans="1:27" ht="12.75" customHeight="1" x14ac:dyDescent="0.25">
      <c r="A417" s="79"/>
      <c r="B417" s="79"/>
      <c r="C417" s="77"/>
      <c r="D417" s="80"/>
      <c r="E417" s="80"/>
      <c r="F417" s="86"/>
      <c r="G417" s="92"/>
      <c r="H417" s="92"/>
      <c r="I417" s="92"/>
      <c r="J417" s="93"/>
      <c r="K417" s="93"/>
      <c r="L417" s="77"/>
      <c r="M417" s="77"/>
      <c r="N417" s="77"/>
      <c r="O417" s="77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</row>
    <row r="418" spans="1:27" ht="12.75" customHeight="1" x14ac:dyDescent="0.25">
      <c r="A418" s="79"/>
      <c r="B418" s="79"/>
      <c r="C418" s="77"/>
      <c r="D418" s="80"/>
      <c r="E418" s="80"/>
      <c r="F418" s="86"/>
      <c r="G418" s="92"/>
      <c r="H418" s="92"/>
      <c r="I418" s="92"/>
      <c r="J418" s="93"/>
      <c r="K418" s="93"/>
      <c r="L418" s="77"/>
      <c r="M418" s="77"/>
      <c r="N418" s="77"/>
      <c r="O418" s="77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</row>
    <row r="419" spans="1:27" ht="12.75" customHeight="1" x14ac:dyDescent="0.25">
      <c r="A419" s="79"/>
      <c r="B419" s="79"/>
      <c r="C419" s="77"/>
      <c r="D419" s="80"/>
      <c r="E419" s="80"/>
      <c r="F419" s="86"/>
      <c r="G419" s="92"/>
      <c r="H419" s="92"/>
      <c r="I419" s="92"/>
      <c r="J419" s="93"/>
      <c r="K419" s="93"/>
      <c r="L419" s="77"/>
      <c r="M419" s="77"/>
      <c r="N419" s="77"/>
      <c r="O419" s="77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</row>
    <row r="420" spans="1:27" ht="12.75" customHeight="1" x14ac:dyDescent="0.25">
      <c r="A420" s="79"/>
      <c r="B420" s="79"/>
      <c r="C420" s="77"/>
      <c r="D420" s="80"/>
      <c r="E420" s="80"/>
      <c r="F420" s="86"/>
      <c r="G420" s="92"/>
      <c r="H420" s="92"/>
      <c r="I420" s="92"/>
      <c r="J420" s="93"/>
      <c r="K420" s="93"/>
      <c r="L420" s="77"/>
      <c r="M420" s="77"/>
      <c r="N420" s="77"/>
      <c r="O420" s="77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</row>
    <row r="421" spans="1:27" ht="12.75" customHeight="1" x14ac:dyDescent="0.25">
      <c r="A421" s="79"/>
      <c r="B421" s="79"/>
      <c r="C421" s="77"/>
      <c r="D421" s="80"/>
      <c r="E421" s="80"/>
      <c r="F421" s="86"/>
      <c r="G421" s="92"/>
      <c r="H421" s="92"/>
      <c r="I421" s="92"/>
      <c r="J421" s="93"/>
      <c r="K421" s="93"/>
      <c r="L421" s="77"/>
      <c r="M421" s="77"/>
      <c r="N421" s="77"/>
      <c r="O421" s="77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</row>
    <row r="422" spans="1:27" ht="12.75" customHeight="1" x14ac:dyDescent="0.25">
      <c r="A422" s="79"/>
      <c r="B422" s="79"/>
      <c r="C422" s="77"/>
      <c r="D422" s="80"/>
      <c r="E422" s="80"/>
      <c r="F422" s="86"/>
      <c r="G422" s="92"/>
      <c r="H422" s="92"/>
      <c r="I422" s="92"/>
      <c r="J422" s="93"/>
      <c r="K422" s="93"/>
      <c r="L422" s="77"/>
      <c r="M422" s="77"/>
      <c r="N422" s="77"/>
      <c r="O422" s="77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</row>
    <row r="423" spans="1:27" ht="12.75" customHeight="1" x14ac:dyDescent="0.25">
      <c r="A423" s="79"/>
      <c r="B423" s="79"/>
      <c r="C423" s="77"/>
      <c r="D423" s="80"/>
      <c r="E423" s="80"/>
      <c r="F423" s="86"/>
      <c r="G423" s="92"/>
      <c r="H423" s="92"/>
      <c r="I423" s="92"/>
      <c r="J423" s="93"/>
      <c r="K423" s="93"/>
      <c r="L423" s="77"/>
      <c r="M423" s="77"/>
      <c r="N423" s="77"/>
      <c r="O423" s="77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</row>
    <row r="424" spans="1:27" ht="12.75" customHeight="1" x14ac:dyDescent="0.25">
      <c r="A424" s="79"/>
      <c r="B424" s="79"/>
      <c r="C424" s="77"/>
      <c r="D424" s="80"/>
      <c r="E424" s="80"/>
      <c r="F424" s="86"/>
      <c r="G424" s="92"/>
      <c r="H424" s="92"/>
      <c r="I424" s="92"/>
      <c r="J424" s="93"/>
      <c r="K424" s="93"/>
      <c r="L424" s="77"/>
      <c r="M424" s="77"/>
      <c r="N424" s="77"/>
      <c r="O424" s="77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</row>
    <row r="425" spans="1:27" ht="12.75" customHeight="1" x14ac:dyDescent="0.25">
      <c r="A425" s="79"/>
      <c r="B425" s="79"/>
      <c r="C425" s="77"/>
      <c r="D425" s="80"/>
      <c r="E425" s="80"/>
      <c r="F425" s="86"/>
      <c r="G425" s="92"/>
      <c r="H425" s="92"/>
      <c r="I425" s="92"/>
      <c r="J425" s="93"/>
      <c r="K425" s="93"/>
      <c r="L425" s="77"/>
      <c r="M425" s="77"/>
      <c r="N425" s="77"/>
      <c r="O425" s="77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</row>
    <row r="426" spans="1:27" ht="12.75" customHeight="1" x14ac:dyDescent="0.25">
      <c r="A426" s="79"/>
      <c r="B426" s="79"/>
      <c r="C426" s="77"/>
      <c r="D426" s="80"/>
      <c r="E426" s="80"/>
      <c r="F426" s="86"/>
      <c r="G426" s="92"/>
      <c r="H426" s="92"/>
      <c r="I426" s="92"/>
      <c r="J426" s="93"/>
      <c r="K426" s="93"/>
      <c r="L426" s="77"/>
      <c r="M426" s="77"/>
      <c r="N426" s="77"/>
      <c r="O426" s="77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</row>
    <row r="427" spans="1:27" ht="12.75" customHeight="1" x14ac:dyDescent="0.25">
      <c r="A427" s="79"/>
      <c r="B427" s="79"/>
      <c r="C427" s="77"/>
      <c r="D427" s="80"/>
      <c r="E427" s="80"/>
      <c r="F427" s="86"/>
      <c r="G427" s="92"/>
      <c r="H427" s="92"/>
      <c r="I427" s="92"/>
      <c r="J427" s="93"/>
      <c r="K427" s="93"/>
      <c r="L427" s="77"/>
      <c r="M427" s="77"/>
      <c r="N427" s="77"/>
      <c r="O427" s="77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</row>
    <row r="428" spans="1:27" ht="12.75" customHeight="1" x14ac:dyDescent="0.25">
      <c r="A428" s="79"/>
      <c r="B428" s="79"/>
      <c r="C428" s="77"/>
      <c r="D428" s="80"/>
      <c r="E428" s="80"/>
      <c r="F428" s="86"/>
      <c r="G428" s="92"/>
      <c r="H428" s="92"/>
      <c r="I428" s="92"/>
      <c r="J428" s="93"/>
      <c r="K428" s="93"/>
      <c r="L428" s="77"/>
      <c r="M428" s="77"/>
      <c r="N428" s="77"/>
      <c r="O428" s="77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</row>
    <row r="429" spans="1:27" ht="12.75" customHeight="1" x14ac:dyDescent="0.25">
      <c r="A429" s="79"/>
      <c r="B429" s="79"/>
      <c r="C429" s="77"/>
      <c r="D429" s="80"/>
      <c r="E429" s="80"/>
      <c r="F429" s="86"/>
      <c r="G429" s="92"/>
      <c r="H429" s="92"/>
      <c r="I429" s="92"/>
      <c r="J429" s="93"/>
      <c r="K429" s="93"/>
      <c r="L429" s="77"/>
      <c r="M429" s="77"/>
      <c r="N429" s="77"/>
      <c r="O429" s="77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</row>
    <row r="430" spans="1:27" ht="12.75" customHeight="1" x14ac:dyDescent="0.25">
      <c r="A430" s="79"/>
      <c r="B430" s="79"/>
      <c r="C430" s="77"/>
      <c r="D430" s="80"/>
      <c r="E430" s="80"/>
      <c r="F430" s="86"/>
      <c r="G430" s="92"/>
      <c r="H430" s="92"/>
      <c r="I430" s="92"/>
      <c r="J430" s="93"/>
      <c r="K430" s="93"/>
      <c r="L430" s="77"/>
      <c r="M430" s="77"/>
      <c r="N430" s="77"/>
      <c r="O430" s="77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</row>
    <row r="431" spans="1:27" ht="12.75" customHeight="1" x14ac:dyDescent="0.25">
      <c r="A431" s="79"/>
      <c r="B431" s="79"/>
      <c r="C431" s="77"/>
      <c r="D431" s="80"/>
      <c r="E431" s="80"/>
      <c r="F431" s="86"/>
      <c r="G431" s="92"/>
      <c r="H431" s="92"/>
      <c r="I431" s="92"/>
      <c r="J431" s="93"/>
      <c r="K431" s="93"/>
      <c r="L431" s="77"/>
      <c r="M431" s="77"/>
      <c r="N431" s="77"/>
      <c r="O431" s="77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</row>
    <row r="432" spans="1:27" ht="12.75" customHeight="1" x14ac:dyDescent="0.25">
      <c r="A432" s="79"/>
      <c r="B432" s="79"/>
      <c r="C432" s="77"/>
      <c r="D432" s="80"/>
      <c r="E432" s="80"/>
      <c r="F432" s="86"/>
      <c r="G432" s="92"/>
      <c r="H432" s="92"/>
      <c r="I432" s="92"/>
      <c r="J432" s="93"/>
      <c r="K432" s="93"/>
      <c r="L432" s="77"/>
      <c r="M432" s="77"/>
      <c r="N432" s="77"/>
      <c r="O432" s="77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</row>
    <row r="433" spans="1:27" ht="12.75" customHeight="1" x14ac:dyDescent="0.25">
      <c r="A433" s="79"/>
      <c r="B433" s="79"/>
      <c r="C433" s="77"/>
      <c r="D433" s="80"/>
      <c r="E433" s="80"/>
      <c r="F433" s="86"/>
      <c r="G433" s="92"/>
      <c r="H433" s="92"/>
      <c r="I433" s="92"/>
      <c r="J433" s="93"/>
      <c r="K433" s="93"/>
      <c r="L433" s="77"/>
      <c r="M433" s="77"/>
      <c r="N433" s="77"/>
      <c r="O433" s="77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</row>
    <row r="434" spans="1:27" ht="12.75" customHeight="1" x14ac:dyDescent="0.25">
      <c r="A434" s="79"/>
      <c r="B434" s="79"/>
      <c r="C434" s="77"/>
      <c r="D434" s="80"/>
      <c r="E434" s="80"/>
      <c r="F434" s="86"/>
      <c r="G434" s="92"/>
      <c r="H434" s="92"/>
      <c r="I434" s="92"/>
      <c r="J434" s="93"/>
      <c r="K434" s="93"/>
      <c r="L434" s="77"/>
      <c r="M434" s="77"/>
      <c r="N434" s="77"/>
      <c r="O434" s="77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</row>
    <row r="435" spans="1:27" ht="12.75" customHeight="1" x14ac:dyDescent="0.25">
      <c r="A435" s="79"/>
      <c r="B435" s="79"/>
      <c r="C435" s="77"/>
      <c r="D435" s="80"/>
      <c r="E435" s="80"/>
      <c r="F435" s="86"/>
      <c r="G435" s="92"/>
      <c r="H435" s="92"/>
      <c r="I435" s="92"/>
      <c r="J435" s="93"/>
      <c r="K435" s="93"/>
      <c r="L435" s="77"/>
      <c r="M435" s="77"/>
      <c r="N435" s="77"/>
      <c r="O435" s="77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</row>
    <row r="436" spans="1:27" ht="12.75" customHeight="1" x14ac:dyDescent="0.25">
      <c r="A436" s="79"/>
      <c r="B436" s="79"/>
      <c r="C436" s="77"/>
      <c r="D436" s="80"/>
      <c r="E436" s="80"/>
      <c r="F436" s="86"/>
      <c r="G436" s="92"/>
      <c r="H436" s="92"/>
      <c r="I436" s="92"/>
      <c r="J436" s="93"/>
      <c r="K436" s="93"/>
      <c r="L436" s="77"/>
      <c r="M436" s="77"/>
      <c r="N436" s="77"/>
      <c r="O436" s="77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</row>
    <row r="437" spans="1:27" ht="12.75" customHeight="1" x14ac:dyDescent="0.25">
      <c r="A437" s="79"/>
      <c r="B437" s="79"/>
      <c r="C437" s="77"/>
      <c r="D437" s="80"/>
      <c r="E437" s="80"/>
      <c r="F437" s="86"/>
      <c r="G437" s="92"/>
      <c r="H437" s="92"/>
      <c r="I437" s="92"/>
      <c r="J437" s="93"/>
      <c r="K437" s="93"/>
      <c r="L437" s="77"/>
      <c r="M437" s="77"/>
      <c r="N437" s="77"/>
      <c r="O437" s="77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</row>
    <row r="438" spans="1:27" ht="12.75" customHeight="1" x14ac:dyDescent="0.25">
      <c r="A438" s="79"/>
      <c r="B438" s="79"/>
      <c r="C438" s="77"/>
      <c r="D438" s="80"/>
      <c r="E438" s="80"/>
      <c r="F438" s="86"/>
      <c r="G438" s="92"/>
      <c r="H438" s="92"/>
      <c r="I438" s="92"/>
      <c r="J438" s="93"/>
      <c r="K438" s="93"/>
      <c r="L438" s="77"/>
      <c r="M438" s="77"/>
      <c r="N438" s="77"/>
      <c r="O438" s="77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</row>
    <row r="439" spans="1:27" ht="12.75" customHeight="1" x14ac:dyDescent="0.25">
      <c r="A439" s="79"/>
      <c r="B439" s="79"/>
      <c r="C439" s="77"/>
      <c r="D439" s="80"/>
      <c r="E439" s="80"/>
      <c r="F439" s="86"/>
      <c r="G439" s="92"/>
      <c r="H439" s="92"/>
      <c r="I439" s="92"/>
      <c r="J439" s="93"/>
      <c r="K439" s="93"/>
      <c r="L439" s="77"/>
      <c r="M439" s="77"/>
      <c r="N439" s="77"/>
      <c r="O439" s="77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</row>
    <row r="440" spans="1:27" ht="12.75" customHeight="1" x14ac:dyDescent="0.25">
      <c r="A440" s="79"/>
      <c r="B440" s="79"/>
      <c r="C440" s="77"/>
      <c r="D440" s="80"/>
      <c r="E440" s="80"/>
      <c r="F440" s="86"/>
      <c r="G440" s="92"/>
      <c r="H440" s="92"/>
      <c r="I440" s="92"/>
      <c r="J440" s="93"/>
      <c r="K440" s="93"/>
      <c r="L440" s="77"/>
      <c r="M440" s="77"/>
      <c r="N440" s="77"/>
      <c r="O440" s="77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</row>
    <row r="441" spans="1:27" ht="12.75" customHeight="1" x14ac:dyDescent="0.25">
      <c r="A441" s="79"/>
      <c r="B441" s="79"/>
      <c r="C441" s="77"/>
      <c r="D441" s="80"/>
      <c r="E441" s="80"/>
      <c r="F441" s="86"/>
      <c r="G441" s="92"/>
      <c r="H441" s="92"/>
      <c r="I441" s="92"/>
      <c r="J441" s="93"/>
      <c r="K441" s="93"/>
      <c r="L441" s="77"/>
      <c r="M441" s="77"/>
      <c r="N441" s="77"/>
      <c r="O441" s="77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</row>
    <row r="442" spans="1:27" ht="12.75" customHeight="1" x14ac:dyDescent="0.25">
      <c r="A442" s="79"/>
      <c r="B442" s="79"/>
      <c r="C442" s="77"/>
      <c r="D442" s="80"/>
      <c r="E442" s="80"/>
      <c r="F442" s="86"/>
      <c r="G442" s="92"/>
      <c r="H442" s="92"/>
      <c r="I442" s="92"/>
      <c r="J442" s="93"/>
      <c r="K442" s="93"/>
      <c r="L442" s="77"/>
      <c r="M442" s="77"/>
      <c r="N442" s="77"/>
      <c r="O442" s="77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</row>
    <row r="443" spans="1:27" ht="12.75" customHeight="1" x14ac:dyDescent="0.25">
      <c r="A443" s="79"/>
      <c r="B443" s="79"/>
      <c r="C443" s="77"/>
      <c r="D443" s="80"/>
      <c r="E443" s="80"/>
      <c r="F443" s="86"/>
      <c r="G443" s="92"/>
      <c r="H443" s="92"/>
      <c r="I443" s="92"/>
      <c r="J443" s="93"/>
      <c r="K443" s="93"/>
      <c r="L443" s="77"/>
      <c r="M443" s="77"/>
      <c r="N443" s="77"/>
      <c r="O443" s="77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</row>
    <row r="444" spans="1:27" ht="12.75" customHeight="1" x14ac:dyDescent="0.25">
      <c r="A444" s="79"/>
      <c r="B444" s="79"/>
      <c r="C444" s="77"/>
      <c r="D444" s="80"/>
      <c r="E444" s="80"/>
      <c r="F444" s="86"/>
      <c r="G444" s="92"/>
      <c r="H444" s="92"/>
      <c r="I444" s="92"/>
      <c r="J444" s="93"/>
      <c r="K444" s="93"/>
      <c r="L444" s="77"/>
      <c r="M444" s="77"/>
      <c r="N444" s="77"/>
      <c r="O444" s="77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</row>
    <row r="445" spans="1:27" ht="12.75" customHeight="1" x14ac:dyDescent="0.25">
      <c r="A445" s="79"/>
      <c r="B445" s="79"/>
      <c r="C445" s="77"/>
      <c r="D445" s="80"/>
      <c r="E445" s="80"/>
      <c r="F445" s="86"/>
      <c r="G445" s="92"/>
      <c r="H445" s="92"/>
      <c r="I445" s="92"/>
      <c r="J445" s="93"/>
      <c r="K445" s="93"/>
      <c r="L445" s="77"/>
      <c r="M445" s="77"/>
      <c r="N445" s="77"/>
      <c r="O445" s="77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</row>
    <row r="446" spans="1:27" ht="12.75" customHeight="1" x14ac:dyDescent="0.25">
      <c r="A446" s="79"/>
      <c r="B446" s="79"/>
      <c r="C446" s="77"/>
      <c r="D446" s="80"/>
      <c r="E446" s="80"/>
      <c r="F446" s="86"/>
      <c r="G446" s="92"/>
      <c r="H446" s="92"/>
      <c r="I446" s="92"/>
      <c r="J446" s="93"/>
      <c r="K446" s="93"/>
      <c r="L446" s="77"/>
      <c r="M446" s="77"/>
      <c r="N446" s="77"/>
      <c r="O446" s="77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</row>
    <row r="447" spans="1:27" ht="12.75" customHeight="1" x14ac:dyDescent="0.25">
      <c r="A447" s="79"/>
      <c r="B447" s="79"/>
      <c r="C447" s="77"/>
      <c r="D447" s="80"/>
      <c r="E447" s="80"/>
      <c r="F447" s="86"/>
      <c r="G447" s="92"/>
      <c r="H447" s="92"/>
      <c r="I447" s="92"/>
      <c r="J447" s="93"/>
      <c r="K447" s="93"/>
      <c r="L447" s="77"/>
      <c r="M447" s="77"/>
      <c r="N447" s="77"/>
      <c r="O447" s="77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</row>
    <row r="448" spans="1:27" ht="12.75" customHeight="1" x14ac:dyDescent="0.25">
      <c r="A448" s="79"/>
      <c r="B448" s="79"/>
      <c r="C448" s="77"/>
      <c r="D448" s="80"/>
      <c r="E448" s="80"/>
      <c r="F448" s="86"/>
      <c r="G448" s="92"/>
      <c r="H448" s="92"/>
      <c r="I448" s="92"/>
      <c r="J448" s="93"/>
      <c r="K448" s="93"/>
      <c r="L448" s="77"/>
      <c r="M448" s="77"/>
      <c r="N448" s="77"/>
      <c r="O448" s="77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</row>
    <row r="449" spans="1:27" ht="12.75" customHeight="1" x14ac:dyDescent="0.25">
      <c r="A449" s="79"/>
      <c r="B449" s="79"/>
      <c r="C449" s="77"/>
      <c r="D449" s="80"/>
      <c r="E449" s="80"/>
      <c r="F449" s="86"/>
      <c r="G449" s="92"/>
      <c r="H449" s="92"/>
      <c r="I449" s="92"/>
      <c r="J449" s="93"/>
      <c r="K449" s="93"/>
      <c r="L449" s="77"/>
      <c r="M449" s="77"/>
      <c r="N449" s="77"/>
      <c r="O449" s="77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</row>
    <row r="450" spans="1:27" ht="12.75" customHeight="1" x14ac:dyDescent="0.25">
      <c r="A450" s="79"/>
      <c r="B450" s="79"/>
      <c r="C450" s="77"/>
      <c r="D450" s="80"/>
      <c r="E450" s="80"/>
      <c r="F450" s="86"/>
      <c r="G450" s="92"/>
      <c r="H450" s="92"/>
      <c r="I450" s="92"/>
      <c r="J450" s="93"/>
      <c r="K450" s="93"/>
      <c r="L450" s="77"/>
      <c r="M450" s="77"/>
      <c r="N450" s="77"/>
      <c r="O450" s="77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</row>
    <row r="451" spans="1:27" ht="12.75" customHeight="1" x14ac:dyDescent="0.25">
      <c r="A451" s="79"/>
      <c r="B451" s="79"/>
      <c r="C451" s="77"/>
      <c r="D451" s="80"/>
      <c r="E451" s="80"/>
      <c r="F451" s="86"/>
      <c r="G451" s="92"/>
      <c r="H451" s="92"/>
      <c r="I451" s="92"/>
      <c r="J451" s="93"/>
      <c r="K451" s="93"/>
      <c r="L451" s="77"/>
      <c r="M451" s="77"/>
      <c r="N451" s="77"/>
      <c r="O451" s="77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</row>
    <row r="452" spans="1:27" ht="12.75" customHeight="1" x14ac:dyDescent="0.25">
      <c r="A452" s="79"/>
      <c r="B452" s="79"/>
      <c r="C452" s="77"/>
      <c r="D452" s="80"/>
      <c r="E452" s="80"/>
      <c r="F452" s="86"/>
      <c r="G452" s="92"/>
      <c r="H452" s="92"/>
      <c r="I452" s="92"/>
      <c r="J452" s="93"/>
      <c r="K452" s="93"/>
      <c r="L452" s="77"/>
      <c r="M452" s="77"/>
      <c r="N452" s="77"/>
      <c r="O452" s="77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</row>
    <row r="453" spans="1:27" ht="12.75" customHeight="1" x14ac:dyDescent="0.25">
      <c r="A453" s="79"/>
      <c r="B453" s="79"/>
      <c r="C453" s="77"/>
      <c r="D453" s="80"/>
      <c r="E453" s="80"/>
      <c r="F453" s="86"/>
      <c r="G453" s="92"/>
      <c r="H453" s="92"/>
      <c r="I453" s="92"/>
      <c r="J453" s="93"/>
      <c r="K453" s="93"/>
      <c r="L453" s="77"/>
      <c r="M453" s="77"/>
      <c r="N453" s="77"/>
      <c r="O453" s="77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</row>
    <row r="454" spans="1:27" ht="12.75" customHeight="1" x14ac:dyDescent="0.25">
      <c r="A454" s="79"/>
      <c r="B454" s="79"/>
      <c r="C454" s="77"/>
      <c r="D454" s="80"/>
      <c r="E454" s="80"/>
      <c r="F454" s="86"/>
      <c r="G454" s="92"/>
      <c r="H454" s="92"/>
      <c r="I454" s="92"/>
      <c r="J454" s="93"/>
      <c r="K454" s="93"/>
      <c r="L454" s="77"/>
      <c r="M454" s="77"/>
      <c r="N454" s="77"/>
      <c r="O454" s="77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</row>
    <row r="455" spans="1:27" ht="12.75" customHeight="1" x14ac:dyDescent="0.25">
      <c r="A455" s="79"/>
      <c r="B455" s="79"/>
      <c r="C455" s="77"/>
      <c r="D455" s="80"/>
      <c r="E455" s="80"/>
      <c r="F455" s="86"/>
      <c r="G455" s="92"/>
      <c r="H455" s="92"/>
      <c r="I455" s="92"/>
      <c r="J455" s="93"/>
      <c r="K455" s="93"/>
      <c r="L455" s="77"/>
      <c r="M455" s="77"/>
      <c r="N455" s="77"/>
      <c r="O455" s="77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</row>
    <row r="456" spans="1:27" ht="12.75" customHeight="1" x14ac:dyDescent="0.25">
      <c r="A456" s="79"/>
      <c r="B456" s="79"/>
      <c r="C456" s="77"/>
      <c r="D456" s="80"/>
      <c r="E456" s="80"/>
      <c r="F456" s="86"/>
      <c r="G456" s="92"/>
      <c r="H456" s="92"/>
      <c r="I456" s="92"/>
      <c r="J456" s="93"/>
      <c r="K456" s="93"/>
      <c r="L456" s="77"/>
      <c r="M456" s="77"/>
      <c r="N456" s="77"/>
      <c r="O456" s="77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</row>
    <row r="457" spans="1:27" ht="12.75" customHeight="1" x14ac:dyDescent="0.25">
      <c r="A457" s="79"/>
      <c r="B457" s="79"/>
      <c r="C457" s="77"/>
      <c r="D457" s="80"/>
      <c r="E457" s="80"/>
      <c r="F457" s="86"/>
      <c r="G457" s="92"/>
      <c r="H457" s="92"/>
      <c r="I457" s="92"/>
      <c r="J457" s="93"/>
      <c r="K457" s="93"/>
      <c r="L457" s="77"/>
      <c r="M457" s="77"/>
      <c r="N457" s="77"/>
      <c r="O457" s="77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</row>
    <row r="458" spans="1:27" ht="12.75" customHeight="1" x14ac:dyDescent="0.25">
      <c r="A458" s="79"/>
      <c r="B458" s="79"/>
      <c r="C458" s="77"/>
      <c r="D458" s="80"/>
      <c r="E458" s="80"/>
      <c r="F458" s="86"/>
      <c r="G458" s="92"/>
      <c r="H458" s="92"/>
      <c r="I458" s="92"/>
      <c r="J458" s="93"/>
      <c r="K458" s="93"/>
      <c r="L458" s="77"/>
      <c r="M458" s="77"/>
      <c r="N458" s="77"/>
      <c r="O458" s="77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</row>
    <row r="459" spans="1:27" ht="12.75" customHeight="1" x14ac:dyDescent="0.25">
      <c r="A459" s="79"/>
      <c r="B459" s="79"/>
      <c r="C459" s="77"/>
      <c r="D459" s="80"/>
      <c r="E459" s="80"/>
      <c r="F459" s="86"/>
      <c r="G459" s="92"/>
      <c r="H459" s="92"/>
      <c r="I459" s="92"/>
      <c r="J459" s="93"/>
      <c r="K459" s="93"/>
      <c r="L459" s="77"/>
      <c r="M459" s="77"/>
      <c r="N459" s="77"/>
      <c r="O459" s="77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</row>
    <row r="460" spans="1:27" ht="12.75" customHeight="1" x14ac:dyDescent="0.25">
      <c r="A460" s="79"/>
      <c r="B460" s="79"/>
      <c r="C460" s="77"/>
      <c r="D460" s="80"/>
      <c r="E460" s="80"/>
      <c r="F460" s="86"/>
      <c r="G460" s="92"/>
      <c r="H460" s="92"/>
      <c r="I460" s="92"/>
      <c r="J460" s="93"/>
      <c r="K460" s="93"/>
      <c r="L460" s="77"/>
      <c r="M460" s="77"/>
      <c r="N460" s="77"/>
      <c r="O460" s="77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</row>
    <row r="461" spans="1:27" ht="12.75" customHeight="1" x14ac:dyDescent="0.25">
      <c r="A461" s="79"/>
      <c r="B461" s="79"/>
      <c r="C461" s="77"/>
      <c r="D461" s="80"/>
      <c r="E461" s="80"/>
      <c r="F461" s="86"/>
      <c r="G461" s="92"/>
      <c r="H461" s="92"/>
      <c r="I461" s="92"/>
      <c r="J461" s="93"/>
      <c r="K461" s="93"/>
      <c r="L461" s="77"/>
      <c r="M461" s="77"/>
      <c r="N461" s="77"/>
      <c r="O461" s="77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</row>
    <row r="462" spans="1:27" ht="12.75" customHeight="1" x14ac:dyDescent="0.25">
      <c r="A462" s="79"/>
      <c r="B462" s="79"/>
      <c r="C462" s="77"/>
      <c r="D462" s="80"/>
      <c r="E462" s="80"/>
      <c r="F462" s="86"/>
      <c r="G462" s="92"/>
      <c r="H462" s="92"/>
      <c r="I462" s="92"/>
      <c r="J462" s="93"/>
      <c r="K462" s="93"/>
      <c r="L462" s="77"/>
      <c r="M462" s="77"/>
      <c r="N462" s="77"/>
      <c r="O462" s="77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</row>
    <row r="463" spans="1:27" ht="12.75" customHeight="1" x14ac:dyDescent="0.25">
      <c r="A463" s="79"/>
      <c r="B463" s="79"/>
      <c r="C463" s="77"/>
      <c r="D463" s="80"/>
      <c r="E463" s="80"/>
      <c r="F463" s="86"/>
      <c r="G463" s="92"/>
      <c r="H463" s="92"/>
      <c r="I463" s="92"/>
      <c r="J463" s="93"/>
      <c r="K463" s="93"/>
      <c r="L463" s="77"/>
      <c r="M463" s="77"/>
      <c r="N463" s="77"/>
      <c r="O463" s="77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</row>
    <row r="464" spans="1:27" ht="12.75" customHeight="1" x14ac:dyDescent="0.25">
      <c r="A464" s="79"/>
      <c r="B464" s="79"/>
      <c r="C464" s="77"/>
      <c r="D464" s="80"/>
      <c r="E464" s="80"/>
      <c r="F464" s="86"/>
      <c r="G464" s="92"/>
      <c r="H464" s="92"/>
      <c r="I464" s="92"/>
      <c r="J464" s="93"/>
      <c r="K464" s="93"/>
      <c r="L464" s="77"/>
      <c r="M464" s="77"/>
      <c r="N464" s="77"/>
      <c r="O464" s="77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</row>
    <row r="465" spans="1:27" ht="12.75" customHeight="1" x14ac:dyDescent="0.25">
      <c r="A465" s="79"/>
      <c r="B465" s="79"/>
      <c r="C465" s="77"/>
      <c r="D465" s="80"/>
      <c r="E465" s="80"/>
      <c r="F465" s="86"/>
      <c r="G465" s="92"/>
      <c r="H465" s="92"/>
      <c r="I465" s="92"/>
      <c r="J465" s="93"/>
      <c r="K465" s="93"/>
      <c r="L465" s="77"/>
      <c r="M465" s="77"/>
      <c r="N465" s="77"/>
      <c r="O465" s="77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</row>
    <row r="466" spans="1:27" ht="12.75" customHeight="1" x14ac:dyDescent="0.25">
      <c r="A466" s="79"/>
      <c r="B466" s="79"/>
      <c r="C466" s="77"/>
      <c r="D466" s="80"/>
      <c r="E466" s="80"/>
      <c r="F466" s="86"/>
      <c r="G466" s="92"/>
      <c r="H466" s="92"/>
      <c r="I466" s="92"/>
      <c r="J466" s="93"/>
      <c r="K466" s="93"/>
      <c r="L466" s="77"/>
      <c r="M466" s="77"/>
      <c r="N466" s="77"/>
      <c r="O466" s="77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</row>
    <row r="467" spans="1:27" ht="12.75" customHeight="1" x14ac:dyDescent="0.25">
      <c r="A467" s="79"/>
      <c r="B467" s="79"/>
      <c r="C467" s="77"/>
      <c r="D467" s="80"/>
      <c r="E467" s="80"/>
      <c r="F467" s="86"/>
      <c r="G467" s="92"/>
      <c r="H467" s="92"/>
      <c r="I467" s="92"/>
      <c r="J467" s="93"/>
      <c r="K467" s="93"/>
      <c r="L467" s="77"/>
      <c r="M467" s="77"/>
      <c r="N467" s="77"/>
      <c r="O467" s="77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</row>
    <row r="468" spans="1:27" ht="12.75" customHeight="1" x14ac:dyDescent="0.25">
      <c r="A468" s="79"/>
      <c r="B468" s="79"/>
      <c r="C468" s="77"/>
      <c r="D468" s="80"/>
      <c r="E468" s="80"/>
      <c r="F468" s="86"/>
      <c r="G468" s="92"/>
      <c r="H468" s="92"/>
      <c r="I468" s="92"/>
      <c r="J468" s="93"/>
      <c r="K468" s="93"/>
      <c r="L468" s="77"/>
      <c r="M468" s="77"/>
      <c r="N468" s="77"/>
      <c r="O468" s="77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</row>
    <row r="469" spans="1:27" ht="12.75" customHeight="1" x14ac:dyDescent="0.25">
      <c r="A469" s="79"/>
      <c r="B469" s="79"/>
      <c r="C469" s="77"/>
      <c r="D469" s="80"/>
      <c r="E469" s="80"/>
      <c r="F469" s="86"/>
      <c r="G469" s="92"/>
      <c r="H469" s="92"/>
      <c r="I469" s="92"/>
      <c r="J469" s="93"/>
      <c r="K469" s="93"/>
      <c r="L469" s="77"/>
      <c r="M469" s="77"/>
      <c r="N469" s="77"/>
      <c r="O469" s="77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</row>
    <row r="470" spans="1:27" ht="12.75" customHeight="1" x14ac:dyDescent="0.25">
      <c r="A470" s="79"/>
      <c r="B470" s="79"/>
      <c r="C470" s="77"/>
      <c r="D470" s="80"/>
      <c r="E470" s="80"/>
      <c r="F470" s="86"/>
      <c r="G470" s="92"/>
      <c r="H470" s="92"/>
      <c r="I470" s="92"/>
      <c r="J470" s="93"/>
      <c r="K470" s="93"/>
      <c r="L470" s="77"/>
      <c r="M470" s="77"/>
      <c r="N470" s="77"/>
      <c r="O470" s="77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</row>
    <row r="471" spans="1:27" ht="12.75" customHeight="1" x14ac:dyDescent="0.25">
      <c r="A471" s="79"/>
      <c r="B471" s="79"/>
      <c r="C471" s="77"/>
      <c r="D471" s="80"/>
      <c r="E471" s="80"/>
      <c r="F471" s="86"/>
      <c r="G471" s="92"/>
      <c r="H471" s="92"/>
      <c r="I471" s="92"/>
      <c r="J471" s="93"/>
      <c r="K471" s="93"/>
      <c r="L471" s="77"/>
      <c r="M471" s="77"/>
      <c r="N471" s="77"/>
      <c r="O471" s="77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</row>
    <row r="472" spans="1:27" ht="12.75" customHeight="1" x14ac:dyDescent="0.25">
      <c r="A472" s="79"/>
      <c r="B472" s="79"/>
      <c r="C472" s="77"/>
      <c r="D472" s="80"/>
      <c r="E472" s="80"/>
      <c r="F472" s="86"/>
      <c r="G472" s="92"/>
      <c r="H472" s="92"/>
      <c r="I472" s="92"/>
      <c r="J472" s="93"/>
      <c r="K472" s="93"/>
      <c r="L472" s="77"/>
      <c r="M472" s="77"/>
      <c r="N472" s="77"/>
      <c r="O472" s="77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</row>
    <row r="473" spans="1:27" ht="12.75" customHeight="1" x14ac:dyDescent="0.25">
      <c r="A473" s="79"/>
      <c r="B473" s="79"/>
      <c r="C473" s="77"/>
      <c r="D473" s="80"/>
      <c r="E473" s="80"/>
      <c r="F473" s="86"/>
      <c r="G473" s="92"/>
      <c r="H473" s="92"/>
      <c r="I473" s="92"/>
      <c r="J473" s="93"/>
      <c r="K473" s="93"/>
      <c r="L473" s="77"/>
      <c r="M473" s="77"/>
      <c r="N473" s="77"/>
      <c r="O473" s="77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</row>
    <row r="474" spans="1:27" ht="12.75" customHeight="1" x14ac:dyDescent="0.25">
      <c r="A474" s="79"/>
      <c r="B474" s="79"/>
      <c r="C474" s="77"/>
      <c r="D474" s="80"/>
      <c r="E474" s="80"/>
      <c r="F474" s="86"/>
      <c r="G474" s="92"/>
      <c r="H474" s="92"/>
      <c r="I474" s="92"/>
      <c r="J474" s="93"/>
      <c r="K474" s="93"/>
      <c r="L474" s="77"/>
      <c r="M474" s="77"/>
      <c r="N474" s="77"/>
      <c r="O474" s="77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</row>
    <row r="475" spans="1:27" ht="12.75" customHeight="1" x14ac:dyDescent="0.25">
      <c r="A475" s="79"/>
      <c r="B475" s="79"/>
      <c r="C475" s="77"/>
      <c r="D475" s="80"/>
      <c r="E475" s="80"/>
      <c r="F475" s="86"/>
      <c r="G475" s="92"/>
      <c r="H475" s="92"/>
      <c r="I475" s="92"/>
      <c r="J475" s="93"/>
      <c r="K475" s="93"/>
      <c r="L475" s="77"/>
      <c r="M475" s="77"/>
      <c r="N475" s="77"/>
      <c r="O475" s="77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</row>
    <row r="476" spans="1:27" ht="12.75" customHeight="1" x14ac:dyDescent="0.25">
      <c r="A476" s="79"/>
      <c r="B476" s="79"/>
      <c r="C476" s="77"/>
      <c r="D476" s="80"/>
      <c r="E476" s="80"/>
      <c r="F476" s="86"/>
      <c r="G476" s="92"/>
      <c r="H476" s="92"/>
      <c r="I476" s="92"/>
      <c r="J476" s="93"/>
      <c r="K476" s="93"/>
      <c r="L476" s="77"/>
      <c r="M476" s="77"/>
      <c r="N476" s="77"/>
      <c r="O476" s="77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</row>
    <row r="477" spans="1:27" ht="12.75" customHeight="1" x14ac:dyDescent="0.25">
      <c r="A477" s="79"/>
      <c r="B477" s="79"/>
      <c r="C477" s="77"/>
      <c r="D477" s="80"/>
      <c r="E477" s="80"/>
      <c r="F477" s="86"/>
      <c r="G477" s="92"/>
      <c r="H477" s="92"/>
      <c r="I477" s="92"/>
      <c r="J477" s="93"/>
      <c r="K477" s="93"/>
      <c r="L477" s="77"/>
      <c r="M477" s="77"/>
      <c r="N477" s="77"/>
      <c r="O477" s="77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</row>
    <row r="478" spans="1:27" ht="12.75" customHeight="1" x14ac:dyDescent="0.25">
      <c r="A478" s="79"/>
      <c r="B478" s="79"/>
      <c r="C478" s="77"/>
      <c r="D478" s="80"/>
      <c r="E478" s="80"/>
      <c r="F478" s="86"/>
      <c r="G478" s="92"/>
      <c r="H478" s="92"/>
      <c r="I478" s="92"/>
      <c r="J478" s="93"/>
      <c r="K478" s="93"/>
      <c r="L478" s="77"/>
      <c r="M478" s="77"/>
      <c r="N478" s="77"/>
      <c r="O478" s="77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</row>
    <row r="479" spans="1:27" ht="12.75" customHeight="1" x14ac:dyDescent="0.25">
      <c r="A479" s="79"/>
      <c r="B479" s="79"/>
      <c r="C479" s="77"/>
      <c r="D479" s="80"/>
      <c r="E479" s="80"/>
      <c r="F479" s="86"/>
      <c r="G479" s="92"/>
      <c r="H479" s="92"/>
      <c r="I479" s="92"/>
      <c r="J479" s="93"/>
      <c r="K479" s="93"/>
      <c r="L479" s="77"/>
      <c r="M479" s="77"/>
      <c r="N479" s="77"/>
      <c r="O479" s="77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</row>
    <row r="480" spans="1:27" ht="12.75" customHeight="1" x14ac:dyDescent="0.25">
      <c r="A480" s="79"/>
      <c r="B480" s="79"/>
      <c r="C480" s="77"/>
      <c r="D480" s="80"/>
      <c r="E480" s="80"/>
      <c r="F480" s="86"/>
      <c r="G480" s="92"/>
      <c r="H480" s="92"/>
      <c r="I480" s="92"/>
      <c r="J480" s="93"/>
      <c r="K480" s="93"/>
      <c r="L480" s="77"/>
      <c r="M480" s="77"/>
      <c r="N480" s="77"/>
      <c r="O480" s="77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</row>
    <row r="481" spans="1:27" ht="12.75" customHeight="1" x14ac:dyDescent="0.25">
      <c r="A481" s="79"/>
      <c r="B481" s="79"/>
      <c r="C481" s="77"/>
      <c r="D481" s="80"/>
      <c r="E481" s="80"/>
      <c r="F481" s="86"/>
      <c r="G481" s="92"/>
      <c r="H481" s="92"/>
      <c r="I481" s="92"/>
      <c r="J481" s="93"/>
      <c r="K481" s="93"/>
      <c r="L481" s="77"/>
      <c r="M481" s="77"/>
      <c r="N481" s="77"/>
      <c r="O481" s="77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</row>
    <row r="482" spans="1:27" ht="12.75" customHeight="1" x14ac:dyDescent="0.25">
      <c r="A482" s="79"/>
      <c r="B482" s="79"/>
      <c r="C482" s="77"/>
      <c r="D482" s="80"/>
      <c r="E482" s="80"/>
      <c r="F482" s="86"/>
      <c r="G482" s="92"/>
      <c r="H482" s="92"/>
      <c r="I482" s="92"/>
      <c r="J482" s="93"/>
      <c r="K482" s="93"/>
      <c r="L482" s="77"/>
      <c r="M482" s="77"/>
      <c r="N482" s="77"/>
      <c r="O482" s="77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</row>
    <row r="483" spans="1:27" ht="12.75" customHeight="1" x14ac:dyDescent="0.25">
      <c r="A483" s="79"/>
      <c r="B483" s="79"/>
      <c r="C483" s="77"/>
      <c r="D483" s="80"/>
      <c r="E483" s="80"/>
      <c r="F483" s="86"/>
      <c r="G483" s="92"/>
      <c r="H483" s="92"/>
      <c r="I483" s="92"/>
      <c r="J483" s="93"/>
      <c r="K483" s="93"/>
      <c r="L483" s="77"/>
      <c r="M483" s="77"/>
      <c r="N483" s="77"/>
      <c r="O483" s="77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</row>
    <row r="484" spans="1:27" ht="12.75" customHeight="1" x14ac:dyDescent="0.25">
      <c r="A484" s="79"/>
      <c r="B484" s="79"/>
      <c r="C484" s="77"/>
      <c r="D484" s="80"/>
      <c r="E484" s="80"/>
      <c r="F484" s="86"/>
      <c r="G484" s="92"/>
      <c r="H484" s="92"/>
      <c r="I484" s="92"/>
      <c r="J484" s="93"/>
      <c r="K484" s="93"/>
      <c r="L484" s="77"/>
      <c r="M484" s="77"/>
      <c r="N484" s="77"/>
      <c r="O484" s="77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</row>
    <row r="485" spans="1:27" ht="12.75" customHeight="1" x14ac:dyDescent="0.25">
      <c r="A485" s="79"/>
      <c r="B485" s="79"/>
      <c r="C485" s="77"/>
      <c r="D485" s="80"/>
      <c r="E485" s="80"/>
      <c r="F485" s="86"/>
      <c r="G485" s="92"/>
      <c r="H485" s="92"/>
      <c r="I485" s="92"/>
      <c r="J485" s="93"/>
      <c r="K485" s="93"/>
      <c r="L485" s="77"/>
      <c r="M485" s="77"/>
      <c r="N485" s="77"/>
      <c r="O485" s="77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</row>
    <row r="486" spans="1:27" ht="12.75" customHeight="1" x14ac:dyDescent="0.25">
      <c r="A486" s="79"/>
      <c r="B486" s="79"/>
      <c r="C486" s="77"/>
      <c r="D486" s="80"/>
      <c r="E486" s="80"/>
      <c r="F486" s="86"/>
      <c r="G486" s="92"/>
      <c r="H486" s="92"/>
      <c r="I486" s="92"/>
      <c r="J486" s="93"/>
      <c r="K486" s="93"/>
      <c r="L486" s="77"/>
      <c r="M486" s="77"/>
      <c r="N486" s="77"/>
      <c r="O486" s="77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</row>
    <row r="487" spans="1:27" ht="12.75" customHeight="1" x14ac:dyDescent="0.25">
      <c r="A487" s="79"/>
      <c r="B487" s="79"/>
      <c r="C487" s="77"/>
      <c r="D487" s="80"/>
      <c r="E487" s="80"/>
      <c r="F487" s="86"/>
      <c r="G487" s="92"/>
      <c r="H487" s="92"/>
      <c r="I487" s="92"/>
      <c r="J487" s="93"/>
      <c r="K487" s="93"/>
      <c r="L487" s="77"/>
      <c r="M487" s="77"/>
      <c r="N487" s="77"/>
      <c r="O487" s="77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</row>
    <row r="488" spans="1:27" ht="12.75" customHeight="1" x14ac:dyDescent="0.25">
      <c r="A488" s="79"/>
      <c r="B488" s="79"/>
      <c r="C488" s="77"/>
      <c r="D488" s="80"/>
      <c r="E488" s="80"/>
      <c r="F488" s="86"/>
      <c r="G488" s="92"/>
      <c r="H488" s="92"/>
      <c r="I488" s="92"/>
      <c r="J488" s="93"/>
      <c r="K488" s="93"/>
      <c r="L488" s="77"/>
      <c r="M488" s="77"/>
      <c r="N488" s="77"/>
      <c r="O488" s="77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</row>
    <row r="489" spans="1:27" ht="12.75" customHeight="1" x14ac:dyDescent="0.25">
      <c r="A489" s="79"/>
      <c r="B489" s="79"/>
      <c r="C489" s="77"/>
      <c r="D489" s="80"/>
      <c r="E489" s="80"/>
      <c r="F489" s="86"/>
      <c r="G489" s="92"/>
      <c r="H489" s="92"/>
      <c r="I489" s="92"/>
      <c r="J489" s="93"/>
      <c r="K489" s="93"/>
      <c r="L489" s="77"/>
      <c r="M489" s="77"/>
      <c r="N489" s="77"/>
      <c r="O489" s="77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</row>
    <row r="490" spans="1:27" ht="12.75" customHeight="1" x14ac:dyDescent="0.25">
      <c r="A490" s="79"/>
      <c r="B490" s="79"/>
      <c r="C490" s="77"/>
      <c r="D490" s="80"/>
      <c r="E490" s="80"/>
      <c r="F490" s="86"/>
      <c r="G490" s="92"/>
      <c r="H490" s="92"/>
      <c r="I490" s="92"/>
      <c r="J490" s="93"/>
      <c r="K490" s="93"/>
      <c r="L490" s="77"/>
      <c r="M490" s="77"/>
      <c r="N490" s="77"/>
      <c r="O490" s="77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</row>
    <row r="491" spans="1:27" ht="12.75" customHeight="1" x14ac:dyDescent="0.25">
      <c r="A491" s="79"/>
      <c r="B491" s="79"/>
      <c r="C491" s="77"/>
      <c r="D491" s="80"/>
      <c r="E491" s="80"/>
      <c r="F491" s="86"/>
      <c r="G491" s="92"/>
      <c r="H491" s="92"/>
      <c r="I491" s="92"/>
      <c r="J491" s="93"/>
      <c r="K491" s="93"/>
      <c r="L491" s="77"/>
      <c r="M491" s="77"/>
      <c r="N491" s="77"/>
      <c r="O491" s="77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</row>
    <row r="492" spans="1:27" ht="12.75" customHeight="1" x14ac:dyDescent="0.25">
      <c r="A492" s="79"/>
      <c r="B492" s="79"/>
      <c r="C492" s="77"/>
      <c r="D492" s="80"/>
      <c r="E492" s="80"/>
      <c r="F492" s="86"/>
      <c r="G492" s="92"/>
      <c r="H492" s="92"/>
      <c r="I492" s="92"/>
      <c r="J492" s="93"/>
      <c r="K492" s="93"/>
      <c r="L492" s="77"/>
      <c r="M492" s="77"/>
      <c r="N492" s="77"/>
      <c r="O492" s="77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</row>
    <row r="493" spans="1:27" ht="12.75" customHeight="1" x14ac:dyDescent="0.25">
      <c r="A493" s="79"/>
      <c r="B493" s="79"/>
      <c r="C493" s="77"/>
      <c r="D493" s="80"/>
      <c r="E493" s="80"/>
      <c r="F493" s="86"/>
      <c r="G493" s="92"/>
      <c r="H493" s="92"/>
      <c r="I493" s="92"/>
      <c r="J493" s="93"/>
      <c r="K493" s="93"/>
      <c r="L493" s="77"/>
      <c r="M493" s="77"/>
      <c r="N493" s="77"/>
      <c r="O493" s="77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</row>
    <row r="494" spans="1:27" ht="12.75" customHeight="1" x14ac:dyDescent="0.25">
      <c r="A494" s="79"/>
      <c r="B494" s="79"/>
      <c r="C494" s="77"/>
      <c r="D494" s="80"/>
      <c r="E494" s="80"/>
      <c r="F494" s="86"/>
      <c r="G494" s="92"/>
      <c r="H494" s="92"/>
      <c r="I494" s="92"/>
      <c r="J494" s="93"/>
      <c r="K494" s="93"/>
      <c r="L494" s="77"/>
      <c r="M494" s="77"/>
      <c r="N494" s="77"/>
      <c r="O494" s="77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</row>
    <row r="495" spans="1:27" ht="12.75" customHeight="1" x14ac:dyDescent="0.25">
      <c r="A495" s="79"/>
      <c r="B495" s="79"/>
      <c r="C495" s="77"/>
      <c r="D495" s="80"/>
      <c r="E495" s="80"/>
      <c r="F495" s="86"/>
      <c r="G495" s="92"/>
      <c r="H495" s="92"/>
      <c r="I495" s="92"/>
      <c r="J495" s="93"/>
      <c r="K495" s="93"/>
      <c r="L495" s="77"/>
      <c r="M495" s="77"/>
      <c r="N495" s="77"/>
      <c r="O495" s="77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</row>
    <row r="496" spans="1:27" ht="12.75" customHeight="1" x14ac:dyDescent="0.25">
      <c r="A496" s="79"/>
      <c r="B496" s="79"/>
      <c r="C496" s="77"/>
      <c r="D496" s="80"/>
      <c r="E496" s="80"/>
      <c r="F496" s="86"/>
      <c r="G496" s="92"/>
      <c r="H496" s="92"/>
      <c r="I496" s="92"/>
      <c r="J496" s="93"/>
      <c r="K496" s="93"/>
      <c r="L496" s="77"/>
      <c r="M496" s="77"/>
      <c r="N496" s="77"/>
      <c r="O496" s="77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</row>
    <row r="497" spans="1:27" ht="12.75" customHeight="1" x14ac:dyDescent="0.25">
      <c r="A497" s="79"/>
      <c r="B497" s="79"/>
      <c r="C497" s="77"/>
      <c r="D497" s="80"/>
      <c r="E497" s="80"/>
      <c r="F497" s="86"/>
      <c r="G497" s="92"/>
      <c r="H497" s="92"/>
      <c r="I497" s="92"/>
      <c r="J497" s="93"/>
      <c r="K497" s="93"/>
      <c r="L497" s="77"/>
      <c r="M497" s="77"/>
      <c r="N497" s="77"/>
      <c r="O497" s="77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</row>
    <row r="498" spans="1:27" ht="12.75" customHeight="1" x14ac:dyDescent="0.25">
      <c r="A498" s="79"/>
      <c r="B498" s="79"/>
      <c r="C498" s="77"/>
      <c r="D498" s="80"/>
      <c r="E498" s="80"/>
      <c r="F498" s="86"/>
      <c r="G498" s="92"/>
      <c r="H498" s="92"/>
      <c r="I498" s="92"/>
      <c r="J498" s="93"/>
      <c r="K498" s="93"/>
      <c r="L498" s="77"/>
      <c r="M498" s="77"/>
      <c r="N498" s="77"/>
      <c r="O498" s="77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</row>
    <row r="499" spans="1:27" ht="12.75" customHeight="1" x14ac:dyDescent="0.25">
      <c r="A499" s="79"/>
      <c r="B499" s="79"/>
      <c r="C499" s="77"/>
      <c r="D499" s="80"/>
      <c r="E499" s="80"/>
      <c r="F499" s="86"/>
      <c r="G499" s="92"/>
      <c r="H499" s="92"/>
      <c r="I499" s="92"/>
      <c r="J499" s="93"/>
      <c r="K499" s="93"/>
      <c r="L499" s="77"/>
      <c r="M499" s="77"/>
      <c r="N499" s="77"/>
      <c r="O499" s="77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</row>
    <row r="500" spans="1:27" ht="12.75" customHeight="1" x14ac:dyDescent="0.25">
      <c r="A500" s="79"/>
      <c r="B500" s="79"/>
      <c r="C500" s="77"/>
      <c r="D500" s="80"/>
      <c r="E500" s="80"/>
      <c r="F500" s="86"/>
      <c r="G500" s="92"/>
      <c r="H500" s="92"/>
      <c r="I500" s="92"/>
      <c r="J500" s="93"/>
      <c r="K500" s="93"/>
      <c r="L500" s="77"/>
      <c r="M500" s="77"/>
      <c r="N500" s="77"/>
      <c r="O500" s="77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</row>
    <row r="501" spans="1:27" ht="12.75" customHeight="1" x14ac:dyDescent="0.25">
      <c r="A501" s="79"/>
      <c r="B501" s="79"/>
      <c r="C501" s="77"/>
      <c r="D501" s="80"/>
      <c r="E501" s="80"/>
      <c r="F501" s="86"/>
      <c r="G501" s="92"/>
      <c r="H501" s="92"/>
      <c r="I501" s="92"/>
      <c r="J501" s="93"/>
      <c r="K501" s="93"/>
      <c r="L501" s="77"/>
      <c r="M501" s="77"/>
      <c r="N501" s="77"/>
      <c r="O501" s="77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</row>
    <row r="502" spans="1:27" ht="12.75" customHeight="1" x14ac:dyDescent="0.25">
      <c r="A502" s="79"/>
      <c r="B502" s="79"/>
      <c r="C502" s="77"/>
      <c r="D502" s="80"/>
      <c r="E502" s="80"/>
      <c r="F502" s="86"/>
      <c r="G502" s="92"/>
      <c r="H502" s="92"/>
      <c r="I502" s="92"/>
      <c r="J502" s="93"/>
      <c r="K502" s="93"/>
      <c r="L502" s="77"/>
      <c r="M502" s="77"/>
      <c r="N502" s="77"/>
      <c r="O502" s="77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</row>
    <row r="503" spans="1:27" ht="12.75" customHeight="1" x14ac:dyDescent="0.25">
      <c r="A503" s="79"/>
      <c r="B503" s="79"/>
      <c r="C503" s="77"/>
      <c r="D503" s="80"/>
      <c r="E503" s="80"/>
      <c r="F503" s="86"/>
      <c r="G503" s="92"/>
      <c r="H503" s="92"/>
      <c r="I503" s="92"/>
      <c r="J503" s="93"/>
      <c r="K503" s="93"/>
      <c r="L503" s="77"/>
      <c r="M503" s="77"/>
      <c r="N503" s="77"/>
      <c r="O503" s="77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</row>
    <row r="504" spans="1:27" ht="12.75" customHeight="1" x14ac:dyDescent="0.25">
      <c r="A504" s="79"/>
      <c r="B504" s="79"/>
      <c r="C504" s="77"/>
      <c r="D504" s="80"/>
      <c r="E504" s="80"/>
      <c r="F504" s="86"/>
      <c r="G504" s="92"/>
      <c r="H504" s="92"/>
      <c r="I504" s="92"/>
      <c r="J504" s="93"/>
      <c r="K504" s="93"/>
      <c r="L504" s="77"/>
      <c r="M504" s="77"/>
      <c r="N504" s="77"/>
      <c r="O504" s="77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</row>
    <row r="505" spans="1:27" ht="12.75" customHeight="1" x14ac:dyDescent="0.25">
      <c r="A505" s="79"/>
      <c r="B505" s="79"/>
      <c r="C505" s="77"/>
      <c r="D505" s="80"/>
      <c r="E505" s="80"/>
      <c r="F505" s="86"/>
      <c r="G505" s="92"/>
      <c r="H505" s="92"/>
      <c r="I505" s="92"/>
      <c r="J505" s="93"/>
      <c r="K505" s="93"/>
      <c r="L505" s="77"/>
      <c r="M505" s="77"/>
      <c r="N505" s="77"/>
      <c r="O505" s="77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</row>
    <row r="506" spans="1:27" ht="12.75" customHeight="1" x14ac:dyDescent="0.25">
      <c r="A506" s="79"/>
      <c r="B506" s="79"/>
      <c r="C506" s="77"/>
      <c r="D506" s="80"/>
      <c r="E506" s="80"/>
      <c r="F506" s="86"/>
      <c r="G506" s="92"/>
      <c r="H506" s="92"/>
      <c r="I506" s="92"/>
      <c r="J506" s="93"/>
      <c r="K506" s="93"/>
      <c r="L506" s="77"/>
      <c r="M506" s="77"/>
      <c r="N506" s="77"/>
      <c r="O506" s="77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</row>
    <row r="507" spans="1:27" ht="12.75" customHeight="1" x14ac:dyDescent="0.25">
      <c r="A507" s="79"/>
      <c r="B507" s="79"/>
      <c r="C507" s="77"/>
      <c r="D507" s="80"/>
      <c r="E507" s="80"/>
      <c r="F507" s="86"/>
      <c r="G507" s="92"/>
      <c r="H507" s="92"/>
      <c r="I507" s="92"/>
      <c r="J507" s="93"/>
      <c r="K507" s="93"/>
      <c r="L507" s="77"/>
      <c r="M507" s="77"/>
      <c r="N507" s="77"/>
      <c r="O507" s="77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</row>
    <row r="508" spans="1:27" ht="12.75" customHeight="1" x14ac:dyDescent="0.25">
      <c r="A508" s="79"/>
      <c r="B508" s="79"/>
      <c r="C508" s="77"/>
      <c r="D508" s="80"/>
      <c r="E508" s="80"/>
      <c r="F508" s="86"/>
      <c r="G508" s="92"/>
      <c r="H508" s="92"/>
      <c r="I508" s="92"/>
      <c r="J508" s="93"/>
      <c r="K508" s="93"/>
      <c r="L508" s="77"/>
      <c r="M508" s="77"/>
      <c r="N508" s="77"/>
      <c r="O508" s="77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</row>
    <row r="509" spans="1:27" ht="12.75" customHeight="1" x14ac:dyDescent="0.25">
      <c r="A509" s="79"/>
      <c r="B509" s="79"/>
      <c r="C509" s="77"/>
      <c r="D509" s="80"/>
      <c r="E509" s="80"/>
      <c r="F509" s="86"/>
      <c r="G509" s="92"/>
      <c r="H509" s="92"/>
      <c r="I509" s="92"/>
      <c r="J509" s="93"/>
      <c r="K509" s="93"/>
      <c r="L509" s="77"/>
      <c r="M509" s="77"/>
      <c r="N509" s="77"/>
      <c r="O509" s="77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</row>
    <row r="510" spans="1:27" ht="12.75" customHeight="1" x14ac:dyDescent="0.25">
      <c r="A510" s="79"/>
      <c r="B510" s="79"/>
      <c r="C510" s="77"/>
      <c r="D510" s="80"/>
      <c r="E510" s="80"/>
      <c r="F510" s="86"/>
      <c r="G510" s="92"/>
      <c r="H510" s="92"/>
      <c r="I510" s="92"/>
      <c r="J510" s="93"/>
      <c r="K510" s="93"/>
      <c r="L510" s="77"/>
      <c r="M510" s="77"/>
      <c r="N510" s="77"/>
      <c r="O510" s="77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</row>
    <row r="511" spans="1:27" ht="12.75" customHeight="1" x14ac:dyDescent="0.25">
      <c r="A511" s="79"/>
      <c r="B511" s="79"/>
      <c r="C511" s="77"/>
      <c r="D511" s="80"/>
      <c r="E511" s="80"/>
      <c r="F511" s="86"/>
      <c r="G511" s="92"/>
      <c r="H511" s="92"/>
      <c r="I511" s="92"/>
      <c r="J511" s="93"/>
      <c r="K511" s="93"/>
      <c r="L511" s="77"/>
      <c r="M511" s="77"/>
      <c r="N511" s="77"/>
      <c r="O511" s="77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</row>
    <row r="512" spans="1:27" ht="12.75" customHeight="1" x14ac:dyDescent="0.25">
      <c r="A512" s="79"/>
      <c r="B512" s="79"/>
      <c r="C512" s="77"/>
      <c r="D512" s="80"/>
      <c r="E512" s="80"/>
      <c r="F512" s="86"/>
      <c r="G512" s="92"/>
      <c r="H512" s="92"/>
      <c r="I512" s="92"/>
      <c r="J512" s="93"/>
      <c r="K512" s="93"/>
      <c r="L512" s="77"/>
      <c r="M512" s="77"/>
      <c r="N512" s="77"/>
      <c r="O512" s="77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</row>
    <row r="513" spans="1:27" ht="12.75" customHeight="1" x14ac:dyDescent="0.25">
      <c r="A513" s="79"/>
      <c r="B513" s="79"/>
      <c r="C513" s="77"/>
      <c r="D513" s="80"/>
      <c r="E513" s="80"/>
      <c r="F513" s="86"/>
      <c r="G513" s="92"/>
      <c r="H513" s="92"/>
      <c r="I513" s="92"/>
      <c r="J513" s="93"/>
      <c r="K513" s="93"/>
      <c r="L513" s="77"/>
      <c r="M513" s="77"/>
      <c r="N513" s="77"/>
      <c r="O513" s="77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</row>
    <row r="514" spans="1:27" ht="12.75" customHeight="1" x14ac:dyDescent="0.25">
      <c r="A514" s="79"/>
      <c r="B514" s="79"/>
      <c r="C514" s="77"/>
      <c r="D514" s="80"/>
      <c r="E514" s="80"/>
      <c r="F514" s="86"/>
      <c r="G514" s="92"/>
      <c r="H514" s="92"/>
      <c r="I514" s="92"/>
      <c r="J514" s="93"/>
      <c r="K514" s="93"/>
      <c r="L514" s="77"/>
      <c r="M514" s="77"/>
      <c r="N514" s="77"/>
      <c r="O514" s="77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</row>
    <row r="515" spans="1:27" ht="12.75" customHeight="1" x14ac:dyDescent="0.25">
      <c r="A515" s="79"/>
      <c r="B515" s="79"/>
      <c r="C515" s="77"/>
      <c r="D515" s="80"/>
      <c r="E515" s="80"/>
      <c r="F515" s="86"/>
      <c r="G515" s="92"/>
      <c r="H515" s="92"/>
      <c r="I515" s="92"/>
      <c r="J515" s="93"/>
      <c r="K515" s="93"/>
      <c r="L515" s="77"/>
      <c r="M515" s="77"/>
      <c r="N515" s="77"/>
      <c r="O515" s="77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</row>
    <row r="516" spans="1:27" ht="12.75" customHeight="1" x14ac:dyDescent="0.25">
      <c r="A516" s="79"/>
      <c r="B516" s="79"/>
      <c r="C516" s="77"/>
      <c r="D516" s="80"/>
      <c r="E516" s="80"/>
      <c r="F516" s="86"/>
      <c r="G516" s="92"/>
      <c r="H516" s="92"/>
      <c r="I516" s="92"/>
      <c r="J516" s="93"/>
      <c r="K516" s="93"/>
      <c r="L516" s="77"/>
      <c r="M516" s="77"/>
      <c r="N516" s="77"/>
      <c r="O516" s="77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</row>
    <row r="517" spans="1:27" ht="12.75" customHeight="1" x14ac:dyDescent="0.25">
      <c r="A517" s="79"/>
      <c r="B517" s="79"/>
      <c r="C517" s="77"/>
      <c r="D517" s="80"/>
      <c r="E517" s="80"/>
      <c r="F517" s="86"/>
      <c r="G517" s="92"/>
      <c r="H517" s="92"/>
      <c r="I517" s="92"/>
      <c r="J517" s="93"/>
      <c r="K517" s="93"/>
      <c r="L517" s="77"/>
      <c r="M517" s="77"/>
      <c r="N517" s="77"/>
      <c r="O517" s="77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</row>
    <row r="518" spans="1:27" ht="12.75" customHeight="1" x14ac:dyDescent="0.25">
      <c r="A518" s="79"/>
      <c r="B518" s="79"/>
      <c r="C518" s="77"/>
      <c r="D518" s="80"/>
      <c r="E518" s="80"/>
      <c r="F518" s="86"/>
      <c r="G518" s="92"/>
      <c r="H518" s="92"/>
      <c r="I518" s="92"/>
      <c r="J518" s="93"/>
      <c r="K518" s="93"/>
      <c r="L518" s="77"/>
      <c r="M518" s="77"/>
      <c r="N518" s="77"/>
      <c r="O518" s="77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</row>
    <row r="519" spans="1:27" ht="12.75" customHeight="1" x14ac:dyDescent="0.25">
      <c r="A519" s="79"/>
      <c r="B519" s="79"/>
      <c r="C519" s="77"/>
      <c r="D519" s="80"/>
      <c r="E519" s="80"/>
      <c r="F519" s="86"/>
      <c r="G519" s="92"/>
      <c r="H519" s="92"/>
      <c r="I519" s="92"/>
      <c r="J519" s="93"/>
      <c r="K519" s="93"/>
      <c r="L519" s="77"/>
      <c r="M519" s="77"/>
      <c r="N519" s="77"/>
      <c r="O519" s="77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</row>
    <row r="520" spans="1:27" ht="12.75" customHeight="1" x14ac:dyDescent="0.25">
      <c r="A520" s="79"/>
      <c r="B520" s="79"/>
      <c r="C520" s="77"/>
      <c r="D520" s="80"/>
      <c r="E520" s="80"/>
      <c r="F520" s="86"/>
      <c r="G520" s="92"/>
      <c r="H520" s="92"/>
      <c r="I520" s="92"/>
      <c r="J520" s="93"/>
      <c r="K520" s="93"/>
      <c r="L520" s="77"/>
      <c r="M520" s="77"/>
      <c r="N520" s="77"/>
      <c r="O520" s="77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</row>
    <row r="521" spans="1:27" ht="12.75" customHeight="1" x14ac:dyDescent="0.25">
      <c r="A521" s="79"/>
      <c r="B521" s="79"/>
      <c r="C521" s="77"/>
      <c r="D521" s="80"/>
      <c r="E521" s="80"/>
      <c r="F521" s="86"/>
      <c r="G521" s="92"/>
      <c r="H521" s="92"/>
      <c r="I521" s="92"/>
      <c r="J521" s="93"/>
      <c r="K521" s="93"/>
      <c r="L521" s="77"/>
      <c r="M521" s="77"/>
      <c r="N521" s="77"/>
      <c r="O521" s="77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</row>
    <row r="522" spans="1:27" ht="12.75" customHeight="1" x14ac:dyDescent="0.25">
      <c r="A522" s="79"/>
      <c r="B522" s="79"/>
      <c r="C522" s="77"/>
      <c r="D522" s="80"/>
      <c r="E522" s="80"/>
      <c r="F522" s="86"/>
      <c r="G522" s="92"/>
      <c r="H522" s="92"/>
      <c r="I522" s="92"/>
      <c r="J522" s="93"/>
      <c r="K522" s="93"/>
      <c r="L522" s="77"/>
      <c r="M522" s="77"/>
      <c r="N522" s="77"/>
      <c r="O522" s="77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</row>
    <row r="523" spans="1:27" ht="12.75" customHeight="1" x14ac:dyDescent="0.25">
      <c r="A523" s="79"/>
      <c r="B523" s="79"/>
      <c r="C523" s="77"/>
      <c r="D523" s="80"/>
      <c r="E523" s="80"/>
      <c r="F523" s="86"/>
      <c r="G523" s="92"/>
      <c r="H523" s="92"/>
      <c r="I523" s="92"/>
      <c r="J523" s="93"/>
      <c r="K523" s="93"/>
      <c r="L523" s="77"/>
      <c r="M523" s="77"/>
      <c r="N523" s="77"/>
      <c r="O523" s="77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</row>
    <row r="524" spans="1:27" ht="12.75" customHeight="1" x14ac:dyDescent="0.25">
      <c r="A524" s="79"/>
      <c r="B524" s="79"/>
      <c r="C524" s="77"/>
      <c r="D524" s="80"/>
      <c r="E524" s="80"/>
      <c r="F524" s="86"/>
      <c r="G524" s="92"/>
      <c r="H524" s="92"/>
      <c r="I524" s="92"/>
      <c r="J524" s="93"/>
      <c r="K524" s="93"/>
      <c r="L524" s="77"/>
      <c r="M524" s="77"/>
      <c r="N524" s="77"/>
      <c r="O524" s="77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</row>
    <row r="525" spans="1:27" ht="12.75" customHeight="1" x14ac:dyDescent="0.25">
      <c r="A525" s="79"/>
      <c r="B525" s="79"/>
      <c r="C525" s="77"/>
      <c r="D525" s="80"/>
      <c r="E525" s="80"/>
      <c r="F525" s="86"/>
      <c r="G525" s="92"/>
      <c r="H525" s="92"/>
      <c r="I525" s="92"/>
      <c r="J525" s="93"/>
      <c r="K525" s="93"/>
      <c r="L525" s="77"/>
      <c r="M525" s="77"/>
      <c r="N525" s="77"/>
      <c r="O525" s="77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</row>
    <row r="526" spans="1:27" ht="12.75" customHeight="1" x14ac:dyDescent="0.25">
      <c r="A526" s="79"/>
      <c r="B526" s="79"/>
      <c r="C526" s="77"/>
      <c r="D526" s="80"/>
      <c r="E526" s="80"/>
      <c r="F526" s="86"/>
      <c r="G526" s="92"/>
      <c r="H526" s="92"/>
      <c r="I526" s="92"/>
      <c r="J526" s="93"/>
      <c r="K526" s="93"/>
      <c r="L526" s="77"/>
      <c r="M526" s="77"/>
      <c r="N526" s="77"/>
      <c r="O526" s="77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</row>
    <row r="527" spans="1:27" ht="12.75" customHeight="1" x14ac:dyDescent="0.25">
      <c r="A527" s="79"/>
      <c r="B527" s="79"/>
      <c r="C527" s="77"/>
      <c r="D527" s="80"/>
      <c r="E527" s="80"/>
      <c r="F527" s="86"/>
      <c r="G527" s="92"/>
      <c r="H527" s="92"/>
      <c r="I527" s="92"/>
      <c r="J527" s="93"/>
      <c r="K527" s="93"/>
      <c r="L527" s="77"/>
      <c r="M527" s="77"/>
      <c r="N527" s="77"/>
      <c r="O527" s="77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</row>
    <row r="528" spans="1:27" ht="12.75" customHeight="1" x14ac:dyDescent="0.25">
      <c r="A528" s="79"/>
      <c r="B528" s="79"/>
      <c r="C528" s="77"/>
      <c r="D528" s="80"/>
      <c r="E528" s="80"/>
      <c r="F528" s="86"/>
      <c r="G528" s="92"/>
      <c r="H528" s="92"/>
      <c r="I528" s="92"/>
      <c r="J528" s="93"/>
      <c r="K528" s="93"/>
      <c r="L528" s="77"/>
      <c r="M528" s="77"/>
      <c r="N528" s="77"/>
      <c r="O528" s="77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</row>
    <row r="529" spans="1:27" ht="12.75" customHeight="1" x14ac:dyDescent="0.25">
      <c r="A529" s="79"/>
      <c r="B529" s="79"/>
      <c r="C529" s="77"/>
      <c r="D529" s="80"/>
      <c r="E529" s="80"/>
      <c r="F529" s="86"/>
      <c r="G529" s="92"/>
      <c r="H529" s="92"/>
      <c r="I529" s="92"/>
      <c r="J529" s="93"/>
      <c r="K529" s="93"/>
      <c r="L529" s="77"/>
      <c r="M529" s="77"/>
      <c r="N529" s="77"/>
      <c r="O529" s="77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</row>
    <row r="530" spans="1:27" ht="12.75" customHeight="1" x14ac:dyDescent="0.25">
      <c r="A530" s="79"/>
      <c r="B530" s="79"/>
      <c r="C530" s="77"/>
      <c r="D530" s="80"/>
      <c r="E530" s="80"/>
      <c r="F530" s="86"/>
      <c r="G530" s="92"/>
      <c r="H530" s="92"/>
      <c r="I530" s="92"/>
      <c r="J530" s="93"/>
      <c r="K530" s="93"/>
      <c r="L530" s="77"/>
      <c r="M530" s="77"/>
      <c r="N530" s="77"/>
      <c r="O530" s="77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</row>
    <row r="531" spans="1:27" ht="12.75" customHeight="1" x14ac:dyDescent="0.25">
      <c r="A531" s="79"/>
      <c r="B531" s="79"/>
      <c r="C531" s="77"/>
      <c r="D531" s="80"/>
      <c r="E531" s="80"/>
      <c r="F531" s="86"/>
      <c r="G531" s="92"/>
      <c r="H531" s="92"/>
      <c r="I531" s="92"/>
      <c r="J531" s="93"/>
      <c r="K531" s="93"/>
      <c r="L531" s="77"/>
      <c r="M531" s="77"/>
      <c r="N531" s="77"/>
      <c r="O531" s="77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</row>
    <row r="532" spans="1:27" ht="12.75" customHeight="1" x14ac:dyDescent="0.25">
      <c r="A532" s="79"/>
      <c r="B532" s="79"/>
      <c r="C532" s="77"/>
      <c r="D532" s="80"/>
      <c r="E532" s="80"/>
      <c r="F532" s="86"/>
      <c r="G532" s="92"/>
      <c r="H532" s="92"/>
      <c r="I532" s="92"/>
      <c r="J532" s="93"/>
      <c r="K532" s="93"/>
      <c r="L532" s="77"/>
      <c r="M532" s="77"/>
      <c r="N532" s="77"/>
      <c r="O532" s="77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</row>
    <row r="533" spans="1:27" ht="12.75" customHeight="1" x14ac:dyDescent="0.25">
      <c r="A533" s="79"/>
      <c r="B533" s="79"/>
      <c r="C533" s="77"/>
      <c r="D533" s="80"/>
      <c r="E533" s="80"/>
      <c r="F533" s="86"/>
      <c r="G533" s="92"/>
      <c r="H533" s="92"/>
      <c r="I533" s="92"/>
      <c r="J533" s="93"/>
      <c r="K533" s="93"/>
      <c r="L533" s="77"/>
      <c r="M533" s="77"/>
      <c r="N533" s="77"/>
      <c r="O533" s="77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</row>
    <row r="534" spans="1:27" ht="12.75" customHeight="1" x14ac:dyDescent="0.25">
      <c r="A534" s="79"/>
      <c r="B534" s="79"/>
      <c r="C534" s="77"/>
      <c r="D534" s="80"/>
      <c r="E534" s="80"/>
      <c r="F534" s="86"/>
      <c r="G534" s="92"/>
      <c r="H534" s="92"/>
      <c r="I534" s="92"/>
      <c r="J534" s="93"/>
      <c r="K534" s="93"/>
      <c r="L534" s="77"/>
      <c r="M534" s="77"/>
      <c r="N534" s="77"/>
      <c r="O534" s="77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</row>
    <row r="535" spans="1:27" ht="12.75" customHeight="1" x14ac:dyDescent="0.25">
      <c r="A535" s="79"/>
      <c r="B535" s="79"/>
      <c r="C535" s="77"/>
      <c r="D535" s="80"/>
      <c r="E535" s="80"/>
      <c r="F535" s="86"/>
      <c r="G535" s="92"/>
      <c r="H535" s="92"/>
      <c r="I535" s="92"/>
      <c r="J535" s="93"/>
      <c r="K535" s="93"/>
      <c r="L535" s="77"/>
      <c r="M535" s="77"/>
      <c r="N535" s="77"/>
      <c r="O535" s="77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</row>
    <row r="536" spans="1:27" ht="12.75" customHeight="1" x14ac:dyDescent="0.25">
      <c r="A536" s="79"/>
      <c r="B536" s="79"/>
      <c r="C536" s="77"/>
      <c r="D536" s="80"/>
      <c r="E536" s="80"/>
      <c r="F536" s="86"/>
      <c r="G536" s="92"/>
      <c r="H536" s="92"/>
      <c r="I536" s="92"/>
      <c r="J536" s="93"/>
      <c r="K536" s="93"/>
      <c r="L536" s="77"/>
      <c r="M536" s="77"/>
      <c r="N536" s="77"/>
      <c r="O536" s="77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</row>
    <row r="537" spans="1:27" ht="12.75" customHeight="1" x14ac:dyDescent="0.25">
      <c r="A537" s="79"/>
      <c r="B537" s="79"/>
      <c r="C537" s="77"/>
      <c r="D537" s="80"/>
      <c r="E537" s="80"/>
      <c r="F537" s="86"/>
      <c r="G537" s="92"/>
      <c r="H537" s="92"/>
      <c r="I537" s="92"/>
      <c r="J537" s="93"/>
      <c r="K537" s="93"/>
      <c r="L537" s="77"/>
      <c r="M537" s="77"/>
      <c r="N537" s="77"/>
      <c r="O537" s="77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</row>
    <row r="538" spans="1:27" ht="12.75" customHeight="1" x14ac:dyDescent="0.25">
      <c r="A538" s="79"/>
      <c r="B538" s="79"/>
      <c r="C538" s="77"/>
      <c r="D538" s="80"/>
      <c r="E538" s="80"/>
      <c r="F538" s="86"/>
      <c r="G538" s="92"/>
      <c r="H538" s="92"/>
      <c r="I538" s="92"/>
      <c r="J538" s="93"/>
      <c r="K538" s="93"/>
      <c r="L538" s="77"/>
      <c r="M538" s="77"/>
      <c r="N538" s="77"/>
      <c r="O538" s="77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</row>
    <row r="539" spans="1:27" ht="12.75" customHeight="1" x14ac:dyDescent="0.25">
      <c r="A539" s="79"/>
      <c r="B539" s="79"/>
      <c r="C539" s="77"/>
      <c r="D539" s="80"/>
      <c r="E539" s="80"/>
      <c r="F539" s="86"/>
      <c r="G539" s="92"/>
      <c r="H539" s="92"/>
      <c r="I539" s="92"/>
      <c r="J539" s="93"/>
      <c r="K539" s="93"/>
      <c r="L539" s="77"/>
      <c r="M539" s="77"/>
      <c r="N539" s="77"/>
      <c r="O539" s="77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</row>
    <row r="540" spans="1:27" ht="12.75" customHeight="1" x14ac:dyDescent="0.25">
      <c r="A540" s="79"/>
      <c r="B540" s="79"/>
      <c r="C540" s="77"/>
      <c r="D540" s="80"/>
      <c r="E540" s="80"/>
      <c r="F540" s="86"/>
      <c r="G540" s="92"/>
      <c r="H540" s="92"/>
      <c r="I540" s="92"/>
      <c r="J540" s="93"/>
      <c r="K540" s="93"/>
      <c r="L540" s="77"/>
      <c r="M540" s="77"/>
      <c r="N540" s="77"/>
      <c r="O540" s="77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</row>
    <row r="541" spans="1:27" ht="12.75" customHeight="1" x14ac:dyDescent="0.25">
      <c r="A541" s="79"/>
      <c r="B541" s="79"/>
      <c r="C541" s="77"/>
      <c r="D541" s="80"/>
      <c r="E541" s="80"/>
      <c r="F541" s="86"/>
      <c r="G541" s="92"/>
      <c r="H541" s="92"/>
      <c r="I541" s="92"/>
      <c r="J541" s="93"/>
      <c r="K541" s="93"/>
      <c r="L541" s="77"/>
      <c r="M541" s="77"/>
      <c r="N541" s="77"/>
      <c r="O541" s="77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</row>
    <row r="542" spans="1:27" ht="12.75" customHeight="1" x14ac:dyDescent="0.25">
      <c r="A542" s="79"/>
      <c r="B542" s="79"/>
      <c r="C542" s="77"/>
      <c r="D542" s="80"/>
      <c r="E542" s="80"/>
      <c r="F542" s="86"/>
      <c r="G542" s="92"/>
      <c r="H542" s="92"/>
      <c r="I542" s="92"/>
      <c r="J542" s="93"/>
      <c r="K542" s="93"/>
      <c r="L542" s="77"/>
      <c r="M542" s="77"/>
      <c r="N542" s="77"/>
      <c r="O542" s="77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</row>
    <row r="543" spans="1:27" ht="12.75" customHeight="1" x14ac:dyDescent="0.25">
      <c r="A543" s="79"/>
      <c r="B543" s="79"/>
      <c r="C543" s="77"/>
      <c r="D543" s="80"/>
      <c r="E543" s="80"/>
      <c r="F543" s="86"/>
      <c r="G543" s="92"/>
      <c r="H543" s="92"/>
      <c r="I543" s="92"/>
      <c r="J543" s="93"/>
      <c r="K543" s="93"/>
      <c r="L543" s="77"/>
      <c r="M543" s="77"/>
      <c r="N543" s="77"/>
      <c r="O543" s="77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</row>
    <row r="544" spans="1:27" ht="12.75" customHeight="1" x14ac:dyDescent="0.25">
      <c r="A544" s="79"/>
      <c r="B544" s="79"/>
      <c r="C544" s="77"/>
      <c r="D544" s="80"/>
      <c r="E544" s="80"/>
      <c r="F544" s="86"/>
      <c r="G544" s="92"/>
      <c r="H544" s="92"/>
      <c r="I544" s="92"/>
      <c r="J544" s="93"/>
      <c r="K544" s="93"/>
      <c r="L544" s="77"/>
      <c r="M544" s="77"/>
      <c r="N544" s="77"/>
      <c r="O544" s="77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</row>
    <row r="545" spans="1:27" ht="12.75" customHeight="1" x14ac:dyDescent="0.25">
      <c r="A545" s="79"/>
      <c r="B545" s="79"/>
      <c r="C545" s="77"/>
      <c r="D545" s="80"/>
      <c r="E545" s="80"/>
      <c r="F545" s="86"/>
      <c r="G545" s="92"/>
      <c r="H545" s="92"/>
      <c r="I545" s="92"/>
      <c r="J545" s="93"/>
      <c r="K545" s="93"/>
      <c r="L545" s="77"/>
      <c r="M545" s="77"/>
      <c r="N545" s="77"/>
      <c r="O545" s="77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</row>
    <row r="546" spans="1:27" ht="12.75" customHeight="1" x14ac:dyDescent="0.25">
      <c r="A546" s="79"/>
      <c r="B546" s="79"/>
      <c r="C546" s="77"/>
      <c r="D546" s="80"/>
      <c r="E546" s="80"/>
      <c r="F546" s="86"/>
      <c r="G546" s="92"/>
      <c r="H546" s="92"/>
      <c r="I546" s="92"/>
      <c r="J546" s="93"/>
      <c r="K546" s="93"/>
      <c r="L546" s="77"/>
      <c r="M546" s="77"/>
      <c r="N546" s="77"/>
      <c r="O546" s="77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</row>
    <row r="547" spans="1:27" ht="12.75" customHeight="1" x14ac:dyDescent="0.25">
      <c r="A547" s="79"/>
      <c r="B547" s="79"/>
      <c r="C547" s="77"/>
      <c r="D547" s="80"/>
      <c r="E547" s="80"/>
      <c r="F547" s="86"/>
      <c r="G547" s="92"/>
      <c r="H547" s="92"/>
      <c r="I547" s="92"/>
      <c r="J547" s="93"/>
      <c r="K547" s="93"/>
      <c r="L547" s="77"/>
      <c r="M547" s="77"/>
      <c r="N547" s="77"/>
      <c r="O547" s="77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</row>
    <row r="548" spans="1:27" ht="12.75" customHeight="1" x14ac:dyDescent="0.25">
      <c r="A548" s="79"/>
      <c r="B548" s="79"/>
      <c r="C548" s="77"/>
      <c r="D548" s="80"/>
      <c r="E548" s="80"/>
      <c r="F548" s="86"/>
      <c r="G548" s="92"/>
      <c r="H548" s="92"/>
      <c r="I548" s="92"/>
      <c r="J548" s="93"/>
      <c r="K548" s="93"/>
      <c r="L548" s="77"/>
      <c r="M548" s="77"/>
      <c r="N548" s="77"/>
      <c r="O548" s="77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</row>
    <row r="549" spans="1:27" ht="12.75" customHeight="1" x14ac:dyDescent="0.25">
      <c r="A549" s="79"/>
      <c r="B549" s="79"/>
      <c r="C549" s="77"/>
      <c r="D549" s="80"/>
      <c r="E549" s="80"/>
      <c r="F549" s="86"/>
      <c r="G549" s="92"/>
      <c r="H549" s="92"/>
      <c r="I549" s="92"/>
      <c r="J549" s="93"/>
      <c r="K549" s="93"/>
      <c r="L549" s="77"/>
      <c r="M549" s="77"/>
      <c r="N549" s="77"/>
      <c r="O549" s="77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</row>
    <row r="550" spans="1:27" ht="12.75" customHeight="1" x14ac:dyDescent="0.25">
      <c r="A550" s="79"/>
      <c r="B550" s="79"/>
      <c r="C550" s="77"/>
      <c r="D550" s="80"/>
      <c r="E550" s="80"/>
      <c r="F550" s="86"/>
      <c r="G550" s="92"/>
      <c r="H550" s="92"/>
      <c r="I550" s="92"/>
      <c r="J550" s="93"/>
      <c r="K550" s="93"/>
      <c r="L550" s="77"/>
      <c r="M550" s="77"/>
      <c r="N550" s="77"/>
      <c r="O550" s="77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</row>
    <row r="551" spans="1:27" ht="12.75" customHeight="1" x14ac:dyDescent="0.25">
      <c r="A551" s="79"/>
      <c r="B551" s="79"/>
      <c r="C551" s="77"/>
      <c r="D551" s="80"/>
      <c r="E551" s="80"/>
      <c r="F551" s="86"/>
      <c r="G551" s="92"/>
      <c r="H551" s="92"/>
      <c r="I551" s="92"/>
      <c r="J551" s="93"/>
      <c r="K551" s="93"/>
      <c r="L551" s="77"/>
      <c r="M551" s="77"/>
      <c r="N551" s="77"/>
      <c r="O551" s="77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</row>
    <row r="552" spans="1:27" ht="12.75" customHeight="1" x14ac:dyDescent="0.25">
      <c r="A552" s="79"/>
      <c r="B552" s="79"/>
      <c r="C552" s="77"/>
      <c r="D552" s="80"/>
      <c r="E552" s="80"/>
      <c r="F552" s="86"/>
      <c r="G552" s="92"/>
      <c r="H552" s="92"/>
      <c r="I552" s="92"/>
      <c r="J552" s="93"/>
      <c r="K552" s="93"/>
      <c r="L552" s="77"/>
      <c r="M552" s="77"/>
      <c r="N552" s="77"/>
      <c r="O552" s="77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</row>
    <row r="553" spans="1:27" ht="12.75" customHeight="1" x14ac:dyDescent="0.25">
      <c r="A553" s="79"/>
      <c r="B553" s="79"/>
      <c r="C553" s="77"/>
      <c r="D553" s="80"/>
      <c r="E553" s="80"/>
      <c r="F553" s="86"/>
      <c r="G553" s="92"/>
      <c r="H553" s="92"/>
      <c r="I553" s="92"/>
      <c r="J553" s="93"/>
      <c r="K553" s="93"/>
      <c r="L553" s="77"/>
      <c r="M553" s="77"/>
      <c r="N553" s="77"/>
      <c r="O553" s="77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</row>
    <row r="554" spans="1:27" ht="12.75" customHeight="1" x14ac:dyDescent="0.25">
      <c r="A554" s="79"/>
      <c r="B554" s="79"/>
      <c r="C554" s="77"/>
      <c r="D554" s="80"/>
      <c r="E554" s="80"/>
      <c r="F554" s="86"/>
      <c r="G554" s="92"/>
      <c r="H554" s="92"/>
      <c r="I554" s="92"/>
      <c r="J554" s="93"/>
      <c r="K554" s="93"/>
      <c r="L554" s="77"/>
      <c r="M554" s="77"/>
      <c r="N554" s="77"/>
      <c r="O554" s="77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</row>
    <row r="555" spans="1:27" ht="12.75" customHeight="1" x14ac:dyDescent="0.25">
      <c r="A555" s="79"/>
      <c r="B555" s="79"/>
      <c r="C555" s="77"/>
      <c r="D555" s="80"/>
      <c r="E555" s="80"/>
      <c r="F555" s="86"/>
      <c r="G555" s="92"/>
      <c r="H555" s="92"/>
      <c r="I555" s="92"/>
      <c r="J555" s="93"/>
      <c r="K555" s="93"/>
      <c r="L555" s="77"/>
      <c r="M555" s="77"/>
      <c r="N555" s="77"/>
      <c r="O555" s="77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</row>
    <row r="556" spans="1:27" ht="12.75" customHeight="1" x14ac:dyDescent="0.25">
      <c r="A556" s="79"/>
      <c r="B556" s="79"/>
      <c r="C556" s="77"/>
      <c r="D556" s="80"/>
      <c r="E556" s="80"/>
      <c r="F556" s="86"/>
      <c r="G556" s="92"/>
      <c r="H556" s="92"/>
      <c r="I556" s="92"/>
      <c r="J556" s="93"/>
      <c r="K556" s="93"/>
      <c r="L556" s="77"/>
      <c r="M556" s="77"/>
      <c r="N556" s="77"/>
      <c r="O556" s="77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</row>
    <row r="557" spans="1:27" ht="12.75" customHeight="1" x14ac:dyDescent="0.25">
      <c r="A557" s="79"/>
      <c r="B557" s="79"/>
      <c r="C557" s="77"/>
      <c r="D557" s="80"/>
      <c r="E557" s="80"/>
      <c r="F557" s="86"/>
      <c r="G557" s="92"/>
      <c r="H557" s="92"/>
      <c r="I557" s="92"/>
      <c r="J557" s="93"/>
      <c r="K557" s="93"/>
      <c r="L557" s="77"/>
      <c r="M557" s="77"/>
      <c r="N557" s="77"/>
      <c r="O557" s="77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</row>
    <row r="558" spans="1:27" ht="12.75" customHeight="1" x14ac:dyDescent="0.25">
      <c r="A558" s="79"/>
      <c r="B558" s="79"/>
      <c r="C558" s="77"/>
      <c r="D558" s="80"/>
      <c r="E558" s="80"/>
      <c r="F558" s="86"/>
      <c r="G558" s="92"/>
      <c r="H558" s="92"/>
      <c r="I558" s="92"/>
      <c r="J558" s="93"/>
      <c r="K558" s="93"/>
      <c r="L558" s="77"/>
      <c r="M558" s="77"/>
      <c r="N558" s="77"/>
      <c r="O558" s="77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</row>
    <row r="559" spans="1:27" ht="12.75" customHeight="1" x14ac:dyDescent="0.25">
      <c r="A559" s="79"/>
      <c r="B559" s="79"/>
      <c r="C559" s="77"/>
      <c r="D559" s="80"/>
      <c r="E559" s="80"/>
      <c r="F559" s="86"/>
      <c r="G559" s="92"/>
      <c r="H559" s="92"/>
      <c r="I559" s="92"/>
      <c r="J559" s="93"/>
      <c r="K559" s="93"/>
      <c r="L559" s="77"/>
      <c r="M559" s="77"/>
      <c r="N559" s="77"/>
      <c r="O559" s="77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</row>
    <row r="560" spans="1:27" ht="12.75" customHeight="1" x14ac:dyDescent="0.25">
      <c r="A560" s="79"/>
      <c r="B560" s="79"/>
      <c r="C560" s="77"/>
      <c r="D560" s="80"/>
      <c r="E560" s="80"/>
      <c r="F560" s="86"/>
      <c r="G560" s="92"/>
      <c r="H560" s="92"/>
      <c r="I560" s="92"/>
      <c r="J560" s="93"/>
      <c r="K560" s="93"/>
      <c r="L560" s="77"/>
      <c r="M560" s="77"/>
      <c r="N560" s="77"/>
      <c r="O560" s="77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</row>
    <row r="561" spans="1:27" ht="12.75" customHeight="1" x14ac:dyDescent="0.25">
      <c r="A561" s="79"/>
      <c r="B561" s="79"/>
      <c r="C561" s="77"/>
      <c r="D561" s="80"/>
      <c r="E561" s="80"/>
      <c r="F561" s="86"/>
      <c r="G561" s="92"/>
      <c r="H561" s="92"/>
      <c r="I561" s="92"/>
      <c r="J561" s="93"/>
      <c r="K561" s="93"/>
      <c r="L561" s="77"/>
      <c r="M561" s="77"/>
      <c r="N561" s="77"/>
      <c r="O561" s="77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</row>
    <row r="562" spans="1:27" ht="12.75" customHeight="1" x14ac:dyDescent="0.25">
      <c r="A562" s="79"/>
      <c r="B562" s="79"/>
      <c r="C562" s="77"/>
      <c r="D562" s="80"/>
      <c r="E562" s="80"/>
      <c r="F562" s="86"/>
      <c r="G562" s="92"/>
      <c r="H562" s="92"/>
      <c r="I562" s="92"/>
      <c r="J562" s="93"/>
      <c r="K562" s="93"/>
      <c r="L562" s="77"/>
      <c r="M562" s="77"/>
      <c r="N562" s="77"/>
      <c r="O562" s="77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</row>
    <row r="563" spans="1:27" ht="12.75" customHeight="1" x14ac:dyDescent="0.25">
      <c r="A563" s="79"/>
      <c r="B563" s="79"/>
      <c r="C563" s="77"/>
      <c r="D563" s="80"/>
      <c r="E563" s="80"/>
      <c r="F563" s="86"/>
      <c r="G563" s="92"/>
      <c r="H563" s="92"/>
      <c r="I563" s="92"/>
      <c r="J563" s="93"/>
      <c r="K563" s="93"/>
      <c r="L563" s="77"/>
      <c r="M563" s="77"/>
      <c r="N563" s="77"/>
      <c r="O563" s="77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</row>
    <row r="564" spans="1:27" ht="12.75" customHeight="1" x14ac:dyDescent="0.25">
      <c r="A564" s="79"/>
      <c r="B564" s="79"/>
      <c r="C564" s="77"/>
      <c r="D564" s="80"/>
      <c r="E564" s="80"/>
      <c r="F564" s="86"/>
      <c r="G564" s="92"/>
      <c r="H564" s="92"/>
      <c r="I564" s="92"/>
      <c r="J564" s="93"/>
      <c r="K564" s="93"/>
      <c r="L564" s="77"/>
      <c r="M564" s="77"/>
      <c r="N564" s="77"/>
      <c r="O564" s="77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</row>
    <row r="565" spans="1:27" ht="12.75" customHeight="1" x14ac:dyDescent="0.25">
      <c r="A565" s="79"/>
      <c r="B565" s="79"/>
      <c r="C565" s="77"/>
      <c r="D565" s="80"/>
      <c r="E565" s="80"/>
      <c r="F565" s="86"/>
      <c r="G565" s="92"/>
      <c r="H565" s="92"/>
      <c r="I565" s="92"/>
      <c r="J565" s="93"/>
      <c r="K565" s="93"/>
      <c r="L565" s="77"/>
      <c r="M565" s="77"/>
      <c r="N565" s="77"/>
      <c r="O565" s="77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</row>
    <row r="566" spans="1:27" ht="12.75" customHeight="1" x14ac:dyDescent="0.25">
      <c r="A566" s="79"/>
      <c r="B566" s="79"/>
      <c r="C566" s="77"/>
      <c r="D566" s="80"/>
      <c r="E566" s="80"/>
      <c r="F566" s="86"/>
      <c r="G566" s="92"/>
      <c r="H566" s="92"/>
      <c r="I566" s="92"/>
      <c r="J566" s="93"/>
      <c r="K566" s="93"/>
      <c r="L566" s="77"/>
      <c r="M566" s="77"/>
      <c r="N566" s="77"/>
      <c r="O566" s="77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</row>
    <row r="567" spans="1:27" ht="12.75" customHeight="1" x14ac:dyDescent="0.25">
      <c r="A567" s="79"/>
      <c r="B567" s="79"/>
      <c r="C567" s="77"/>
      <c r="D567" s="80"/>
      <c r="E567" s="80"/>
      <c r="F567" s="86"/>
      <c r="G567" s="92"/>
      <c r="H567" s="92"/>
      <c r="I567" s="92"/>
      <c r="J567" s="93"/>
      <c r="K567" s="93"/>
      <c r="L567" s="77"/>
      <c r="M567" s="77"/>
      <c r="N567" s="77"/>
      <c r="O567" s="77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</row>
    <row r="568" spans="1:27" ht="12.75" customHeight="1" x14ac:dyDescent="0.25">
      <c r="A568" s="79"/>
      <c r="B568" s="79"/>
      <c r="C568" s="77"/>
      <c r="D568" s="80"/>
      <c r="E568" s="80"/>
      <c r="F568" s="86"/>
      <c r="G568" s="92"/>
      <c r="H568" s="92"/>
      <c r="I568" s="92"/>
      <c r="J568" s="93"/>
      <c r="K568" s="93"/>
      <c r="L568" s="77"/>
      <c r="M568" s="77"/>
      <c r="N568" s="77"/>
      <c r="O568" s="77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</row>
    <row r="569" spans="1:27" ht="12.75" customHeight="1" x14ac:dyDescent="0.25">
      <c r="A569" s="79"/>
      <c r="B569" s="79"/>
      <c r="C569" s="77"/>
      <c r="D569" s="80"/>
      <c r="E569" s="80"/>
      <c r="F569" s="86"/>
      <c r="G569" s="92"/>
      <c r="H569" s="92"/>
      <c r="I569" s="92"/>
      <c r="J569" s="93"/>
      <c r="K569" s="93"/>
      <c r="L569" s="77"/>
      <c r="M569" s="77"/>
      <c r="N569" s="77"/>
      <c r="O569" s="77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</row>
    <row r="570" spans="1:27" ht="12.75" customHeight="1" x14ac:dyDescent="0.25">
      <c r="A570" s="79"/>
      <c r="B570" s="79"/>
      <c r="C570" s="77"/>
      <c r="D570" s="80"/>
      <c r="E570" s="80"/>
      <c r="F570" s="86"/>
      <c r="G570" s="92"/>
      <c r="H570" s="92"/>
      <c r="I570" s="92"/>
      <c r="J570" s="93"/>
      <c r="K570" s="93"/>
      <c r="L570" s="77"/>
      <c r="M570" s="77"/>
      <c r="N570" s="77"/>
      <c r="O570" s="77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</row>
    <row r="571" spans="1:27" ht="12.75" customHeight="1" x14ac:dyDescent="0.25">
      <c r="A571" s="79"/>
      <c r="B571" s="79"/>
      <c r="C571" s="77"/>
      <c r="D571" s="80"/>
      <c r="E571" s="80"/>
      <c r="F571" s="86"/>
      <c r="G571" s="92"/>
      <c r="H571" s="92"/>
      <c r="I571" s="92"/>
      <c r="J571" s="93"/>
      <c r="K571" s="93"/>
      <c r="L571" s="77"/>
      <c r="M571" s="77"/>
      <c r="N571" s="77"/>
      <c r="O571" s="77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</row>
    <row r="572" spans="1:27" ht="12.75" customHeight="1" x14ac:dyDescent="0.25">
      <c r="A572" s="79"/>
      <c r="B572" s="79"/>
      <c r="C572" s="77"/>
      <c r="D572" s="80"/>
      <c r="E572" s="80"/>
      <c r="F572" s="86"/>
      <c r="G572" s="92"/>
      <c r="H572" s="92"/>
      <c r="I572" s="92"/>
      <c r="J572" s="93"/>
      <c r="K572" s="93"/>
      <c r="L572" s="77"/>
      <c r="M572" s="77"/>
      <c r="N572" s="77"/>
      <c r="O572" s="77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</row>
    <row r="573" spans="1:27" ht="12.75" customHeight="1" x14ac:dyDescent="0.25">
      <c r="A573" s="79"/>
      <c r="B573" s="79"/>
      <c r="C573" s="77"/>
      <c r="D573" s="80"/>
      <c r="E573" s="80"/>
      <c r="F573" s="86"/>
      <c r="G573" s="92"/>
      <c r="H573" s="92"/>
      <c r="I573" s="92"/>
      <c r="J573" s="93"/>
      <c r="K573" s="93"/>
      <c r="L573" s="77"/>
      <c r="M573" s="77"/>
      <c r="N573" s="77"/>
      <c r="O573" s="77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</row>
    <row r="574" spans="1:27" ht="12.75" customHeight="1" x14ac:dyDescent="0.25">
      <c r="A574" s="79"/>
      <c r="B574" s="79"/>
      <c r="C574" s="77"/>
      <c r="D574" s="80"/>
      <c r="E574" s="80"/>
      <c r="F574" s="86"/>
      <c r="G574" s="92"/>
      <c r="H574" s="92"/>
      <c r="I574" s="92"/>
      <c r="J574" s="93"/>
      <c r="K574" s="93"/>
      <c r="L574" s="77"/>
      <c r="M574" s="77"/>
      <c r="N574" s="77"/>
      <c r="O574" s="77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</row>
    <row r="575" spans="1:27" ht="12.75" customHeight="1" x14ac:dyDescent="0.25">
      <c r="A575" s="79"/>
      <c r="B575" s="79"/>
      <c r="C575" s="77"/>
      <c r="D575" s="80"/>
      <c r="E575" s="80"/>
      <c r="F575" s="86"/>
      <c r="G575" s="92"/>
      <c r="H575" s="92"/>
      <c r="I575" s="92"/>
      <c r="J575" s="93"/>
      <c r="K575" s="93"/>
      <c r="L575" s="77"/>
      <c r="M575" s="77"/>
      <c r="N575" s="77"/>
      <c r="O575" s="77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</row>
    <row r="576" spans="1:27" ht="12.75" customHeight="1" x14ac:dyDescent="0.25">
      <c r="A576" s="79"/>
      <c r="B576" s="79"/>
      <c r="C576" s="77"/>
      <c r="D576" s="80"/>
      <c r="E576" s="80"/>
      <c r="F576" s="86"/>
      <c r="G576" s="92"/>
      <c r="H576" s="92"/>
      <c r="I576" s="92"/>
      <c r="J576" s="93"/>
      <c r="K576" s="93"/>
      <c r="L576" s="77"/>
      <c r="M576" s="77"/>
      <c r="N576" s="77"/>
      <c r="O576" s="77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</row>
    <row r="577" spans="1:27" ht="12.75" customHeight="1" x14ac:dyDescent="0.25">
      <c r="A577" s="79"/>
      <c r="B577" s="79"/>
      <c r="C577" s="77"/>
      <c r="D577" s="80"/>
      <c r="E577" s="80"/>
      <c r="F577" s="86"/>
      <c r="G577" s="92"/>
      <c r="H577" s="92"/>
      <c r="I577" s="92"/>
      <c r="J577" s="93"/>
      <c r="K577" s="93"/>
      <c r="L577" s="77"/>
      <c r="M577" s="77"/>
      <c r="N577" s="77"/>
      <c r="O577" s="77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</row>
    <row r="578" spans="1:27" ht="12.75" customHeight="1" x14ac:dyDescent="0.25">
      <c r="A578" s="79"/>
      <c r="B578" s="79"/>
      <c r="C578" s="77"/>
      <c r="D578" s="80"/>
      <c r="E578" s="80"/>
      <c r="F578" s="86"/>
      <c r="G578" s="92"/>
      <c r="H578" s="92"/>
      <c r="I578" s="92"/>
      <c r="J578" s="93"/>
      <c r="K578" s="93"/>
      <c r="L578" s="77"/>
      <c r="M578" s="77"/>
      <c r="N578" s="77"/>
      <c r="O578" s="77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</row>
    <row r="579" spans="1:27" ht="12.75" customHeight="1" x14ac:dyDescent="0.25">
      <c r="A579" s="79"/>
      <c r="B579" s="79"/>
      <c r="C579" s="77"/>
      <c r="D579" s="80"/>
      <c r="E579" s="80"/>
      <c r="F579" s="86"/>
      <c r="G579" s="92"/>
      <c r="H579" s="92"/>
      <c r="I579" s="92"/>
      <c r="J579" s="93"/>
      <c r="K579" s="93"/>
      <c r="L579" s="77"/>
      <c r="M579" s="77"/>
      <c r="N579" s="77"/>
      <c r="O579" s="77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</row>
    <row r="580" spans="1:27" ht="12.75" customHeight="1" x14ac:dyDescent="0.25">
      <c r="A580" s="79"/>
      <c r="B580" s="79"/>
      <c r="C580" s="77"/>
      <c r="D580" s="80"/>
      <c r="E580" s="80"/>
      <c r="F580" s="86"/>
      <c r="G580" s="92"/>
      <c r="H580" s="92"/>
      <c r="I580" s="92"/>
      <c r="J580" s="93"/>
      <c r="K580" s="93"/>
      <c r="L580" s="77"/>
      <c r="M580" s="77"/>
      <c r="N580" s="77"/>
      <c r="O580" s="77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</row>
    <row r="581" spans="1:27" ht="12.75" customHeight="1" x14ac:dyDescent="0.25">
      <c r="A581" s="79"/>
      <c r="B581" s="79"/>
      <c r="C581" s="77"/>
      <c r="D581" s="80"/>
      <c r="E581" s="80"/>
      <c r="F581" s="86"/>
      <c r="G581" s="92"/>
      <c r="H581" s="92"/>
      <c r="I581" s="92"/>
      <c r="J581" s="93"/>
      <c r="K581" s="93"/>
      <c r="L581" s="77"/>
      <c r="M581" s="77"/>
      <c r="N581" s="77"/>
      <c r="O581" s="77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</row>
    <row r="582" spans="1:27" ht="12.75" customHeight="1" x14ac:dyDescent="0.25">
      <c r="A582" s="79"/>
      <c r="B582" s="79"/>
      <c r="C582" s="77"/>
      <c r="D582" s="80"/>
      <c r="E582" s="80"/>
      <c r="F582" s="86"/>
      <c r="G582" s="92"/>
      <c r="H582" s="92"/>
      <c r="I582" s="92"/>
      <c r="J582" s="93"/>
      <c r="K582" s="93"/>
      <c r="L582" s="77"/>
      <c r="M582" s="77"/>
      <c r="N582" s="77"/>
      <c r="O582" s="77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</row>
    <row r="583" spans="1:27" ht="12.75" customHeight="1" x14ac:dyDescent="0.25">
      <c r="A583" s="79"/>
      <c r="B583" s="79"/>
      <c r="C583" s="77"/>
      <c r="D583" s="80"/>
      <c r="E583" s="80"/>
      <c r="F583" s="86"/>
      <c r="G583" s="92"/>
      <c r="H583" s="92"/>
      <c r="I583" s="92"/>
      <c r="J583" s="93"/>
      <c r="K583" s="93"/>
      <c r="L583" s="77"/>
      <c r="M583" s="77"/>
      <c r="N583" s="77"/>
      <c r="O583" s="77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</row>
    <row r="584" spans="1:27" ht="12.75" customHeight="1" x14ac:dyDescent="0.25">
      <c r="A584" s="79"/>
      <c r="B584" s="79"/>
      <c r="C584" s="77"/>
      <c r="D584" s="80"/>
      <c r="E584" s="80"/>
      <c r="F584" s="86"/>
      <c r="G584" s="92"/>
      <c r="H584" s="92"/>
      <c r="I584" s="92"/>
      <c r="J584" s="93"/>
      <c r="K584" s="93"/>
      <c r="L584" s="77"/>
      <c r="M584" s="77"/>
      <c r="N584" s="77"/>
      <c r="O584" s="77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</row>
    <row r="585" spans="1:27" ht="12.75" customHeight="1" x14ac:dyDescent="0.25">
      <c r="A585" s="79"/>
      <c r="B585" s="79"/>
      <c r="C585" s="77"/>
      <c r="D585" s="80"/>
      <c r="E585" s="80"/>
      <c r="F585" s="86"/>
      <c r="G585" s="92"/>
      <c r="H585" s="92"/>
      <c r="I585" s="92"/>
      <c r="J585" s="93"/>
      <c r="K585" s="93"/>
      <c r="L585" s="77"/>
      <c r="M585" s="77"/>
      <c r="N585" s="77"/>
      <c r="O585" s="77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</row>
    <row r="586" spans="1:27" ht="12.75" customHeight="1" x14ac:dyDescent="0.25">
      <c r="A586" s="79"/>
      <c r="B586" s="79"/>
      <c r="C586" s="77"/>
      <c r="D586" s="80"/>
      <c r="E586" s="80"/>
      <c r="F586" s="86"/>
      <c r="G586" s="92"/>
      <c r="H586" s="92"/>
      <c r="I586" s="92"/>
      <c r="J586" s="93"/>
      <c r="K586" s="93"/>
      <c r="L586" s="77"/>
      <c r="M586" s="77"/>
      <c r="N586" s="77"/>
      <c r="O586" s="77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</row>
    <row r="587" spans="1:27" ht="12.75" customHeight="1" x14ac:dyDescent="0.25">
      <c r="A587" s="79"/>
      <c r="B587" s="79"/>
      <c r="C587" s="77"/>
      <c r="D587" s="80"/>
      <c r="E587" s="80"/>
      <c r="F587" s="86"/>
      <c r="G587" s="92"/>
      <c r="H587" s="92"/>
      <c r="I587" s="92"/>
      <c r="J587" s="93"/>
      <c r="K587" s="93"/>
      <c r="L587" s="77"/>
      <c r="M587" s="77"/>
      <c r="N587" s="77"/>
      <c r="O587" s="77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</row>
    <row r="588" spans="1:27" ht="12.75" customHeight="1" x14ac:dyDescent="0.25">
      <c r="A588" s="79"/>
      <c r="B588" s="79"/>
      <c r="C588" s="77"/>
      <c r="D588" s="80"/>
      <c r="E588" s="80"/>
      <c r="F588" s="86"/>
      <c r="G588" s="92"/>
      <c r="H588" s="92"/>
      <c r="I588" s="92"/>
      <c r="J588" s="93"/>
      <c r="K588" s="93"/>
      <c r="L588" s="77"/>
      <c r="M588" s="77"/>
      <c r="N588" s="77"/>
      <c r="O588" s="77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</row>
    <row r="589" spans="1:27" ht="12.75" customHeight="1" x14ac:dyDescent="0.25">
      <c r="A589" s="79"/>
      <c r="B589" s="79"/>
      <c r="C589" s="77"/>
      <c r="D589" s="80"/>
      <c r="E589" s="80"/>
      <c r="F589" s="86"/>
      <c r="G589" s="92"/>
      <c r="H589" s="92"/>
      <c r="I589" s="92"/>
      <c r="J589" s="93"/>
      <c r="K589" s="93"/>
      <c r="L589" s="77"/>
      <c r="M589" s="77"/>
      <c r="N589" s="77"/>
      <c r="O589" s="77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</row>
    <row r="590" spans="1:27" ht="12.75" customHeight="1" x14ac:dyDescent="0.25">
      <c r="A590" s="79"/>
      <c r="B590" s="79"/>
      <c r="C590" s="77"/>
      <c r="D590" s="80"/>
      <c r="E590" s="80"/>
      <c r="F590" s="86"/>
      <c r="G590" s="92"/>
      <c r="H590" s="92"/>
      <c r="I590" s="92"/>
      <c r="J590" s="93"/>
      <c r="K590" s="93"/>
      <c r="L590" s="77"/>
      <c r="M590" s="77"/>
      <c r="N590" s="77"/>
      <c r="O590" s="77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</row>
    <row r="591" spans="1:27" ht="12.75" customHeight="1" x14ac:dyDescent="0.25">
      <c r="A591" s="79"/>
      <c r="B591" s="79"/>
      <c r="C591" s="77"/>
      <c r="D591" s="80"/>
      <c r="E591" s="80"/>
      <c r="F591" s="86"/>
      <c r="G591" s="92"/>
      <c r="H591" s="92"/>
      <c r="I591" s="92"/>
      <c r="J591" s="93"/>
      <c r="K591" s="93"/>
      <c r="L591" s="77"/>
      <c r="M591" s="77"/>
      <c r="N591" s="77"/>
      <c r="O591" s="77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</row>
    <row r="592" spans="1:27" ht="12.75" customHeight="1" x14ac:dyDescent="0.25">
      <c r="A592" s="79"/>
      <c r="B592" s="79"/>
      <c r="C592" s="77"/>
      <c r="D592" s="80"/>
      <c r="E592" s="80"/>
      <c r="F592" s="86"/>
      <c r="G592" s="92"/>
      <c r="H592" s="92"/>
      <c r="I592" s="92"/>
      <c r="J592" s="93"/>
      <c r="K592" s="93"/>
      <c r="L592" s="77"/>
      <c r="M592" s="77"/>
      <c r="N592" s="77"/>
      <c r="O592" s="77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</row>
    <row r="593" spans="1:27" ht="12.75" customHeight="1" x14ac:dyDescent="0.25">
      <c r="A593" s="79"/>
      <c r="B593" s="79"/>
      <c r="C593" s="77"/>
      <c r="D593" s="80"/>
      <c r="E593" s="80"/>
      <c r="F593" s="86"/>
      <c r="G593" s="92"/>
      <c r="H593" s="92"/>
      <c r="I593" s="92"/>
      <c r="J593" s="93"/>
      <c r="K593" s="93"/>
      <c r="L593" s="77"/>
      <c r="M593" s="77"/>
      <c r="N593" s="77"/>
      <c r="O593" s="77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</row>
    <row r="594" spans="1:27" ht="12.75" customHeight="1" x14ac:dyDescent="0.25">
      <c r="A594" s="79"/>
      <c r="B594" s="79"/>
      <c r="C594" s="77"/>
      <c r="D594" s="80"/>
      <c r="E594" s="80"/>
      <c r="F594" s="86"/>
      <c r="G594" s="92"/>
      <c r="H594" s="92"/>
      <c r="I594" s="92"/>
      <c r="J594" s="93"/>
      <c r="K594" s="93"/>
      <c r="L594" s="77"/>
      <c r="M594" s="77"/>
      <c r="N594" s="77"/>
      <c r="O594" s="77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</row>
    <row r="595" spans="1:27" ht="12.75" customHeight="1" x14ac:dyDescent="0.25">
      <c r="A595" s="79"/>
      <c r="B595" s="79"/>
      <c r="C595" s="77"/>
      <c r="D595" s="80"/>
      <c r="E595" s="80"/>
      <c r="F595" s="86"/>
      <c r="G595" s="92"/>
      <c r="H595" s="92"/>
      <c r="I595" s="92"/>
      <c r="J595" s="93"/>
      <c r="K595" s="93"/>
      <c r="L595" s="77"/>
      <c r="M595" s="77"/>
      <c r="N595" s="77"/>
      <c r="O595" s="77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</row>
    <row r="596" spans="1:27" ht="12.75" customHeight="1" x14ac:dyDescent="0.25">
      <c r="A596" s="79"/>
      <c r="B596" s="79"/>
      <c r="C596" s="77"/>
      <c r="D596" s="80"/>
      <c r="E596" s="80"/>
      <c r="F596" s="86"/>
      <c r="G596" s="92"/>
      <c r="H596" s="92"/>
      <c r="I596" s="92"/>
      <c r="J596" s="93"/>
      <c r="K596" s="93"/>
      <c r="L596" s="77"/>
      <c r="M596" s="77"/>
      <c r="N596" s="77"/>
      <c r="O596" s="77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</row>
    <row r="597" spans="1:27" ht="12.75" customHeight="1" x14ac:dyDescent="0.25">
      <c r="A597" s="79"/>
      <c r="B597" s="79"/>
      <c r="C597" s="77"/>
      <c r="D597" s="80"/>
      <c r="E597" s="80"/>
      <c r="F597" s="86"/>
      <c r="G597" s="92"/>
      <c r="H597" s="92"/>
      <c r="I597" s="92"/>
      <c r="J597" s="93"/>
      <c r="K597" s="93"/>
      <c r="L597" s="77"/>
      <c r="M597" s="77"/>
      <c r="N597" s="77"/>
      <c r="O597" s="77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</row>
    <row r="598" spans="1:27" ht="12.75" customHeight="1" x14ac:dyDescent="0.25">
      <c r="A598" s="79"/>
      <c r="B598" s="79"/>
      <c r="C598" s="77"/>
      <c r="D598" s="80"/>
      <c r="E598" s="80"/>
      <c r="F598" s="86"/>
      <c r="G598" s="92"/>
      <c r="H598" s="92"/>
      <c r="I598" s="92"/>
      <c r="J598" s="93"/>
      <c r="K598" s="93"/>
      <c r="L598" s="77"/>
      <c r="M598" s="77"/>
      <c r="N598" s="77"/>
      <c r="O598" s="77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</row>
    <row r="599" spans="1:27" ht="12.75" customHeight="1" x14ac:dyDescent="0.25">
      <c r="A599" s="79"/>
      <c r="B599" s="79"/>
      <c r="C599" s="77"/>
      <c r="D599" s="80"/>
      <c r="E599" s="80"/>
      <c r="F599" s="86"/>
      <c r="G599" s="92"/>
      <c r="H599" s="92"/>
      <c r="I599" s="92"/>
      <c r="J599" s="93"/>
      <c r="K599" s="93"/>
      <c r="L599" s="77"/>
      <c r="M599" s="77"/>
      <c r="N599" s="77"/>
      <c r="O599" s="77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</row>
    <row r="600" spans="1:27" ht="12.75" customHeight="1" x14ac:dyDescent="0.25">
      <c r="A600" s="79"/>
      <c r="B600" s="79"/>
      <c r="C600" s="77"/>
      <c r="D600" s="80"/>
      <c r="E600" s="80"/>
      <c r="F600" s="86"/>
      <c r="G600" s="92"/>
      <c r="H600" s="92"/>
      <c r="I600" s="92"/>
      <c r="J600" s="93"/>
      <c r="K600" s="93"/>
      <c r="L600" s="77"/>
      <c r="M600" s="77"/>
      <c r="N600" s="77"/>
      <c r="O600" s="77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</row>
    <row r="601" spans="1:27" ht="12.75" customHeight="1" x14ac:dyDescent="0.25">
      <c r="A601" s="79"/>
      <c r="B601" s="79"/>
      <c r="C601" s="77"/>
      <c r="D601" s="80"/>
      <c r="E601" s="80"/>
      <c r="F601" s="86"/>
      <c r="G601" s="92"/>
      <c r="H601" s="92"/>
      <c r="I601" s="92"/>
      <c r="J601" s="93"/>
      <c r="K601" s="93"/>
      <c r="L601" s="77"/>
      <c r="M601" s="77"/>
      <c r="N601" s="77"/>
      <c r="O601" s="77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</row>
    <row r="602" spans="1:27" ht="12.75" customHeight="1" x14ac:dyDescent="0.25">
      <c r="A602" s="79"/>
      <c r="B602" s="79"/>
      <c r="C602" s="77"/>
      <c r="D602" s="80"/>
      <c r="E602" s="80"/>
      <c r="F602" s="86"/>
      <c r="G602" s="92"/>
      <c r="H602" s="92"/>
      <c r="I602" s="92"/>
      <c r="J602" s="93"/>
      <c r="K602" s="93"/>
      <c r="L602" s="77"/>
      <c r="M602" s="77"/>
      <c r="N602" s="77"/>
      <c r="O602" s="77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</row>
    <row r="603" spans="1:27" ht="12.75" customHeight="1" x14ac:dyDescent="0.25">
      <c r="A603" s="79"/>
      <c r="B603" s="79"/>
      <c r="C603" s="77"/>
      <c r="D603" s="80"/>
      <c r="E603" s="80"/>
      <c r="F603" s="86"/>
      <c r="G603" s="92"/>
      <c r="H603" s="92"/>
      <c r="I603" s="92"/>
      <c r="J603" s="93"/>
      <c r="K603" s="93"/>
      <c r="L603" s="77"/>
      <c r="M603" s="77"/>
      <c r="N603" s="77"/>
      <c r="O603" s="77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</row>
    <row r="604" spans="1:27" ht="12.75" customHeight="1" x14ac:dyDescent="0.25">
      <c r="A604" s="79"/>
      <c r="B604" s="79"/>
      <c r="C604" s="77"/>
      <c r="D604" s="80"/>
      <c r="E604" s="80"/>
      <c r="F604" s="86"/>
      <c r="G604" s="92"/>
      <c r="H604" s="92"/>
      <c r="I604" s="92"/>
      <c r="J604" s="93"/>
      <c r="K604" s="93"/>
      <c r="L604" s="77"/>
      <c r="M604" s="77"/>
      <c r="N604" s="77"/>
      <c r="O604" s="77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</row>
    <row r="605" spans="1:27" ht="12.75" customHeight="1" x14ac:dyDescent="0.25">
      <c r="A605" s="79"/>
      <c r="B605" s="79"/>
      <c r="C605" s="77"/>
      <c r="D605" s="80"/>
      <c r="E605" s="80"/>
      <c r="F605" s="86"/>
      <c r="G605" s="92"/>
      <c r="H605" s="92"/>
      <c r="I605" s="92"/>
      <c r="J605" s="93"/>
      <c r="K605" s="93"/>
      <c r="L605" s="77"/>
      <c r="M605" s="77"/>
      <c r="N605" s="77"/>
      <c r="O605" s="77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</row>
    <row r="606" spans="1:27" ht="12.75" customHeight="1" x14ac:dyDescent="0.25">
      <c r="A606" s="79"/>
      <c r="B606" s="79"/>
      <c r="C606" s="77"/>
      <c r="D606" s="80"/>
      <c r="E606" s="80"/>
      <c r="F606" s="86"/>
      <c r="G606" s="92"/>
      <c r="H606" s="92"/>
      <c r="I606" s="92"/>
      <c r="J606" s="93"/>
      <c r="K606" s="93"/>
      <c r="L606" s="77"/>
      <c r="M606" s="77"/>
      <c r="N606" s="77"/>
      <c r="O606" s="77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</row>
    <row r="607" spans="1:27" ht="12.75" customHeight="1" x14ac:dyDescent="0.25">
      <c r="A607" s="79"/>
      <c r="B607" s="79"/>
      <c r="C607" s="77"/>
      <c r="D607" s="80"/>
      <c r="E607" s="80"/>
      <c r="F607" s="86"/>
      <c r="G607" s="92"/>
      <c r="H607" s="92"/>
      <c r="I607" s="92"/>
      <c r="J607" s="93"/>
      <c r="K607" s="93"/>
      <c r="L607" s="77"/>
      <c r="M607" s="77"/>
      <c r="N607" s="77"/>
      <c r="O607" s="77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</row>
    <row r="608" spans="1:27" ht="12.75" customHeight="1" x14ac:dyDescent="0.25">
      <c r="A608" s="79"/>
      <c r="B608" s="79"/>
      <c r="C608" s="77"/>
      <c r="D608" s="80"/>
      <c r="E608" s="80"/>
      <c r="F608" s="86"/>
      <c r="G608" s="92"/>
      <c r="H608" s="92"/>
      <c r="I608" s="92"/>
      <c r="J608" s="93"/>
      <c r="K608" s="93"/>
      <c r="L608" s="77"/>
      <c r="M608" s="77"/>
      <c r="N608" s="77"/>
      <c r="O608" s="77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</row>
    <row r="609" spans="1:27" ht="12.75" customHeight="1" x14ac:dyDescent="0.25">
      <c r="A609" s="79"/>
      <c r="B609" s="79"/>
      <c r="C609" s="77"/>
      <c r="D609" s="80"/>
      <c r="E609" s="80"/>
      <c r="F609" s="86"/>
      <c r="G609" s="92"/>
      <c r="H609" s="92"/>
      <c r="I609" s="92"/>
      <c r="J609" s="93"/>
      <c r="K609" s="93"/>
      <c r="L609" s="77"/>
      <c r="M609" s="77"/>
      <c r="N609" s="77"/>
      <c r="O609" s="77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</row>
    <row r="610" spans="1:27" ht="12.75" customHeight="1" x14ac:dyDescent="0.25">
      <c r="A610" s="79"/>
      <c r="B610" s="79"/>
      <c r="C610" s="77"/>
      <c r="D610" s="80"/>
      <c r="E610" s="80"/>
      <c r="F610" s="86"/>
      <c r="G610" s="92"/>
      <c r="H610" s="92"/>
      <c r="I610" s="92"/>
      <c r="J610" s="93"/>
      <c r="K610" s="93"/>
      <c r="L610" s="77"/>
      <c r="M610" s="77"/>
      <c r="N610" s="77"/>
      <c r="O610" s="77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</row>
    <row r="611" spans="1:27" ht="12.75" customHeight="1" x14ac:dyDescent="0.25">
      <c r="A611" s="79"/>
      <c r="B611" s="79"/>
      <c r="C611" s="77"/>
      <c r="D611" s="80"/>
      <c r="E611" s="80"/>
      <c r="F611" s="86"/>
      <c r="G611" s="92"/>
      <c r="H611" s="92"/>
      <c r="I611" s="92"/>
      <c r="J611" s="93"/>
      <c r="K611" s="93"/>
      <c r="L611" s="77"/>
      <c r="M611" s="77"/>
      <c r="N611" s="77"/>
      <c r="O611" s="77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</row>
    <row r="612" spans="1:27" ht="12.75" customHeight="1" x14ac:dyDescent="0.25">
      <c r="A612" s="79"/>
      <c r="B612" s="79"/>
      <c r="C612" s="77"/>
      <c r="D612" s="80"/>
      <c r="E612" s="80"/>
      <c r="F612" s="86"/>
      <c r="G612" s="92"/>
      <c r="H612" s="92"/>
      <c r="I612" s="92"/>
      <c r="J612" s="93"/>
      <c r="K612" s="93"/>
      <c r="L612" s="77"/>
      <c r="M612" s="77"/>
      <c r="N612" s="77"/>
      <c r="O612" s="77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</row>
    <row r="613" spans="1:27" ht="12.75" customHeight="1" x14ac:dyDescent="0.25">
      <c r="A613" s="79"/>
      <c r="B613" s="79"/>
      <c r="C613" s="77"/>
      <c r="D613" s="80"/>
      <c r="E613" s="80"/>
      <c r="F613" s="86"/>
      <c r="G613" s="92"/>
      <c r="H613" s="92"/>
      <c r="I613" s="92"/>
      <c r="J613" s="93"/>
      <c r="K613" s="93"/>
      <c r="L613" s="77"/>
      <c r="M613" s="77"/>
      <c r="N613" s="77"/>
      <c r="O613" s="77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</row>
    <row r="614" spans="1:27" ht="12.75" customHeight="1" x14ac:dyDescent="0.25">
      <c r="A614" s="79"/>
      <c r="B614" s="79"/>
      <c r="C614" s="77"/>
      <c r="D614" s="80"/>
      <c r="E614" s="80"/>
      <c r="F614" s="86"/>
      <c r="G614" s="92"/>
      <c r="H614" s="92"/>
      <c r="I614" s="92"/>
      <c r="J614" s="93"/>
      <c r="K614" s="93"/>
      <c r="L614" s="77"/>
      <c r="M614" s="77"/>
      <c r="N614" s="77"/>
      <c r="O614" s="77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</row>
    <row r="615" spans="1:27" ht="12.75" customHeight="1" x14ac:dyDescent="0.25">
      <c r="A615" s="79"/>
      <c r="B615" s="79"/>
      <c r="C615" s="77"/>
      <c r="D615" s="80"/>
      <c r="E615" s="80"/>
      <c r="F615" s="86"/>
      <c r="G615" s="92"/>
      <c r="H615" s="92"/>
      <c r="I615" s="92"/>
      <c r="J615" s="93"/>
      <c r="K615" s="93"/>
      <c r="L615" s="77"/>
      <c r="M615" s="77"/>
      <c r="N615" s="77"/>
      <c r="O615" s="77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</row>
    <row r="616" spans="1:27" ht="12.75" customHeight="1" x14ac:dyDescent="0.25">
      <c r="A616" s="79"/>
      <c r="B616" s="79"/>
      <c r="C616" s="77"/>
      <c r="D616" s="80"/>
      <c r="E616" s="80"/>
      <c r="F616" s="86"/>
      <c r="G616" s="92"/>
      <c r="H616" s="92"/>
      <c r="I616" s="92"/>
      <c r="J616" s="93"/>
      <c r="K616" s="93"/>
      <c r="L616" s="77"/>
      <c r="M616" s="77"/>
      <c r="N616" s="77"/>
      <c r="O616" s="77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</row>
    <row r="617" spans="1:27" ht="12.75" customHeight="1" x14ac:dyDescent="0.25">
      <c r="A617" s="79"/>
      <c r="B617" s="79"/>
      <c r="C617" s="77"/>
      <c r="D617" s="80"/>
      <c r="E617" s="80"/>
      <c r="F617" s="86"/>
      <c r="G617" s="92"/>
      <c r="H617" s="92"/>
      <c r="I617" s="92"/>
      <c r="J617" s="93"/>
      <c r="K617" s="93"/>
      <c r="L617" s="77"/>
      <c r="M617" s="77"/>
      <c r="N617" s="77"/>
      <c r="O617" s="77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</row>
    <row r="618" spans="1:27" ht="12.75" customHeight="1" x14ac:dyDescent="0.25">
      <c r="A618" s="79"/>
      <c r="B618" s="79"/>
      <c r="C618" s="77"/>
      <c r="D618" s="80"/>
      <c r="E618" s="80"/>
      <c r="F618" s="86"/>
      <c r="G618" s="92"/>
      <c r="H618" s="92"/>
      <c r="I618" s="92"/>
      <c r="J618" s="93"/>
      <c r="K618" s="93"/>
      <c r="L618" s="77"/>
      <c r="M618" s="77"/>
      <c r="N618" s="77"/>
      <c r="O618" s="77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</row>
    <row r="619" spans="1:27" ht="12.75" customHeight="1" x14ac:dyDescent="0.25">
      <c r="A619" s="79"/>
      <c r="B619" s="79"/>
      <c r="C619" s="77"/>
      <c r="D619" s="80"/>
      <c r="E619" s="80"/>
      <c r="F619" s="86"/>
      <c r="G619" s="92"/>
      <c r="H619" s="92"/>
      <c r="I619" s="92"/>
      <c r="J619" s="93"/>
      <c r="K619" s="93"/>
      <c r="L619" s="77"/>
      <c r="M619" s="77"/>
      <c r="N619" s="77"/>
      <c r="O619" s="77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</row>
    <row r="620" spans="1:27" ht="12.75" customHeight="1" x14ac:dyDescent="0.25">
      <c r="A620" s="79"/>
      <c r="B620" s="79"/>
      <c r="C620" s="77"/>
      <c r="D620" s="80"/>
      <c r="E620" s="80"/>
      <c r="F620" s="86"/>
      <c r="G620" s="92"/>
      <c r="H620" s="92"/>
      <c r="I620" s="92"/>
      <c r="J620" s="93"/>
      <c r="K620" s="93"/>
      <c r="L620" s="77"/>
      <c r="M620" s="77"/>
      <c r="N620" s="77"/>
      <c r="O620" s="77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</row>
    <row r="621" spans="1:27" ht="12.75" customHeight="1" x14ac:dyDescent="0.25">
      <c r="A621" s="79"/>
      <c r="B621" s="79"/>
      <c r="C621" s="77"/>
      <c r="D621" s="80"/>
      <c r="E621" s="80"/>
      <c r="F621" s="86"/>
      <c r="G621" s="92"/>
      <c r="H621" s="92"/>
      <c r="I621" s="92"/>
      <c r="J621" s="93"/>
      <c r="K621" s="93"/>
      <c r="L621" s="77"/>
      <c r="M621" s="77"/>
      <c r="N621" s="77"/>
      <c r="O621" s="77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</row>
    <row r="622" spans="1:27" ht="12.75" customHeight="1" x14ac:dyDescent="0.25">
      <c r="A622" s="79"/>
      <c r="B622" s="79"/>
      <c r="C622" s="77"/>
      <c r="D622" s="80"/>
      <c r="E622" s="80"/>
      <c r="F622" s="86"/>
      <c r="G622" s="92"/>
      <c r="H622" s="92"/>
      <c r="I622" s="92"/>
      <c r="J622" s="93"/>
      <c r="K622" s="93"/>
      <c r="L622" s="77"/>
      <c r="M622" s="77"/>
      <c r="N622" s="77"/>
      <c r="O622" s="77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</row>
    <row r="623" spans="1:27" ht="12.75" customHeight="1" x14ac:dyDescent="0.25">
      <c r="A623" s="79"/>
      <c r="B623" s="79"/>
      <c r="C623" s="77"/>
      <c r="D623" s="80"/>
      <c r="E623" s="80"/>
      <c r="F623" s="86"/>
      <c r="G623" s="92"/>
      <c r="H623" s="92"/>
      <c r="I623" s="92"/>
      <c r="J623" s="93"/>
      <c r="K623" s="93"/>
      <c r="L623" s="77"/>
      <c r="M623" s="77"/>
      <c r="N623" s="77"/>
      <c r="O623" s="77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</row>
    <row r="624" spans="1:27" ht="12.75" customHeight="1" x14ac:dyDescent="0.25">
      <c r="A624" s="79"/>
      <c r="B624" s="79"/>
      <c r="C624" s="77"/>
      <c r="D624" s="80"/>
      <c r="E624" s="80"/>
      <c r="F624" s="86"/>
      <c r="G624" s="92"/>
      <c r="H624" s="92"/>
      <c r="I624" s="92"/>
      <c r="J624" s="93"/>
      <c r="K624" s="93"/>
      <c r="L624" s="77"/>
      <c r="M624" s="77"/>
      <c r="N624" s="77"/>
      <c r="O624" s="77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</row>
    <row r="625" spans="1:27" ht="12.75" customHeight="1" x14ac:dyDescent="0.25">
      <c r="A625" s="79"/>
      <c r="B625" s="79"/>
      <c r="C625" s="77"/>
      <c r="D625" s="80"/>
      <c r="E625" s="80"/>
      <c r="F625" s="86"/>
      <c r="G625" s="92"/>
      <c r="H625" s="92"/>
      <c r="I625" s="92"/>
      <c r="J625" s="93"/>
      <c r="K625" s="93"/>
      <c r="L625" s="77"/>
      <c r="M625" s="77"/>
      <c r="N625" s="77"/>
      <c r="O625" s="77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</row>
    <row r="626" spans="1:27" ht="12.75" customHeight="1" x14ac:dyDescent="0.25">
      <c r="A626" s="79"/>
      <c r="B626" s="79"/>
      <c r="C626" s="77"/>
      <c r="D626" s="80"/>
      <c r="E626" s="80"/>
      <c r="F626" s="86"/>
      <c r="G626" s="92"/>
      <c r="H626" s="92"/>
      <c r="I626" s="92"/>
      <c r="J626" s="93"/>
      <c r="K626" s="93"/>
      <c r="L626" s="77"/>
      <c r="M626" s="77"/>
      <c r="N626" s="77"/>
      <c r="O626" s="77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</row>
    <row r="627" spans="1:27" ht="12.75" customHeight="1" x14ac:dyDescent="0.25">
      <c r="A627" s="79"/>
      <c r="B627" s="79"/>
      <c r="C627" s="77"/>
      <c r="D627" s="80"/>
      <c r="E627" s="80"/>
      <c r="F627" s="86"/>
      <c r="G627" s="92"/>
      <c r="H627" s="92"/>
      <c r="I627" s="92"/>
      <c r="J627" s="93"/>
      <c r="K627" s="93"/>
      <c r="L627" s="77"/>
      <c r="M627" s="77"/>
      <c r="N627" s="77"/>
      <c r="O627" s="77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</row>
    <row r="628" spans="1:27" ht="12.75" customHeight="1" x14ac:dyDescent="0.25">
      <c r="A628" s="79"/>
      <c r="B628" s="79"/>
      <c r="C628" s="77"/>
      <c r="D628" s="80"/>
      <c r="E628" s="80"/>
      <c r="F628" s="86"/>
      <c r="G628" s="92"/>
      <c r="H628" s="92"/>
      <c r="I628" s="92"/>
      <c r="J628" s="93"/>
      <c r="K628" s="93"/>
      <c r="L628" s="77"/>
      <c r="M628" s="77"/>
      <c r="N628" s="77"/>
      <c r="O628" s="77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</row>
    <row r="629" spans="1:27" ht="12.75" customHeight="1" x14ac:dyDescent="0.25">
      <c r="A629" s="79"/>
      <c r="B629" s="79"/>
      <c r="C629" s="77"/>
      <c r="D629" s="80"/>
      <c r="E629" s="80"/>
      <c r="F629" s="86"/>
      <c r="G629" s="92"/>
      <c r="H629" s="92"/>
      <c r="I629" s="92"/>
      <c r="J629" s="93"/>
      <c r="K629" s="93"/>
      <c r="L629" s="77"/>
      <c r="M629" s="77"/>
      <c r="N629" s="77"/>
      <c r="O629" s="77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</row>
    <row r="630" spans="1:27" ht="12.75" customHeight="1" x14ac:dyDescent="0.25">
      <c r="A630" s="79"/>
      <c r="B630" s="79"/>
      <c r="C630" s="77"/>
      <c r="D630" s="80"/>
      <c r="E630" s="80"/>
      <c r="F630" s="86"/>
      <c r="G630" s="92"/>
      <c r="H630" s="92"/>
      <c r="I630" s="92"/>
      <c r="J630" s="93"/>
      <c r="K630" s="93"/>
      <c r="L630" s="77"/>
      <c r="M630" s="77"/>
      <c r="N630" s="77"/>
      <c r="O630" s="77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</row>
    <row r="631" spans="1:27" ht="12.75" customHeight="1" x14ac:dyDescent="0.25">
      <c r="A631" s="79"/>
      <c r="B631" s="79"/>
      <c r="C631" s="77"/>
      <c r="D631" s="80"/>
      <c r="E631" s="80"/>
      <c r="F631" s="86"/>
      <c r="G631" s="92"/>
      <c r="H631" s="92"/>
      <c r="I631" s="92"/>
      <c r="J631" s="93"/>
      <c r="K631" s="93"/>
      <c r="L631" s="77"/>
      <c r="M631" s="77"/>
      <c r="N631" s="77"/>
      <c r="O631" s="77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</row>
    <row r="632" spans="1:27" ht="12.75" customHeight="1" x14ac:dyDescent="0.25">
      <c r="A632" s="79"/>
      <c r="B632" s="79"/>
      <c r="C632" s="77"/>
      <c r="D632" s="80"/>
      <c r="E632" s="80"/>
      <c r="F632" s="86"/>
      <c r="G632" s="92"/>
      <c r="H632" s="92"/>
      <c r="I632" s="92"/>
      <c r="J632" s="93"/>
      <c r="K632" s="93"/>
      <c r="L632" s="77"/>
      <c r="M632" s="77"/>
      <c r="N632" s="77"/>
      <c r="O632" s="77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</row>
    <row r="633" spans="1:27" ht="12.75" customHeight="1" x14ac:dyDescent="0.25">
      <c r="A633" s="79"/>
      <c r="B633" s="79"/>
      <c r="C633" s="77"/>
      <c r="D633" s="80"/>
      <c r="E633" s="80"/>
      <c r="F633" s="86"/>
      <c r="G633" s="92"/>
      <c r="H633" s="92"/>
      <c r="I633" s="92"/>
      <c r="J633" s="93"/>
      <c r="K633" s="93"/>
      <c r="L633" s="77"/>
      <c r="M633" s="77"/>
      <c r="N633" s="77"/>
      <c r="O633" s="77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</row>
    <row r="634" spans="1:27" ht="12.75" customHeight="1" x14ac:dyDescent="0.25">
      <c r="A634" s="79"/>
      <c r="B634" s="79"/>
      <c r="C634" s="77"/>
      <c r="D634" s="80"/>
      <c r="E634" s="80"/>
      <c r="F634" s="86"/>
      <c r="G634" s="92"/>
      <c r="H634" s="92"/>
      <c r="I634" s="92"/>
      <c r="J634" s="93"/>
      <c r="K634" s="93"/>
      <c r="L634" s="77"/>
      <c r="M634" s="77"/>
      <c r="N634" s="77"/>
      <c r="O634" s="77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</row>
    <row r="635" spans="1:27" ht="12.75" customHeight="1" x14ac:dyDescent="0.25">
      <c r="A635" s="79"/>
      <c r="B635" s="79"/>
      <c r="C635" s="77"/>
      <c r="D635" s="80"/>
      <c r="E635" s="80"/>
      <c r="F635" s="86"/>
      <c r="G635" s="92"/>
      <c r="H635" s="92"/>
      <c r="I635" s="92"/>
      <c r="J635" s="93"/>
      <c r="K635" s="93"/>
      <c r="L635" s="77"/>
      <c r="M635" s="77"/>
      <c r="N635" s="77"/>
      <c r="O635" s="77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</row>
    <row r="636" spans="1:27" ht="12.75" customHeight="1" x14ac:dyDescent="0.25">
      <c r="A636" s="79"/>
      <c r="B636" s="79"/>
      <c r="C636" s="77"/>
      <c r="D636" s="80"/>
      <c r="E636" s="80"/>
      <c r="F636" s="86"/>
      <c r="G636" s="92"/>
      <c r="H636" s="92"/>
      <c r="I636" s="92"/>
      <c r="J636" s="93"/>
      <c r="K636" s="93"/>
      <c r="L636" s="77"/>
      <c r="M636" s="77"/>
      <c r="N636" s="77"/>
      <c r="O636" s="77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</row>
    <row r="637" spans="1:27" ht="12.75" customHeight="1" x14ac:dyDescent="0.25">
      <c r="A637" s="79"/>
      <c r="B637" s="79"/>
      <c r="C637" s="77"/>
      <c r="D637" s="80"/>
      <c r="E637" s="80"/>
      <c r="F637" s="86"/>
      <c r="G637" s="92"/>
      <c r="H637" s="92"/>
      <c r="I637" s="92"/>
      <c r="J637" s="93"/>
      <c r="K637" s="93"/>
      <c r="L637" s="77"/>
      <c r="M637" s="77"/>
      <c r="N637" s="77"/>
      <c r="O637" s="77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</row>
    <row r="638" spans="1:27" ht="12.75" customHeight="1" x14ac:dyDescent="0.25">
      <c r="A638" s="79"/>
      <c r="B638" s="79"/>
      <c r="C638" s="77"/>
      <c r="D638" s="80"/>
      <c r="E638" s="80"/>
      <c r="F638" s="86"/>
      <c r="G638" s="92"/>
      <c r="H638" s="92"/>
      <c r="I638" s="92"/>
      <c r="J638" s="93"/>
      <c r="K638" s="93"/>
      <c r="L638" s="77"/>
      <c r="M638" s="77"/>
      <c r="N638" s="77"/>
      <c r="O638" s="77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</row>
    <row r="639" spans="1:27" ht="12.75" customHeight="1" x14ac:dyDescent="0.25">
      <c r="A639" s="79"/>
      <c r="B639" s="79"/>
      <c r="C639" s="77"/>
      <c r="D639" s="80"/>
      <c r="E639" s="80"/>
      <c r="F639" s="86"/>
      <c r="G639" s="92"/>
      <c r="H639" s="92"/>
      <c r="I639" s="92"/>
      <c r="J639" s="93"/>
      <c r="K639" s="93"/>
      <c r="L639" s="77"/>
      <c r="M639" s="77"/>
      <c r="N639" s="77"/>
      <c r="O639" s="77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</row>
    <row r="640" spans="1:27" ht="12.75" customHeight="1" x14ac:dyDescent="0.25">
      <c r="A640" s="79"/>
      <c r="B640" s="79"/>
      <c r="C640" s="77"/>
      <c r="D640" s="80"/>
      <c r="E640" s="80"/>
      <c r="F640" s="86"/>
      <c r="G640" s="92"/>
      <c r="H640" s="92"/>
      <c r="I640" s="92"/>
      <c r="J640" s="93"/>
      <c r="K640" s="93"/>
      <c r="L640" s="77"/>
      <c r="M640" s="77"/>
      <c r="N640" s="77"/>
      <c r="O640" s="77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</row>
    <row r="641" spans="1:27" ht="12.75" customHeight="1" x14ac:dyDescent="0.25">
      <c r="A641" s="79"/>
      <c r="B641" s="79"/>
      <c r="C641" s="77"/>
      <c r="D641" s="80"/>
      <c r="E641" s="80"/>
      <c r="F641" s="86"/>
      <c r="G641" s="92"/>
      <c r="H641" s="92"/>
      <c r="I641" s="92"/>
      <c r="J641" s="93"/>
      <c r="K641" s="93"/>
      <c r="L641" s="77"/>
      <c r="M641" s="77"/>
      <c r="N641" s="77"/>
      <c r="O641" s="77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</row>
    <row r="642" spans="1:27" ht="12.75" customHeight="1" x14ac:dyDescent="0.25">
      <c r="A642" s="79"/>
      <c r="B642" s="79"/>
      <c r="C642" s="77"/>
      <c r="D642" s="80"/>
      <c r="E642" s="80"/>
      <c r="F642" s="86"/>
      <c r="G642" s="92"/>
      <c r="H642" s="92"/>
      <c r="I642" s="92"/>
      <c r="J642" s="93"/>
      <c r="K642" s="93"/>
      <c r="L642" s="77"/>
      <c r="M642" s="77"/>
      <c r="N642" s="77"/>
      <c r="O642" s="77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</row>
    <row r="643" spans="1:27" ht="12.75" customHeight="1" x14ac:dyDescent="0.25">
      <c r="A643" s="79"/>
      <c r="B643" s="79"/>
      <c r="C643" s="77"/>
      <c r="D643" s="80"/>
      <c r="E643" s="80"/>
      <c r="F643" s="86"/>
      <c r="G643" s="92"/>
      <c r="H643" s="92"/>
      <c r="I643" s="92"/>
      <c r="J643" s="93"/>
      <c r="K643" s="93"/>
      <c r="L643" s="77"/>
      <c r="M643" s="77"/>
      <c r="N643" s="77"/>
      <c r="O643" s="77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</row>
    <row r="644" spans="1:27" ht="12.75" customHeight="1" x14ac:dyDescent="0.25">
      <c r="A644" s="79"/>
      <c r="B644" s="79"/>
      <c r="C644" s="77"/>
      <c r="D644" s="80"/>
      <c r="E644" s="80"/>
      <c r="F644" s="86"/>
      <c r="G644" s="92"/>
      <c r="H644" s="92"/>
      <c r="I644" s="92"/>
      <c r="J644" s="93"/>
      <c r="K644" s="93"/>
      <c r="L644" s="77"/>
      <c r="M644" s="77"/>
      <c r="N644" s="77"/>
      <c r="O644" s="77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</row>
    <row r="645" spans="1:27" ht="12.75" customHeight="1" x14ac:dyDescent="0.25">
      <c r="A645" s="79"/>
      <c r="B645" s="79"/>
      <c r="C645" s="77"/>
      <c r="D645" s="80"/>
      <c r="E645" s="80"/>
      <c r="F645" s="86"/>
      <c r="G645" s="92"/>
      <c r="H645" s="92"/>
      <c r="I645" s="92"/>
      <c r="J645" s="93"/>
      <c r="K645" s="93"/>
      <c r="L645" s="77"/>
      <c r="M645" s="77"/>
      <c r="N645" s="77"/>
      <c r="O645" s="77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</row>
    <row r="646" spans="1:27" ht="12.75" customHeight="1" x14ac:dyDescent="0.25">
      <c r="A646" s="79"/>
      <c r="B646" s="79"/>
      <c r="C646" s="77"/>
      <c r="D646" s="80"/>
      <c r="E646" s="80"/>
      <c r="F646" s="86"/>
      <c r="G646" s="92"/>
      <c r="H646" s="92"/>
      <c r="I646" s="92"/>
      <c r="J646" s="93"/>
      <c r="K646" s="93"/>
      <c r="L646" s="77"/>
      <c r="M646" s="77"/>
      <c r="N646" s="77"/>
      <c r="O646" s="77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</row>
    <row r="647" spans="1:27" ht="12.75" customHeight="1" x14ac:dyDescent="0.25">
      <c r="A647" s="79"/>
      <c r="B647" s="79"/>
      <c r="C647" s="77"/>
      <c r="D647" s="80"/>
      <c r="E647" s="80"/>
      <c r="F647" s="86"/>
      <c r="G647" s="92"/>
      <c r="H647" s="92"/>
      <c r="I647" s="92"/>
      <c r="J647" s="93"/>
      <c r="K647" s="93"/>
      <c r="L647" s="77"/>
      <c r="M647" s="77"/>
      <c r="N647" s="77"/>
      <c r="O647" s="77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</row>
    <row r="648" spans="1:27" ht="12.75" customHeight="1" x14ac:dyDescent="0.25">
      <c r="A648" s="79"/>
      <c r="B648" s="79"/>
      <c r="C648" s="77"/>
      <c r="D648" s="80"/>
      <c r="E648" s="80"/>
      <c r="F648" s="86"/>
      <c r="G648" s="92"/>
      <c r="H648" s="92"/>
      <c r="I648" s="92"/>
      <c r="J648" s="93"/>
      <c r="K648" s="93"/>
      <c r="L648" s="77"/>
      <c r="M648" s="77"/>
      <c r="N648" s="77"/>
      <c r="O648" s="77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</row>
    <row r="649" spans="1:27" ht="12.75" customHeight="1" x14ac:dyDescent="0.25">
      <c r="A649" s="79"/>
      <c r="B649" s="79"/>
      <c r="C649" s="77"/>
      <c r="D649" s="80"/>
      <c r="E649" s="80"/>
      <c r="F649" s="86"/>
      <c r="G649" s="92"/>
      <c r="H649" s="92"/>
      <c r="I649" s="92"/>
      <c r="J649" s="93"/>
      <c r="K649" s="93"/>
      <c r="L649" s="77"/>
      <c r="M649" s="77"/>
      <c r="N649" s="77"/>
      <c r="O649" s="77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</row>
    <row r="650" spans="1:27" ht="12.75" customHeight="1" x14ac:dyDescent="0.25">
      <c r="A650" s="79"/>
      <c r="B650" s="79"/>
      <c r="C650" s="77"/>
      <c r="D650" s="80"/>
      <c r="E650" s="80"/>
      <c r="F650" s="86"/>
      <c r="G650" s="92"/>
      <c r="H650" s="92"/>
      <c r="I650" s="92"/>
      <c r="J650" s="93"/>
      <c r="K650" s="93"/>
      <c r="L650" s="77"/>
      <c r="M650" s="77"/>
      <c r="N650" s="77"/>
      <c r="O650" s="77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</row>
    <row r="651" spans="1:27" ht="12.75" customHeight="1" x14ac:dyDescent="0.25">
      <c r="A651" s="79"/>
      <c r="B651" s="79"/>
      <c r="C651" s="77"/>
      <c r="D651" s="80"/>
      <c r="E651" s="80"/>
      <c r="F651" s="86"/>
      <c r="G651" s="92"/>
      <c r="H651" s="92"/>
      <c r="I651" s="92"/>
      <c r="J651" s="93"/>
      <c r="K651" s="93"/>
      <c r="L651" s="77"/>
      <c r="M651" s="77"/>
      <c r="N651" s="77"/>
      <c r="O651" s="77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</row>
    <row r="652" spans="1:27" ht="12.75" customHeight="1" x14ac:dyDescent="0.25">
      <c r="A652" s="79"/>
      <c r="B652" s="79"/>
      <c r="C652" s="77"/>
      <c r="D652" s="80"/>
      <c r="E652" s="80"/>
      <c r="F652" s="86"/>
      <c r="G652" s="92"/>
      <c r="H652" s="92"/>
      <c r="I652" s="92"/>
      <c r="J652" s="93"/>
      <c r="K652" s="93"/>
      <c r="L652" s="77"/>
      <c r="M652" s="77"/>
      <c r="N652" s="77"/>
      <c r="O652" s="77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</row>
    <row r="653" spans="1:27" ht="12.75" customHeight="1" x14ac:dyDescent="0.25">
      <c r="A653" s="79"/>
      <c r="B653" s="79"/>
      <c r="C653" s="77"/>
      <c r="D653" s="80"/>
      <c r="E653" s="80"/>
      <c r="F653" s="86"/>
      <c r="G653" s="92"/>
      <c r="H653" s="92"/>
      <c r="I653" s="92"/>
      <c r="J653" s="93"/>
      <c r="K653" s="93"/>
      <c r="L653" s="77"/>
      <c r="M653" s="77"/>
      <c r="N653" s="77"/>
      <c r="O653" s="77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</row>
    <row r="654" spans="1:27" ht="12.75" customHeight="1" x14ac:dyDescent="0.25">
      <c r="A654" s="79"/>
      <c r="B654" s="79"/>
      <c r="C654" s="77"/>
      <c r="D654" s="80"/>
      <c r="E654" s="80"/>
      <c r="F654" s="86"/>
      <c r="G654" s="92"/>
      <c r="H654" s="92"/>
      <c r="I654" s="92"/>
      <c r="J654" s="93"/>
      <c r="K654" s="93"/>
      <c r="L654" s="77"/>
      <c r="M654" s="77"/>
      <c r="N654" s="77"/>
      <c r="O654" s="77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</row>
    <row r="655" spans="1:27" ht="12.75" customHeight="1" x14ac:dyDescent="0.25">
      <c r="A655" s="79"/>
      <c r="B655" s="79"/>
      <c r="C655" s="77"/>
      <c r="D655" s="80"/>
      <c r="E655" s="80"/>
      <c r="F655" s="86"/>
      <c r="G655" s="92"/>
      <c r="H655" s="92"/>
      <c r="I655" s="92"/>
      <c r="J655" s="93"/>
      <c r="K655" s="93"/>
      <c r="L655" s="77"/>
      <c r="M655" s="77"/>
      <c r="N655" s="77"/>
      <c r="O655" s="77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</row>
    <row r="656" spans="1:27" ht="12.75" customHeight="1" x14ac:dyDescent="0.25">
      <c r="A656" s="79"/>
      <c r="B656" s="79"/>
      <c r="C656" s="77"/>
      <c r="D656" s="80"/>
      <c r="E656" s="80"/>
      <c r="F656" s="86"/>
      <c r="G656" s="92"/>
      <c r="H656" s="92"/>
      <c r="I656" s="92"/>
      <c r="J656" s="93"/>
      <c r="K656" s="93"/>
      <c r="L656" s="77"/>
      <c r="M656" s="77"/>
      <c r="N656" s="77"/>
      <c r="O656" s="77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</row>
    <row r="657" spans="1:27" ht="12.75" customHeight="1" x14ac:dyDescent="0.25">
      <c r="A657" s="79"/>
      <c r="B657" s="79"/>
      <c r="C657" s="77"/>
      <c r="D657" s="80"/>
      <c r="E657" s="80"/>
      <c r="F657" s="86"/>
      <c r="G657" s="92"/>
      <c r="H657" s="92"/>
      <c r="I657" s="92"/>
      <c r="J657" s="93"/>
      <c r="K657" s="93"/>
      <c r="L657" s="77"/>
      <c r="M657" s="77"/>
      <c r="N657" s="77"/>
      <c r="O657" s="77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</row>
    <row r="658" spans="1:27" ht="12.75" customHeight="1" x14ac:dyDescent="0.25">
      <c r="A658" s="79"/>
      <c r="B658" s="79"/>
      <c r="C658" s="77"/>
      <c r="D658" s="80"/>
      <c r="E658" s="80"/>
      <c r="F658" s="86"/>
      <c r="G658" s="92"/>
      <c r="H658" s="92"/>
      <c r="I658" s="92"/>
      <c r="J658" s="93"/>
      <c r="K658" s="93"/>
      <c r="L658" s="77"/>
      <c r="M658" s="77"/>
      <c r="N658" s="77"/>
      <c r="O658" s="77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</row>
    <row r="659" spans="1:27" ht="12.75" customHeight="1" x14ac:dyDescent="0.25">
      <c r="A659" s="79"/>
      <c r="B659" s="79"/>
      <c r="C659" s="77"/>
      <c r="D659" s="80"/>
      <c r="E659" s="80"/>
      <c r="F659" s="86"/>
      <c r="G659" s="92"/>
      <c r="H659" s="92"/>
      <c r="I659" s="92"/>
      <c r="J659" s="93"/>
      <c r="K659" s="93"/>
      <c r="L659" s="77"/>
      <c r="M659" s="77"/>
      <c r="N659" s="77"/>
      <c r="O659" s="77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</row>
    <row r="660" spans="1:27" ht="12.75" customHeight="1" x14ac:dyDescent="0.25">
      <c r="A660" s="79"/>
      <c r="B660" s="79"/>
      <c r="C660" s="77"/>
      <c r="D660" s="80"/>
      <c r="E660" s="80"/>
      <c r="F660" s="86"/>
      <c r="G660" s="92"/>
      <c r="H660" s="92"/>
      <c r="I660" s="92"/>
      <c r="J660" s="93"/>
      <c r="K660" s="93"/>
      <c r="L660" s="77"/>
      <c r="M660" s="77"/>
      <c r="N660" s="77"/>
      <c r="O660" s="77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</row>
    <row r="661" spans="1:27" ht="12.75" customHeight="1" x14ac:dyDescent="0.25">
      <c r="A661" s="79"/>
      <c r="B661" s="79"/>
      <c r="C661" s="77"/>
      <c r="D661" s="80"/>
      <c r="E661" s="80"/>
      <c r="F661" s="86"/>
      <c r="G661" s="92"/>
      <c r="H661" s="92"/>
      <c r="I661" s="92"/>
      <c r="J661" s="93"/>
      <c r="K661" s="93"/>
      <c r="L661" s="77"/>
      <c r="M661" s="77"/>
      <c r="N661" s="77"/>
      <c r="O661" s="77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</row>
    <row r="662" spans="1:27" ht="12.75" customHeight="1" x14ac:dyDescent="0.25">
      <c r="A662" s="79"/>
      <c r="B662" s="79"/>
      <c r="C662" s="77"/>
      <c r="D662" s="80"/>
      <c r="E662" s="80"/>
      <c r="F662" s="86"/>
      <c r="G662" s="92"/>
      <c r="H662" s="92"/>
      <c r="I662" s="92"/>
      <c r="J662" s="93"/>
      <c r="K662" s="93"/>
      <c r="L662" s="77"/>
      <c r="M662" s="77"/>
      <c r="N662" s="77"/>
      <c r="O662" s="77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</row>
    <row r="663" spans="1:27" ht="12.75" customHeight="1" x14ac:dyDescent="0.25">
      <c r="A663" s="79"/>
      <c r="B663" s="79"/>
      <c r="C663" s="77"/>
      <c r="D663" s="80"/>
      <c r="E663" s="80"/>
      <c r="F663" s="86"/>
      <c r="G663" s="92"/>
      <c r="H663" s="92"/>
      <c r="I663" s="92"/>
      <c r="J663" s="93"/>
      <c r="K663" s="93"/>
      <c r="L663" s="77"/>
      <c r="M663" s="77"/>
      <c r="N663" s="77"/>
      <c r="O663" s="77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</row>
    <row r="664" spans="1:27" ht="12.75" customHeight="1" x14ac:dyDescent="0.25">
      <c r="A664" s="79"/>
      <c r="B664" s="79"/>
      <c r="C664" s="77"/>
      <c r="D664" s="80"/>
      <c r="E664" s="80"/>
      <c r="F664" s="86"/>
      <c r="G664" s="92"/>
      <c r="H664" s="92"/>
      <c r="I664" s="92"/>
      <c r="J664" s="93"/>
      <c r="K664" s="93"/>
      <c r="L664" s="77"/>
      <c r="M664" s="77"/>
      <c r="N664" s="77"/>
      <c r="O664" s="77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</row>
    <row r="665" spans="1:27" ht="12.75" customHeight="1" x14ac:dyDescent="0.25">
      <c r="A665" s="79"/>
      <c r="B665" s="79"/>
      <c r="C665" s="77"/>
      <c r="D665" s="80"/>
      <c r="E665" s="80"/>
      <c r="F665" s="86"/>
      <c r="G665" s="92"/>
      <c r="H665" s="92"/>
      <c r="I665" s="92"/>
      <c r="J665" s="93"/>
      <c r="K665" s="93"/>
      <c r="L665" s="77"/>
      <c r="M665" s="77"/>
      <c r="N665" s="77"/>
      <c r="O665" s="77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</row>
    <row r="666" spans="1:27" ht="12.75" customHeight="1" x14ac:dyDescent="0.25">
      <c r="A666" s="79"/>
      <c r="B666" s="79"/>
      <c r="C666" s="77"/>
      <c r="D666" s="80"/>
      <c r="E666" s="80"/>
      <c r="F666" s="86"/>
      <c r="G666" s="92"/>
      <c r="H666" s="92"/>
      <c r="I666" s="92"/>
      <c r="J666" s="93"/>
      <c r="K666" s="93"/>
      <c r="L666" s="77"/>
      <c r="M666" s="77"/>
      <c r="N666" s="77"/>
      <c r="O666" s="77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</row>
    <row r="667" spans="1:27" ht="12.75" customHeight="1" x14ac:dyDescent="0.25">
      <c r="A667" s="79"/>
      <c r="B667" s="79"/>
      <c r="C667" s="77"/>
      <c r="D667" s="80"/>
      <c r="E667" s="80"/>
      <c r="F667" s="86"/>
      <c r="G667" s="92"/>
      <c r="H667" s="92"/>
      <c r="I667" s="92"/>
      <c r="J667" s="93"/>
      <c r="K667" s="93"/>
      <c r="L667" s="77"/>
      <c r="M667" s="77"/>
      <c r="N667" s="77"/>
      <c r="O667" s="77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</row>
    <row r="668" spans="1:27" ht="12.75" customHeight="1" x14ac:dyDescent="0.25">
      <c r="A668" s="79"/>
      <c r="B668" s="79"/>
      <c r="C668" s="77"/>
      <c r="D668" s="80"/>
      <c r="E668" s="80"/>
      <c r="F668" s="86"/>
      <c r="G668" s="92"/>
      <c r="H668" s="92"/>
      <c r="I668" s="92"/>
      <c r="J668" s="93"/>
      <c r="K668" s="93"/>
      <c r="L668" s="77"/>
      <c r="M668" s="77"/>
      <c r="N668" s="77"/>
      <c r="O668" s="77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</row>
    <row r="669" spans="1:27" ht="12.75" customHeight="1" x14ac:dyDescent="0.25">
      <c r="A669" s="79"/>
      <c r="B669" s="79"/>
      <c r="C669" s="77"/>
      <c r="D669" s="80"/>
      <c r="E669" s="80"/>
      <c r="F669" s="86"/>
      <c r="G669" s="92"/>
      <c r="H669" s="92"/>
      <c r="I669" s="92"/>
      <c r="J669" s="93"/>
      <c r="K669" s="93"/>
      <c r="L669" s="77"/>
      <c r="M669" s="77"/>
      <c r="N669" s="77"/>
      <c r="O669" s="77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</row>
    <row r="670" spans="1:27" ht="12.75" customHeight="1" x14ac:dyDescent="0.25">
      <c r="A670" s="79"/>
      <c r="B670" s="79"/>
      <c r="C670" s="77"/>
      <c r="D670" s="80"/>
      <c r="E670" s="80"/>
      <c r="F670" s="86"/>
      <c r="G670" s="92"/>
      <c r="H670" s="92"/>
      <c r="I670" s="92"/>
      <c r="J670" s="93"/>
      <c r="K670" s="93"/>
      <c r="L670" s="77"/>
      <c r="M670" s="77"/>
      <c r="N670" s="77"/>
      <c r="O670" s="77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</row>
    <row r="671" spans="1:27" ht="12.75" customHeight="1" x14ac:dyDescent="0.25">
      <c r="A671" s="79"/>
      <c r="B671" s="79"/>
      <c r="C671" s="77"/>
      <c r="D671" s="80"/>
      <c r="E671" s="80"/>
      <c r="F671" s="86"/>
      <c r="G671" s="92"/>
      <c r="H671" s="92"/>
      <c r="I671" s="92"/>
      <c r="J671" s="93"/>
      <c r="K671" s="93"/>
      <c r="L671" s="77"/>
      <c r="M671" s="77"/>
      <c r="N671" s="77"/>
      <c r="O671" s="77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</row>
    <row r="672" spans="1:27" ht="12.75" customHeight="1" x14ac:dyDescent="0.25">
      <c r="A672" s="79"/>
      <c r="B672" s="79"/>
      <c r="C672" s="77"/>
      <c r="D672" s="80"/>
      <c r="E672" s="80"/>
      <c r="F672" s="86"/>
      <c r="G672" s="92"/>
      <c r="H672" s="92"/>
      <c r="I672" s="92"/>
      <c r="J672" s="93"/>
      <c r="K672" s="93"/>
      <c r="L672" s="77"/>
      <c r="M672" s="77"/>
      <c r="N672" s="77"/>
      <c r="O672" s="77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</row>
    <row r="673" spans="1:27" ht="12.75" customHeight="1" x14ac:dyDescent="0.25">
      <c r="A673" s="79"/>
      <c r="B673" s="79"/>
      <c r="C673" s="77"/>
      <c r="D673" s="80"/>
      <c r="E673" s="80"/>
      <c r="F673" s="86"/>
      <c r="G673" s="92"/>
      <c r="H673" s="92"/>
      <c r="I673" s="92"/>
      <c r="J673" s="93"/>
      <c r="K673" s="93"/>
      <c r="L673" s="77"/>
      <c r="M673" s="77"/>
      <c r="N673" s="77"/>
      <c r="O673" s="77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</row>
    <row r="674" spans="1:27" ht="12.75" customHeight="1" x14ac:dyDescent="0.25">
      <c r="A674" s="79"/>
      <c r="B674" s="79"/>
      <c r="C674" s="77"/>
      <c r="D674" s="80"/>
      <c r="E674" s="80"/>
      <c r="F674" s="86"/>
      <c r="G674" s="92"/>
      <c r="H674" s="92"/>
      <c r="I674" s="92"/>
      <c r="J674" s="93"/>
      <c r="K674" s="93"/>
      <c r="L674" s="77"/>
      <c r="M674" s="77"/>
      <c r="N674" s="77"/>
      <c r="O674" s="77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</row>
    <row r="675" spans="1:27" ht="12.75" customHeight="1" x14ac:dyDescent="0.25">
      <c r="A675" s="79"/>
      <c r="B675" s="79"/>
      <c r="C675" s="77"/>
      <c r="D675" s="80"/>
      <c r="E675" s="80"/>
      <c r="F675" s="86"/>
      <c r="G675" s="92"/>
      <c r="H675" s="92"/>
      <c r="I675" s="92"/>
      <c r="J675" s="93"/>
      <c r="K675" s="93"/>
      <c r="L675" s="77"/>
      <c r="M675" s="77"/>
      <c r="N675" s="77"/>
      <c r="O675" s="77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</row>
    <row r="676" spans="1:27" ht="12.75" customHeight="1" x14ac:dyDescent="0.25">
      <c r="A676" s="79"/>
      <c r="B676" s="79"/>
      <c r="C676" s="77"/>
      <c r="D676" s="80"/>
      <c r="E676" s="80"/>
      <c r="F676" s="86"/>
      <c r="G676" s="92"/>
      <c r="H676" s="92"/>
      <c r="I676" s="92"/>
      <c r="J676" s="93"/>
      <c r="K676" s="93"/>
      <c r="L676" s="77"/>
      <c r="M676" s="77"/>
      <c r="N676" s="77"/>
      <c r="O676" s="77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</row>
    <row r="677" spans="1:27" ht="12.75" customHeight="1" x14ac:dyDescent="0.25">
      <c r="A677" s="79"/>
      <c r="B677" s="79"/>
      <c r="C677" s="77"/>
      <c r="D677" s="80"/>
      <c r="E677" s="80"/>
      <c r="F677" s="86"/>
      <c r="G677" s="92"/>
      <c r="H677" s="92"/>
      <c r="I677" s="92"/>
      <c r="J677" s="93"/>
      <c r="K677" s="93"/>
      <c r="L677" s="77"/>
      <c r="M677" s="77"/>
      <c r="N677" s="77"/>
      <c r="O677" s="77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</row>
    <row r="678" spans="1:27" ht="12.75" customHeight="1" x14ac:dyDescent="0.25">
      <c r="A678" s="79"/>
      <c r="B678" s="79"/>
      <c r="C678" s="77"/>
      <c r="D678" s="80"/>
      <c r="E678" s="80"/>
      <c r="F678" s="86"/>
      <c r="G678" s="92"/>
      <c r="H678" s="92"/>
      <c r="I678" s="92"/>
      <c r="J678" s="93"/>
      <c r="K678" s="93"/>
      <c r="L678" s="77"/>
      <c r="M678" s="77"/>
      <c r="N678" s="77"/>
      <c r="O678" s="77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</row>
    <row r="679" spans="1:27" ht="12.75" customHeight="1" x14ac:dyDescent="0.25">
      <c r="A679" s="79"/>
      <c r="B679" s="79"/>
      <c r="C679" s="77"/>
      <c r="D679" s="80"/>
      <c r="E679" s="80"/>
      <c r="F679" s="86"/>
      <c r="G679" s="92"/>
      <c r="H679" s="92"/>
      <c r="I679" s="92"/>
      <c r="J679" s="93"/>
      <c r="K679" s="93"/>
      <c r="L679" s="77"/>
      <c r="M679" s="77"/>
      <c r="N679" s="77"/>
      <c r="O679" s="77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</row>
    <row r="680" spans="1:27" ht="12.75" customHeight="1" x14ac:dyDescent="0.25">
      <c r="A680" s="79"/>
      <c r="B680" s="79"/>
      <c r="C680" s="77"/>
      <c r="D680" s="80"/>
      <c r="E680" s="80"/>
      <c r="F680" s="86"/>
      <c r="G680" s="92"/>
      <c r="H680" s="92"/>
      <c r="I680" s="92"/>
      <c r="J680" s="93"/>
      <c r="K680" s="93"/>
      <c r="L680" s="77"/>
      <c r="M680" s="77"/>
      <c r="N680" s="77"/>
      <c r="O680" s="77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</row>
    <row r="681" spans="1:27" ht="12.75" customHeight="1" x14ac:dyDescent="0.25">
      <c r="A681" s="79"/>
      <c r="B681" s="79"/>
      <c r="C681" s="77"/>
      <c r="D681" s="80"/>
      <c r="E681" s="80"/>
      <c r="F681" s="86"/>
      <c r="G681" s="92"/>
      <c r="H681" s="92"/>
      <c r="I681" s="92"/>
      <c r="J681" s="93"/>
      <c r="K681" s="93"/>
      <c r="L681" s="77"/>
      <c r="M681" s="77"/>
      <c r="N681" s="77"/>
      <c r="O681" s="77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</row>
    <row r="682" spans="1:27" ht="12.75" customHeight="1" x14ac:dyDescent="0.25">
      <c r="A682" s="79"/>
      <c r="B682" s="79"/>
      <c r="C682" s="77"/>
      <c r="D682" s="80"/>
      <c r="E682" s="80"/>
      <c r="F682" s="86"/>
      <c r="G682" s="92"/>
      <c r="H682" s="92"/>
      <c r="I682" s="92"/>
      <c r="J682" s="93"/>
      <c r="K682" s="93"/>
      <c r="L682" s="77"/>
      <c r="M682" s="77"/>
      <c r="N682" s="77"/>
      <c r="O682" s="77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</row>
    <row r="683" spans="1:27" ht="12.75" customHeight="1" x14ac:dyDescent="0.25">
      <c r="A683" s="79"/>
      <c r="B683" s="79"/>
      <c r="C683" s="77"/>
      <c r="D683" s="80"/>
      <c r="E683" s="80"/>
      <c r="F683" s="86"/>
      <c r="G683" s="92"/>
      <c r="H683" s="92"/>
      <c r="I683" s="92"/>
      <c r="J683" s="93"/>
      <c r="K683" s="93"/>
      <c r="L683" s="77"/>
      <c r="M683" s="77"/>
      <c r="N683" s="77"/>
      <c r="O683" s="77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</row>
    <row r="684" spans="1:27" ht="12.75" customHeight="1" x14ac:dyDescent="0.25">
      <c r="A684" s="79"/>
      <c r="B684" s="79"/>
      <c r="C684" s="77"/>
      <c r="D684" s="80"/>
      <c r="E684" s="80"/>
      <c r="F684" s="86"/>
      <c r="G684" s="92"/>
      <c r="H684" s="92"/>
      <c r="I684" s="92"/>
      <c r="J684" s="93"/>
      <c r="K684" s="93"/>
      <c r="L684" s="77"/>
      <c r="M684" s="77"/>
      <c r="N684" s="77"/>
      <c r="O684" s="77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</row>
    <row r="685" spans="1:27" ht="12.75" customHeight="1" x14ac:dyDescent="0.25">
      <c r="A685" s="79"/>
      <c r="B685" s="79"/>
      <c r="C685" s="77"/>
      <c r="D685" s="80"/>
      <c r="E685" s="80"/>
      <c r="F685" s="86"/>
      <c r="G685" s="92"/>
      <c r="H685" s="92"/>
      <c r="I685" s="92"/>
      <c r="J685" s="93"/>
      <c r="K685" s="93"/>
      <c r="L685" s="77"/>
      <c r="M685" s="77"/>
      <c r="N685" s="77"/>
      <c r="O685" s="77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</row>
    <row r="686" spans="1:27" ht="12.75" customHeight="1" x14ac:dyDescent="0.25">
      <c r="A686" s="79"/>
      <c r="B686" s="79"/>
      <c r="C686" s="77"/>
      <c r="D686" s="80"/>
      <c r="E686" s="80"/>
      <c r="F686" s="86"/>
      <c r="G686" s="92"/>
      <c r="H686" s="92"/>
      <c r="I686" s="92"/>
      <c r="J686" s="93"/>
      <c r="K686" s="93"/>
      <c r="L686" s="77"/>
      <c r="M686" s="77"/>
      <c r="N686" s="77"/>
      <c r="O686" s="77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</row>
    <row r="687" spans="1:27" ht="12.75" customHeight="1" x14ac:dyDescent="0.25">
      <c r="A687" s="79"/>
      <c r="B687" s="79"/>
      <c r="C687" s="77"/>
      <c r="D687" s="80"/>
      <c r="E687" s="80"/>
      <c r="F687" s="86"/>
      <c r="G687" s="92"/>
      <c r="H687" s="92"/>
      <c r="I687" s="92"/>
      <c r="J687" s="93"/>
      <c r="K687" s="93"/>
      <c r="L687" s="77"/>
      <c r="M687" s="77"/>
      <c r="N687" s="77"/>
      <c r="O687" s="77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</row>
    <row r="688" spans="1:27" ht="12.75" customHeight="1" x14ac:dyDescent="0.25">
      <c r="A688" s="79"/>
      <c r="B688" s="79"/>
      <c r="C688" s="77"/>
      <c r="D688" s="80"/>
      <c r="E688" s="80"/>
      <c r="F688" s="86"/>
      <c r="G688" s="92"/>
      <c r="H688" s="92"/>
      <c r="I688" s="92"/>
      <c r="J688" s="93"/>
      <c r="K688" s="93"/>
      <c r="L688" s="77"/>
      <c r="M688" s="77"/>
      <c r="N688" s="77"/>
      <c r="O688" s="77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</row>
    <row r="689" spans="1:27" ht="12.75" customHeight="1" x14ac:dyDescent="0.25">
      <c r="A689" s="79"/>
      <c r="B689" s="79"/>
      <c r="C689" s="77"/>
      <c r="D689" s="80"/>
      <c r="E689" s="80"/>
      <c r="F689" s="86"/>
      <c r="G689" s="92"/>
      <c r="H689" s="92"/>
      <c r="I689" s="92"/>
      <c r="J689" s="93"/>
      <c r="K689" s="93"/>
      <c r="L689" s="77"/>
      <c r="M689" s="77"/>
      <c r="N689" s="77"/>
      <c r="O689" s="77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</row>
    <row r="690" spans="1:27" ht="12.75" customHeight="1" x14ac:dyDescent="0.25">
      <c r="A690" s="79"/>
      <c r="B690" s="79"/>
      <c r="C690" s="77"/>
      <c r="D690" s="80"/>
      <c r="E690" s="80"/>
      <c r="F690" s="86"/>
      <c r="G690" s="92"/>
      <c r="H690" s="92"/>
      <c r="I690" s="92"/>
      <c r="J690" s="93"/>
      <c r="K690" s="93"/>
      <c r="L690" s="77"/>
      <c r="M690" s="77"/>
      <c r="N690" s="77"/>
      <c r="O690" s="77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</row>
    <row r="691" spans="1:27" ht="12.75" customHeight="1" x14ac:dyDescent="0.25">
      <c r="A691" s="79"/>
      <c r="B691" s="79"/>
      <c r="C691" s="77"/>
      <c r="D691" s="80"/>
      <c r="E691" s="80"/>
      <c r="F691" s="86"/>
      <c r="G691" s="92"/>
      <c r="H691" s="92"/>
      <c r="I691" s="92"/>
      <c r="J691" s="93"/>
      <c r="K691" s="93"/>
      <c r="L691" s="77"/>
      <c r="M691" s="77"/>
      <c r="N691" s="77"/>
      <c r="O691" s="77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</row>
    <row r="692" spans="1:27" ht="12.75" customHeight="1" x14ac:dyDescent="0.25">
      <c r="A692" s="79"/>
      <c r="B692" s="79"/>
      <c r="C692" s="77"/>
      <c r="D692" s="80"/>
      <c r="E692" s="80"/>
      <c r="F692" s="86"/>
      <c r="G692" s="92"/>
      <c r="H692" s="92"/>
      <c r="I692" s="92"/>
      <c r="J692" s="93"/>
      <c r="K692" s="93"/>
      <c r="L692" s="77"/>
      <c r="M692" s="77"/>
      <c r="N692" s="77"/>
      <c r="O692" s="77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</row>
    <row r="693" spans="1:27" ht="12.75" customHeight="1" x14ac:dyDescent="0.25">
      <c r="A693" s="79"/>
      <c r="B693" s="79"/>
      <c r="C693" s="77"/>
      <c r="D693" s="80"/>
      <c r="E693" s="80"/>
      <c r="F693" s="86"/>
      <c r="G693" s="92"/>
      <c r="H693" s="92"/>
      <c r="I693" s="92"/>
      <c r="J693" s="93"/>
      <c r="K693" s="93"/>
      <c r="L693" s="77"/>
      <c r="M693" s="77"/>
      <c r="N693" s="77"/>
      <c r="O693" s="77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</row>
    <row r="694" spans="1:27" ht="12.75" customHeight="1" x14ac:dyDescent="0.25">
      <c r="A694" s="79"/>
      <c r="B694" s="79"/>
      <c r="C694" s="77"/>
      <c r="D694" s="80"/>
      <c r="E694" s="80"/>
      <c r="F694" s="86"/>
      <c r="G694" s="92"/>
      <c r="H694" s="92"/>
      <c r="I694" s="92"/>
      <c r="J694" s="93"/>
      <c r="K694" s="93"/>
      <c r="L694" s="77"/>
      <c r="M694" s="77"/>
      <c r="N694" s="77"/>
      <c r="O694" s="77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</row>
    <row r="695" spans="1:27" ht="12.75" customHeight="1" x14ac:dyDescent="0.25">
      <c r="A695" s="79"/>
      <c r="B695" s="79"/>
      <c r="C695" s="77"/>
      <c r="D695" s="80"/>
      <c r="E695" s="80"/>
      <c r="F695" s="86"/>
      <c r="G695" s="92"/>
      <c r="H695" s="92"/>
      <c r="I695" s="92"/>
      <c r="J695" s="93"/>
      <c r="K695" s="93"/>
      <c r="L695" s="77"/>
      <c r="M695" s="77"/>
      <c r="N695" s="77"/>
      <c r="O695" s="77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</row>
    <row r="696" spans="1:27" ht="12.75" customHeight="1" x14ac:dyDescent="0.25">
      <c r="A696" s="79"/>
      <c r="B696" s="79"/>
      <c r="C696" s="77"/>
      <c r="D696" s="80"/>
      <c r="E696" s="80"/>
      <c r="F696" s="86"/>
      <c r="G696" s="92"/>
      <c r="H696" s="92"/>
      <c r="I696" s="92"/>
      <c r="J696" s="93"/>
      <c r="K696" s="93"/>
      <c r="L696" s="77"/>
      <c r="M696" s="77"/>
      <c r="N696" s="77"/>
      <c r="O696" s="77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</row>
    <row r="697" spans="1:27" ht="12.75" customHeight="1" x14ac:dyDescent="0.25">
      <c r="A697" s="79"/>
      <c r="B697" s="79"/>
      <c r="C697" s="77"/>
      <c r="D697" s="80"/>
      <c r="E697" s="80"/>
      <c r="F697" s="86"/>
      <c r="G697" s="92"/>
      <c r="H697" s="92"/>
      <c r="I697" s="92"/>
      <c r="J697" s="93"/>
      <c r="K697" s="93"/>
      <c r="L697" s="77"/>
      <c r="M697" s="77"/>
      <c r="N697" s="77"/>
      <c r="O697" s="77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</row>
    <row r="698" spans="1:27" ht="12.75" customHeight="1" x14ac:dyDescent="0.25">
      <c r="A698" s="79"/>
      <c r="B698" s="79"/>
      <c r="C698" s="77"/>
      <c r="D698" s="80"/>
      <c r="E698" s="80"/>
      <c r="F698" s="86"/>
      <c r="G698" s="92"/>
      <c r="H698" s="92"/>
      <c r="I698" s="92"/>
      <c r="J698" s="93"/>
      <c r="K698" s="93"/>
      <c r="L698" s="77"/>
      <c r="M698" s="77"/>
      <c r="N698" s="77"/>
      <c r="O698" s="77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</row>
    <row r="699" spans="1:27" ht="12.75" customHeight="1" x14ac:dyDescent="0.25">
      <c r="A699" s="79"/>
      <c r="B699" s="79"/>
      <c r="C699" s="77"/>
      <c r="D699" s="80"/>
      <c r="E699" s="80"/>
      <c r="F699" s="86"/>
      <c r="G699" s="92"/>
      <c r="H699" s="92"/>
      <c r="I699" s="92"/>
      <c r="J699" s="93"/>
      <c r="K699" s="93"/>
      <c r="L699" s="77"/>
      <c r="M699" s="77"/>
      <c r="N699" s="77"/>
      <c r="O699" s="77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</row>
    <row r="700" spans="1:27" ht="12.75" customHeight="1" x14ac:dyDescent="0.25">
      <c r="A700" s="79"/>
      <c r="B700" s="79"/>
      <c r="C700" s="77"/>
      <c r="D700" s="80"/>
      <c r="E700" s="80"/>
      <c r="F700" s="86"/>
      <c r="G700" s="92"/>
      <c r="H700" s="92"/>
      <c r="I700" s="92"/>
      <c r="J700" s="93"/>
      <c r="K700" s="93"/>
      <c r="L700" s="77"/>
      <c r="M700" s="77"/>
      <c r="N700" s="77"/>
      <c r="O700" s="77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</row>
    <row r="701" spans="1:27" ht="12.75" customHeight="1" x14ac:dyDescent="0.25">
      <c r="A701" s="79"/>
      <c r="B701" s="79"/>
      <c r="C701" s="77"/>
      <c r="D701" s="80"/>
      <c r="E701" s="80"/>
      <c r="F701" s="86"/>
      <c r="G701" s="92"/>
      <c r="H701" s="92"/>
      <c r="I701" s="92"/>
      <c r="J701" s="93"/>
      <c r="K701" s="93"/>
      <c r="L701" s="77"/>
      <c r="M701" s="77"/>
      <c r="N701" s="77"/>
      <c r="O701" s="77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</row>
    <row r="702" spans="1:27" ht="12.75" customHeight="1" x14ac:dyDescent="0.25">
      <c r="A702" s="79"/>
      <c r="B702" s="79"/>
      <c r="C702" s="77"/>
      <c r="D702" s="80"/>
      <c r="E702" s="80"/>
      <c r="F702" s="86"/>
      <c r="G702" s="92"/>
      <c r="H702" s="92"/>
      <c r="I702" s="92"/>
      <c r="J702" s="93"/>
      <c r="K702" s="93"/>
      <c r="L702" s="77"/>
      <c r="M702" s="77"/>
      <c r="N702" s="77"/>
      <c r="O702" s="77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</row>
    <row r="703" spans="1:27" ht="12.75" customHeight="1" x14ac:dyDescent="0.25">
      <c r="A703" s="79"/>
      <c r="B703" s="79"/>
      <c r="C703" s="77"/>
      <c r="D703" s="80"/>
      <c r="E703" s="80"/>
      <c r="F703" s="86"/>
      <c r="G703" s="92"/>
      <c r="H703" s="92"/>
      <c r="I703" s="92"/>
      <c r="J703" s="93"/>
      <c r="K703" s="93"/>
      <c r="L703" s="77"/>
      <c r="M703" s="77"/>
      <c r="N703" s="77"/>
      <c r="O703" s="77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</row>
    <row r="704" spans="1:27" ht="12.75" customHeight="1" x14ac:dyDescent="0.25">
      <c r="A704" s="79"/>
      <c r="B704" s="79"/>
      <c r="C704" s="77"/>
      <c r="D704" s="80"/>
      <c r="E704" s="80"/>
      <c r="F704" s="86"/>
      <c r="G704" s="92"/>
      <c r="H704" s="92"/>
      <c r="I704" s="92"/>
      <c r="J704" s="93"/>
      <c r="K704" s="93"/>
      <c r="L704" s="77"/>
      <c r="M704" s="77"/>
      <c r="N704" s="77"/>
      <c r="O704" s="77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</row>
    <row r="705" spans="1:27" ht="12.75" customHeight="1" x14ac:dyDescent="0.25">
      <c r="A705" s="79"/>
      <c r="B705" s="79"/>
      <c r="C705" s="77"/>
      <c r="D705" s="80"/>
      <c r="E705" s="80"/>
      <c r="F705" s="86"/>
      <c r="G705" s="92"/>
      <c r="H705" s="92"/>
      <c r="I705" s="92"/>
      <c r="J705" s="93"/>
      <c r="K705" s="93"/>
      <c r="L705" s="77"/>
      <c r="M705" s="77"/>
      <c r="N705" s="77"/>
      <c r="O705" s="77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</row>
    <row r="706" spans="1:27" ht="12.75" customHeight="1" x14ac:dyDescent="0.25">
      <c r="A706" s="79"/>
      <c r="B706" s="79"/>
      <c r="C706" s="77"/>
      <c r="D706" s="80"/>
      <c r="E706" s="80"/>
      <c r="F706" s="86"/>
      <c r="G706" s="92"/>
      <c r="H706" s="92"/>
      <c r="I706" s="92"/>
      <c r="J706" s="93"/>
      <c r="K706" s="93"/>
      <c r="L706" s="77"/>
      <c r="M706" s="77"/>
      <c r="N706" s="77"/>
      <c r="O706" s="77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</row>
    <row r="707" spans="1:27" ht="12.75" customHeight="1" x14ac:dyDescent="0.25">
      <c r="A707" s="79"/>
      <c r="B707" s="79"/>
      <c r="C707" s="77"/>
      <c r="D707" s="80"/>
      <c r="E707" s="80"/>
      <c r="F707" s="86"/>
      <c r="G707" s="92"/>
      <c r="H707" s="92"/>
      <c r="I707" s="92"/>
      <c r="J707" s="93"/>
      <c r="K707" s="93"/>
      <c r="L707" s="77"/>
      <c r="M707" s="77"/>
      <c r="N707" s="77"/>
      <c r="O707" s="77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</row>
    <row r="708" spans="1:27" ht="12.75" customHeight="1" x14ac:dyDescent="0.25">
      <c r="A708" s="79"/>
      <c r="B708" s="79"/>
      <c r="C708" s="77"/>
      <c r="D708" s="80"/>
      <c r="E708" s="80"/>
      <c r="F708" s="86"/>
      <c r="G708" s="92"/>
      <c r="H708" s="92"/>
      <c r="I708" s="92"/>
      <c r="J708" s="93"/>
      <c r="K708" s="93"/>
      <c r="L708" s="77"/>
      <c r="M708" s="77"/>
      <c r="N708" s="77"/>
      <c r="O708" s="77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</row>
    <row r="709" spans="1:27" ht="12.75" customHeight="1" x14ac:dyDescent="0.25">
      <c r="A709" s="79"/>
      <c r="B709" s="79"/>
      <c r="C709" s="77"/>
      <c r="D709" s="80"/>
      <c r="E709" s="80"/>
      <c r="F709" s="86"/>
      <c r="G709" s="92"/>
      <c r="H709" s="92"/>
      <c r="I709" s="92"/>
      <c r="J709" s="93"/>
      <c r="K709" s="93"/>
      <c r="L709" s="77"/>
      <c r="M709" s="77"/>
      <c r="N709" s="77"/>
      <c r="O709" s="77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</row>
    <row r="710" spans="1:27" ht="12.75" customHeight="1" x14ac:dyDescent="0.25">
      <c r="A710" s="79"/>
      <c r="B710" s="79"/>
      <c r="C710" s="77"/>
      <c r="D710" s="80"/>
      <c r="E710" s="80"/>
      <c r="F710" s="86"/>
      <c r="G710" s="92"/>
      <c r="H710" s="92"/>
      <c r="I710" s="92"/>
      <c r="J710" s="93"/>
      <c r="K710" s="93"/>
      <c r="L710" s="77"/>
      <c r="M710" s="77"/>
      <c r="N710" s="77"/>
      <c r="O710" s="77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</row>
    <row r="711" spans="1:27" ht="12.75" customHeight="1" x14ac:dyDescent="0.25">
      <c r="A711" s="79"/>
      <c r="B711" s="79"/>
      <c r="C711" s="77"/>
      <c r="D711" s="80"/>
      <c r="E711" s="80"/>
      <c r="F711" s="86"/>
      <c r="G711" s="92"/>
      <c r="H711" s="92"/>
      <c r="I711" s="92"/>
      <c r="J711" s="93"/>
      <c r="K711" s="93"/>
      <c r="L711" s="77"/>
      <c r="M711" s="77"/>
      <c r="N711" s="77"/>
      <c r="O711" s="77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</row>
    <row r="712" spans="1:27" ht="12.75" customHeight="1" x14ac:dyDescent="0.25">
      <c r="A712" s="79"/>
      <c r="B712" s="79"/>
      <c r="C712" s="77"/>
      <c r="D712" s="80"/>
      <c r="E712" s="80"/>
      <c r="F712" s="86"/>
      <c r="G712" s="92"/>
      <c r="H712" s="92"/>
      <c r="I712" s="92"/>
      <c r="J712" s="93"/>
      <c r="K712" s="93"/>
      <c r="L712" s="77"/>
      <c r="M712" s="77"/>
      <c r="N712" s="77"/>
      <c r="O712" s="77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</row>
    <row r="713" spans="1:27" ht="12.75" customHeight="1" x14ac:dyDescent="0.25">
      <c r="A713" s="79"/>
      <c r="B713" s="79"/>
      <c r="C713" s="77"/>
      <c r="D713" s="80"/>
      <c r="E713" s="80"/>
      <c r="F713" s="86"/>
      <c r="G713" s="92"/>
      <c r="H713" s="92"/>
      <c r="I713" s="92"/>
      <c r="J713" s="93"/>
      <c r="K713" s="93"/>
      <c r="L713" s="77"/>
      <c r="M713" s="77"/>
      <c r="N713" s="77"/>
      <c r="O713" s="77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</row>
    <row r="714" spans="1:27" ht="12.75" customHeight="1" x14ac:dyDescent="0.25">
      <c r="A714" s="79"/>
      <c r="B714" s="79"/>
      <c r="C714" s="77"/>
      <c r="D714" s="80"/>
      <c r="E714" s="80"/>
      <c r="F714" s="86"/>
      <c r="G714" s="92"/>
      <c r="H714" s="92"/>
      <c r="I714" s="92"/>
      <c r="J714" s="93"/>
      <c r="K714" s="93"/>
      <c r="L714" s="77"/>
      <c r="M714" s="77"/>
      <c r="N714" s="77"/>
      <c r="O714" s="77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</row>
    <row r="715" spans="1:27" ht="12.75" customHeight="1" x14ac:dyDescent="0.25">
      <c r="A715" s="79"/>
      <c r="B715" s="79"/>
      <c r="C715" s="77"/>
      <c r="D715" s="80"/>
      <c r="E715" s="80"/>
      <c r="F715" s="86"/>
      <c r="G715" s="92"/>
      <c r="H715" s="92"/>
      <c r="I715" s="92"/>
      <c r="J715" s="93"/>
      <c r="K715" s="93"/>
      <c r="L715" s="77"/>
      <c r="M715" s="77"/>
      <c r="N715" s="77"/>
      <c r="O715" s="77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</row>
    <row r="716" spans="1:27" ht="12.75" customHeight="1" x14ac:dyDescent="0.25">
      <c r="A716" s="79"/>
      <c r="B716" s="79"/>
      <c r="C716" s="77"/>
      <c r="D716" s="80"/>
      <c r="E716" s="80"/>
      <c r="F716" s="86"/>
      <c r="G716" s="92"/>
      <c r="H716" s="92"/>
      <c r="I716" s="92"/>
      <c r="J716" s="93"/>
      <c r="K716" s="93"/>
      <c r="L716" s="77"/>
      <c r="M716" s="77"/>
      <c r="N716" s="77"/>
      <c r="O716" s="77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</row>
    <row r="717" spans="1:27" ht="12.75" customHeight="1" x14ac:dyDescent="0.25">
      <c r="A717" s="79"/>
      <c r="B717" s="79"/>
      <c r="C717" s="77"/>
      <c r="D717" s="80"/>
      <c r="E717" s="80"/>
      <c r="F717" s="86"/>
      <c r="G717" s="92"/>
      <c r="H717" s="92"/>
      <c r="I717" s="92"/>
      <c r="J717" s="93"/>
      <c r="K717" s="93"/>
      <c r="L717" s="77"/>
      <c r="M717" s="77"/>
      <c r="N717" s="77"/>
      <c r="O717" s="77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</row>
    <row r="718" spans="1:27" ht="12.75" customHeight="1" x14ac:dyDescent="0.25">
      <c r="A718" s="79"/>
      <c r="B718" s="79"/>
      <c r="C718" s="77"/>
      <c r="D718" s="80"/>
      <c r="E718" s="80"/>
      <c r="F718" s="86"/>
      <c r="G718" s="92"/>
      <c r="H718" s="92"/>
      <c r="I718" s="92"/>
      <c r="J718" s="93"/>
      <c r="K718" s="93"/>
      <c r="L718" s="77"/>
      <c r="M718" s="77"/>
      <c r="N718" s="77"/>
      <c r="O718" s="77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</row>
    <row r="719" spans="1:27" ht="12.75" customHeight="1" x14ac:dyDescent="0.25">
      <c r="A719" s="79"/>
      <c r="B719" s="79"/>
      <c r="C719" s="77"/>
      <c r="D719" s="80"/>
      <c r="E719" s="80"/>
      <c r="F719" s="86"/>
      <c r="G719" s="92"/>
      <c r="H719" s="92"/>
      <c r="I719" s="92"/>
      <c r="J719" s="93"/>
      <c r="K719" s="93"/>
      <c r="L719" s="77"/>
      <c r="M719" s="77"/>
      <c r="N719" s="77"/>
      <c r="O719" s="77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</row>
    <row r="720" spans="1:27" ht="12.75" customHeight="1" x14ac:dyDescent="0.25">
      <c r="A720" s="79"/>
      <c r="B720" s="79"/>
      <c r="C720" s="77"/>
      <c r="D720" s="80"/>
      <c r="E720" s="80"/>
      <c r="F720" s="86"/>
      <c r="G720" s="92"/>
      <c r="H720" s="92"/>
      <c r="I720" s="92"/>
      <c r="J720" s="93"/>
      <c r="K720" s="93"/>
      <c r="L720" s="77"/>
      <c r="M720" s="77"/>
      <c r="N720" s="77"/>
      <c r="O720" s="77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</row>
    <row r="721" spans="1:27" ht="12.75" customHeight="1" x14ac:dyDescent="0.25">
      <c r="A721" s="79"/>
      <c r="B721" s="79"/>
      <c r="C721" s="77"/>
      <c r="D721" s="80"/>
      <c r="E721" s="80"/>
      <c r="F721" s="86"/>
      <c r="G721" s="92"/>
      <c r="H721" s="92"/>
      <c r="I721" s="92"/>
      <c r="J721" s="93"/>
      <c r="K721" s="93"/>
      <c r="L721" s="77"/>
      <c r="M721" s="77"/>
      <c r="N721" s="77"/>
      <c r="O721" s="77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</row>
    <row r="722" spans="1:27" ht="12.75" customHeight="1" x14ac:dyDescent="0.25">
      <c r="A722" s="79"/>
      <c r="B722" s="79"/>
      <c r="C722" s="77"/>
      <c r="D722" s="80"/>
      <c r="E722" s="80"/>
      <c r="F722" s="86"/>
      <c r="G722" s="92"/>
      <c r="H722" s="92"/>
      <c r="I722" s="92"/>
      <c r="J722" s="93"/>
      <c r="K722" s="93"/>
      <c r="L722" s="77"/>
      <c r="M722" s="77"/>
      <c r="N722" s="77"/>
      <c r="O722" s="77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</row>
    <row r="723" spans="1:27" ht="12.75" customHeight="1" x14ac:dyDescent="0.25">
      <c r="A723" s="79"/>
      <c r="B723" s="79"/>
      <c r="C723" s="77"/>
      <c r="D723" s="80"/>
      <c r="E723" s="80"/>
      <c r="F723" s="86"/>
      <c r="G723" s="92"/>
      <c r="H723" s="92"/>
      <c r="I723" s="92"/>
      <c r="J723" s="93"/>
      <c r="K723" s="93"/>
      <c r="L723" s="77"/>
      <c r="M723" s="77"/>
      <c r="N723" s="77"/>
      <c r="O723" s="77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</row>
    <row r="724" spans="1:27" ht="12.75" customHeight="1" x14ac:dyDescent="0.25">
      <c r="A724" s="79"/>
      <c r="B724" s="79"/>
      <c r="C724" s="77"/>
      <c r="D724" s="80"/>
      <c r="E724" s="80"/>
      <c r="F724" s="86"/>
      <c r="G724" s="92"/>
      <c r="H724" s="92"/>
      <c r="I724" s="92"/>
      <c r="J724" s="93"/>
      <c r="K724" s="93"/>
      <c r="L724" s="77"/>
      <c r="M724" s="77"/>
      <c r="N724" s="77"/>
      <c r="O724" s="77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</row>
    <row r="725" spans="1:27" ht="12.75" customHeight="1" x14ac:dyDescent="0.25">
      <c r="A725" s="79"/>
      <c r="B725" s="79"/>
      <c r="C725" s="77"/>
      <c r="D725" s="80"/>
      <c r="E725" s="80"/>
      <c r="F725" s="86"/>
      <c r="G725" s="92"/>
      <c r="H725" s="92"/>
      <c r="I725" s="92"/>
      <c r="J725" s="93"/>
      <c r="K725" s="93"/>
      <c r="L725" s="77"/>
      <c r="M725" s="77"/>
      <c r="N725" s="77"/>
      <c r="O725" s="77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</row>
    <row r="726" spans="1:27" ht="12.75" customHeight="1" x14ac:dyDescent="0.25">
      <c r="A726" s="79"/>
      <c r="B726" s="79"/>
      <c r="C726" s="77"/>
      <c r="D726" s="80"/>
      <c r="E726" s="80"/>
      <c r="F726" s="86"/>
      <c r="G726" s="92"/>
      <c r="H726" s="92"/>
      <c r="I726" s="92"/>
      <c r="J726" s="93"/>
      <c r="K726" s="93"/>
      <c r="L726" s="77"/>
      <c r="M726" s="77"/>
      <c r="N726" s="77"/>
      <c r="O726" s="77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</row>
    <row r="727" spans="1:27" ht="12.75" customHeight="1" x14ac:dyDescent="0.25">
      <c r="A727" s="79"/>
      <c r="B727" s="79"/>
      <c r="C727" s="77"/>
      <c r="D727" s="80"/>
      <c r="E727" s="80"/>
      <c r="F727" s="86"/>
      <c r="G727" s="92"/>
      <c r="H727" s="92"/>
      <c r="I727" s="92"/>
      <c r="J727" s="93"/>
      <c r="K727" s="93"/>
      <c r="L727" s="77"/>
      <c r="M727" s="77"/>
      <c r="N727" s="77"/>
      <c r="O727" s="77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</row>
    <row r="728" spans="1:27" ht="12.75" customHeight="1" x14ac:dyDescent="0.25">
      <c r="A728" s="79"/>
      <c r="B728" s="79"/>
      <c r="C728" s="77"/>
      <c r="D728" s="80"/>
      <c r="E728" s="80"/>
      <c r="F728" s="86"/>
      <c r="G728" s="92"/>
      <c r="H728" s="92"/>
      <c r="I728" s="92"/>
      <c r="J728" s="93"/>
      <c r="K728" s="93"/>
      <c r="L728" s="77"/>
      <c r="M728" s="77"/>
      <c r="N728" s="77"/>
      <c r="O728" s="77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</row>
    <row r="729" spans="1:27" ht="12.75" customHeight="1" x14ac:dyDescent="0.25">
      <c r="A729" s="79"/>
      <c r="B729" s="79"/>
      <c r="C729" s="77"/>
      <c r="D729" s="80"/>
      <c r="E729" s="80"/>
      <c r="F729" s="86"/>
      <c r="G729" s="92"/>
      <c r="H729" s="92"/>
      <c r="I729" s="92"/>
      <c r="J729" s="93"/>
      <c r="K729" s="93"/>
      <c r="L729" s="77"/>
      <c r="M729" s="77"/>
      <c r="N729" s="77"/>
      <c r="O729" s="77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</row>
    <row r="730" spans="1:27" ht="12.75" customHeight="1" x14ac:dyDescent="0.25">
      <c r="A730" s="79"/>
      <c r="B730" s="79"/>
      <c r="C730" s="77"/>
      <c r="D730" s="80"/>
      <c r="E730" s="80"/>
      <c r="F730" s="86"/>
      <c r="G730" s="92"/>
      <c r="H730" s="92"/>
      <c r="I730" s="92"/>
      <c r="J730" s="93"/>
      <c r="K730" s="93"/>
      <c r="L730" s="77"/>
      <c r="M730" s="77"/>
      <c r="N730" s="77"/>
      <c r="O730" s="77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</row>
    <row r="731" spans="1:27" ht="12.75" customHeight="1" x14ac:dyDescent="0.25">
      <c r="A731" s="79"/>
      <c r="B731" s="79"/>
      <c r="C731" s="77"/>
      <c r="D731" s="80"/>
      <c r="E731" s="80"/>
      <c r="F731" s="86"/>
      <c r="G731" s="92"/>
      <c r="H731" s="92"/>
      <c r="I731" s="92"/>
      <c r="J731" s="93"/>
      <c r="K731" s="93"/>
      <c r="L731" s="77"/>
      <c r="M731" s="77"/>
      <c r="N731" s="77"/>
      <c r="O731" s="77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</row>
    <row r="732" spans="1:27" ht="12.75" customHeight="1" x14ac:dyDescent="0.25">
      <c r="A732" s="79"/>
      <c r="B732" s="79"/>
      <c r="C732" s="77"/>
      <c r="D732" s="80"/>
      <c r="E732" s="80"/>
      <c r="F732" s="86"/>
      <c r="G732" s="92"/>
      <c r="H732" s="92"/>
      <c r="I732" s="92"/>
      <c r="J732" s="93"/>
      <c r="K732" s="93"/>
      <c r="L732" s="77"/>
      <c r="M732" s="77"/>
      <c r="N732" s="77"/>
      <c r="O732" s="77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</row>
    <row r="733" spans="1:27" ht="12.75" customHeight="1" x14ac:dyDescent="0.25">
      <c r="A733" s="79"/>
      <c r="B733" s="79"/>
      <c r="C733" s="77"/>
      <c r="D733" s="80"/>
      <c r="E733" s="80"/>
      <c r="F733" s="86"/>
      <c r="G733" s="92"/>
      <c r="H733" s="92"/>
      <c r="I733" s="92"/>
      <c r="J733" s="93"/>
      <c r="K733" s="93"/>
      <c r="L733" s="77"/>
      <c r="M733" s="77"/>
      <c r="N733" s="77"/>
      <c r="O733" s="77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</row>
    <row r="734" spans="1:27" ht="12.75" customHeight="1" x14ac:dyDescent="0.25">
      <c r="A734" s="79"/>
      <c r="B734" s="79"/>
      <c r="C734" s="77"/>
      <c r="D734" s="80"/>
      <c r="E734" s="80"/>
      <c r="F734" s="86"/>
      <c r="G734" s="92"/>
      <c r="H734" s="92"/>
      <c r="I734" s="92"/>
      <c r="J734" s="93"/>
      <c r="K734" s="93"/>
      <c r="L734" s="77"/>
      <c r="M734" s="77"/>
      <c r="N734" s="77"/>
      <c r="O734" s="77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</row>
    <row r="735" spans="1:27" ht="12.75" customHeight="1" x14ac:dyDescent="0.25">
      <c r="A735" s="79"/>
      <c r="B735" s="79"/>
      <c r="C735" s="77"/>
      <c r="D735" s="80"/>
      <c r="E735" s="80"/>
      <c r="F735" s="86"/>
      <c r="G735" s="92"/>
      <c r="H735" s="92"/>
      <c r="I735" s="92"/>
      <c r="J735" s="93"/>
      <c r="K735" s="93"/>
      <c r="L735" s="77"/>
      <c r="M735" s="77"/>
      <c r="N735" s="77"/>
      <c r="O735" s="77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</row>
    <row r="736" spans="1:27" ht="12.75" customHeight="1" x14ac:dyDescent="0.25">
      <c r="A736" s="79"/>
      <c r="B736" s="79"/>
      <c r="C736" s="77"/>
      <c r="D736" s="80"/>
      <c r="E736" s="80"/>
      <c r="F736" s="86"/>
      <c r="G736" s="92"/>
      <c r="H736" s="92"/>
      <c r="I736" s="92"/>
      <c r="J736" s="93"/>
      <c r="K736" s="93"/>
      <c r="L736" s="77"/>
      <c r="M736" s="77"/>
      <c r="N736" s="77"/>
      <c r="O736" s="77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</row>
    <row r="737" spans="1:27" ht="12.75" customHeight="1" x14ac:dyDescent="0.25">
      <c r="A737" s="79"/>
      <c r="B737" s="79"/>
      <c r="C737" s="77"/>
      <c r="D737" s="80"/>
      <c r="E737" s="80"/>
      <c r="F737" s="86"/>
      <c r="G737" s="92"/>
      <c r="H737" s="92"/>
      <c r="I737" s="92"/>
      <c r="J737" s="93"/>
      <c r="K737" s="93"/>
      <c r="L737" s="77"/>
      <c r="M737" s="77"/>
      <c r="N737" s="77"/>
      <c r="O737" s="77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</row>
    <row r="738" spans="1:27" ht="12.75" customHeight="1" x14ac:dyDescent="0.25">
      <c r="A738" s="79"/>
      <c r="B738" s="79"/>
      <c r="C738" s="77"/>
      <c r="D738" s="80"/>
      <c r="E738" s="80"/>
      <c r="F738" s="86"/>
      <c r="G738" s="92"/>
      <c r="H738" s="92"/>
      <c r="I738" s="92"/>
      <c r="J738" s="93"/>
      <c r="K738" s="93"/>
      <c r="L738" s="77"/>
      <c r="M738" s="77"/>
      <c r="N738" s="77"/>
      <c r="O738" s="77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</row>
    <row r="739" spans="1:27" ht="12.75" customHeight="1" x14ac:dyDescent="0.25">
      <c r="A739" s="79"/>
      <c r="B739" s="79"/>
      <c r="C739" s="77"/>
      <c r="D739" s="80"/>
      <c r="E739" s="80"/>
      <c r="F739" s="86"/>
      <c r="G739" s="92"/>
      <c r="H739" s="92"/>
      <c r="I739" s="92"/>
      <c r="J739" s="93"/>
      <c r="K739" s="93"/>
      <c r="L739" s="77"/>
      <c r="M739" s="77"/>
      <c r="N739" s="77"/>
      <c r="O739" s="77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</row>
    <row r="740" spans="1:27" ht="12.75" customHeight="1" x14ac:dyDescent="0.25">
      <c r="A740" s="79"/>
      <c r="B740" s="79"/>
      <c r="C740" s="77"/>
      <c r="D740" s="80"/>
      <c r="E740" s="80"/>
      <c r="F740" s="86"/>
      <c r="G740" s="92"/>
      <c r="H740" s="92"/>
      <c r="I740" s="92"/>
      <c r="J740" s="93"/>
      <c r="K740" s="93"/>
      <c r="L740" s="77"/>
      <c r="M740" s="77"/>
      <c r="N740" s="77"/>
      <c r="O740" s="77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</row>
    <row r="741" spans="1:27" ht="12.75" customHeight="1" x14ac:dyDescent="0.25">
      <c r="A741" s="79"/>
      <c r="B741" s="79"/>
      <c r="C741" s="77"/>
      <c r="D741" s="80"/>
      <c r="E741" s="80"/>
      <c r="F741" s="86"/>
      <c r="G741" s="92"/>
      <c r="H741" s="92"/>
      <c r="I741" s="92"/>
      <c r="J741" s="93"/>
      <c r="K741" s="93"/>
      <c r="L741" s="77"/>
      <c r="M741" s="77"/>
      <c r="N741" s="77"/>
      <c r="O741" s="77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</row>
    <row r="742" spans="1:27" ht="12.75" customHeight="1" x14ac:dyDescent="0.25">
      <c r="A742" s="79"/>
      <c r="B742" s="79"/>
      <c r="C742" s="77"/>
      <c r="D742" s="80"/>
      <c r="E742" s="80"/>
      <c r="F742" s="86"/>
      <c r="G742" s="92"/>
      <c r="H742" s="92"/>
      <c r="I742" s="92"/>
      <c r="J742" s="93"/>
      <c r="K742" s="93"/>
      <c r="L742" s="77"/>
      <c r="M742" s="77"/>
      <c r="N742" s="77"/>
      <c r="O742" s="77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</row>
    <row r="743" spans="1:27" ht="12.75" customHeight="1" x14ac:dyDescent="0.25">
      <c r="A743" s="79"/>
      <c r="B743" s="79"/>
      <c r="C743" s="77"/>
      <c r="D743" s="80"/>
      <c r="E743" s="80"/>
      <c r="F743" s="86"/>
      <c r="G743" s="92"/>
      <c r="H743" s="92"/>
      <c r="I743" s="92"/>
      <c r="J743" s="93"/>
      <c r="K743" s="93"/>
      <c r="L743" s="77"/>
      <c r="M743" s="77"/>
      <c r="N743" s="77"/>
      <c r="O743" s="77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</row>
    <row r="744" spans="1:27" ht="12.75" customHeight="1" x14ac:dyDescent="0.25">
      <c r="A744" s="79"/>
      <c r="B744" s="79"/>
      <c r="C744" s="77"/>
      <c r="D744" s="80"/>
      <c r="E744" s="80"/>
      <c r="F744" s="86"/>
      <c r="G744" s="92"/>
      <c r="H744" s="92"/>
      <c r="I744" s="92"/>
      <c r="J744" s="93"/>
      <c r="K744" s="93"/>
      <c r="L744" s="77"/>
      <c r="M744" s="77"/>
      <c r="N744" s="77"/>
      <c r="O744" s="77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</row>
    <row r="745" spans="1:27" ht="12.75" customHeight="1" x14ac:dyDescent="0.25">
      <c r="A745" s="79"/>
      <c r="B745" s="79"/>
      <c r="C745" s="77"/>
      <c r="D745" s="80"/>
      <c r="E745" s="80"/>
      <c r="F745" s="86"/>
      <c r="G745" s="92"/>
      <c r="H745" s="92"/>
      <c r="I745" s="92"/>
      <c r="J745" s="93"/>
      <c r="K745" s="93"/>
      <c r="L745" s="77"/>
      <c r="M745" s="77"/>
      <c r="N745" s="77"/>
      <c r="O745" s="77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</row>
    <row r="746" spans="1:27" ht="12.75" customHeight="1" x14ac:dyDescent="0.25">
      <c r="A746" s="79"/>
      <c r="B746" s="79"/>
      <c r="C746" s="77"/>
      <c r="D746" s="80"/>
      <c r="E746" s="80"/>
      <c r="F746" s="86"/>
      <c r="G746" s="92"/>
      <c r="H746" s="92"/>
      <c r="I746" s="92"/>
      <c r="J746" s="93"/>
      <c r="K746" s="93"/>
      <c r="L746" s="77"/>
      <c r="M746" s="77"/>
      <c r="N746" s="77"/>
      <c r="O746" s="77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</row>
    <row r="747" spans="1:27" ht="12.75" customHeight="1" x14ac:dyDescent="0.25">
      <c r="A747" s="79"/>
      <c r="B747" s="79"/>
      <c r="C747" s="77"/>
      <c r="D747" s="80"/>
      <c r="E747" s="80"/>
      <c r="F747" s="86"/>
      <c r="G747" s="92"/>
      <c r="H747" s="92"/>
      <c r="I747" s="92"/>
      <c r="J747" s="93"/>
      <c r="K747" s="93"/>
      <c r="L747" s="77"/>
      <c r="M747" s="77"/>
      <c r="N747" s="77"/>
      <c r="O747" s="77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</row>
    <row r="748" spans="1:27" ht="12.75" customHeight="1" x14ac:dyDescent="0.25">
      <c r="A748" s="79"/>
      <c r="B748" s="79"/>
      <c r="C748" s="77"/>
      <c r="D748" s="80"/>
      <c r="E748" s="80"/>
      <c r="F748" s="86"/>
      <c r="G748" s="92"/>
      <c r="H748" s="92"/>
      <c r="I748" s="92"/>
      <c r="J748" s="93"/>
      <c r="K748" s="93"/>
      <c r="L748" s="77"/>
      <c r="M748" s="77"/>
      <c r="N748" s="77"/>
      <c r="O748" s="77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</row>
    <row r="749" spans="1:27" ht="12.75" customHeight="1" x14ac:dyDescent="0.25">
      <c r="A749" s="79"/>
      <c r="B749" s="79"/>
      <c r="C749" s="77"/>
      <c r="D749" s="80"/>
      <c r="E749" s="80"/>
      <c r="F749" s="86"/>
      <c r="G749" s="92"/>
      <c r="H749" s="92"/>
      <c r="I749" s="92"/>
      <c r="J749" s="93"/>
      <c r="K749" s="93"/>
      <c r="L749" s="77"/>
      <c r="M749" s="77"/>
      <c r="N749" s="77"/>
      <c r="O749" s="77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</row>
    <row r="750" spans="1:27" ht="12.75" customHeight="1" x14ac:dyDescent="0.25">
      <c r="A750" s="79"/>
      <c r="B750" s="79"/>
      <c r="C750" s="77"/>
      <c r="D750" s="80"/>
      <c r="E750" s="80"/>
      <c r="F750" s="86"/>
      <c r="G750" s="92"/>
      <c r="H750" s="92"/>
      <c r="I750" s="92"/>
      <c r="J750" s="93"/>
      <c r="K750" s="93"/>
      <c r="L750" s="77"/>
      <c r="M750" s="77"/>
      <c r="N750" s="77"/>
      <c r="O750" s="77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</row>
    <row r="751" spans="1:27" ht="12.75" customHeight="1" x14ac:dyDescent="0.25">
      <c r="A751" s="79"/>
      <c r="B751" s="79"/>
      <c r="C751" s="77"/>
      <c r="D751" s="80"/>
      <c r="E751" s="80"/>
      <c r="F751" s="86"/>
      <c r="G751" s="92"/>
      <c r="H751" s="92"/>
      <c r="I751" s="92"/>
      <c r="J751" s="93"/>
      <c r="K751" s="93"/>
      <c r="L751" s="77"/>
      <c r="M751" s="77"/>
      <c r="N751" s="77"/>
      <c r="O751" s="77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</row>
    <row r="752" spans="1:27" ht="12.75" customHeight="1" x14ac:dyDescent="0.25">
      <c r="A752" s="79"/>
      <c r="B752" s="79"/>
      <c r="C752" s="77"/>
      <c r="D752" s="80"/>
      <c r="E752" s="80"/>
      <c r="F752" s="86"/>
      <c r="G752" s="92"/>
      <c r="H752" s="92"/>
      <c r="I752" s="92"/>
      <c r="J752" s="93"/>
      <c r="K752" s="93"/>
      <c r="L752" s="77"/>
      <c r="M752" s="77"/>
      <c r="N752" s="77"/>
      <c r="O752" s="77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</row>
    <row r="753" spans="1:27" ht="12.75" customHeight="1" x14ac:dyDescent="0.25">
      <c r="A753" s="79"/>
      <c r="B753" s="79"/>
      <c r="C753" s="77"/>
      <c r="D753" s="80"/>
      <c r="E753" s="80"/>
      <c r="F753" s="86"/>
      <c r="G753" s="92"/>
      <c r="H753" s="92"/>
      <c r="I753" s="92"/>
      <c r="J753" s="93"/>
      <c r="K753" s="93"/>
      <c r="L753" s="77"/>
      <c r="M753" s="77"/>
      <c r="N753" s="77"/>
      <c r="O753" s="77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</row>
    <row r="754" spans="1:27" ht="12.75" customHeight="1" x14ac:dyDescent="0.25">
      <c r="A754" s="79"/>
      <c r="B754" s="79"/>
      <c r="C754" s="77"/>
      <c r="D754" s="80"/>
      <c r="E754" s="80"/>
      <c r="F754" s="86"/>
      <c r="G754" s="92"/>
      <c r="H754" s="92"/>
      <c r="I754" s="92"/>
      <c r="J754" s="93"/>
      <c r="K754" s="93"/>
      <c r="L754" s="77"/>
      <c r="M754" s="77"/>
      <c r="N754" s="77"/>
      <c r="O754" s="77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</row>
    <row r="755" spans="1:27" ht="12.75" customHeight="1" x14ac:dyDescent="0.25">
      <c r="A755" s="79"/>
      <c r="B755" s="79"/>
      <c r="C755" s="77"/>
      <c r="D755" s="80"/>
      <c r="E755" s="80"/>
      <c r="F755" s="86"/>
      <c r="G755" s="92"/>
      <c r="H755" s="92"/>
      <c r="I755" s="92"/>
      <c r="J755" s="93"/>
      <c r="K755" s="93"/>
      <c r="L755" s="77"/>
      <c r="M755" s="77"/>
      <c r="N755" s="77"/>
      <c r="O755" s="77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</row>
    <row r="756" spans="1:27" ht="12.75" customHeight="1" x14ac:dyDescent="0.25">
      <c r="A756" s="79"/>
      <c r="B756" s="79"/>
      <c r="C756" s="77"/>
      <c r="D756" s="80"/>
      <c r="E756" s="80"/>
      <c r="F756" s="86"/>
      <c r="G756" s="92"/>
      <c r="H756" s="92"/>
      <c r="I756" s="92"/>
      <c r="J756" s="93"/>
      <c r="K756" s="93"/>
      <c r="L756" s="77"/>
      <c r="M756" s="77"/>
      <c r="N756" s="77"/>
      <c r="O756" s="77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</row>
    <row r="757" spans="1:27" ht="12.75" customHeight="1" x14ac:dyDescent="0.25">
      <c r="A757" s="79"/>
      <c r="B757" s="79"/>
      <c r="C757" s="77"/>
      <c r="D757" s="80"/>
      <c r="E757" s="80"/>
      <c r="F757" s="86"/>
      <c r="G757" s="92"/>
      <c r="H757" s="92"/>
      <c r="I757" s="92"/>
      <c r="J757" s="93"/>
      <c r="K757" s="93"/>
      <c r="L757" s="77"/>
      <c r="M757" s="77"/>
      <c r="N757" s="77"/>
      <c r="O757" s="77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</row>
    <row r="758" spans="1:27" ht="12.75" customHeight="1" x14ac:dyDescent="0.25">
      <c r="A758" s="79"/>
      <c r="B758" s="79"/>
      <c r="C758" s="77"/>
      <c r="D758" s="80"/>
      <c r="E758" s="80"/>
      <c r="F758" s="86"/>
      <c r="G758" s="92"/>
      <c r="H758" s="92"/>
      <c r="I758" s="92"/>
      <c r="J758" s="93"/>
      <c r="K758" s="93"/>
      <c r="L758" s="77"/>
      <c r="M758" s="77"/>
      <c r="N758" s="77"/>
      <c r="O758" s="77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</row>
    <row r="759" spans="1:27" ht="12.75" customHeight="1" x14ac:dyDescent="0.25">
      <c r="A759" s="79"/>
      <c r="B759" s="79"/>
      <c r="C759" s="77"/>
      <c r="D759" s="80"/>
      <c r="E759" s="80"/>
      <c r="F759" s="86"/>
      <c r="G759" s="92"/>
      <c r="H759" s="92"/>
      <c r="I759" s="92"/>
      <c r="J759" s="93"/>
      <c r="K759" s="93"/>
      <c r="L759" s="77"/>
      <c r="M759" s="77"/>
      <c r="N759" s="77"/>
      <c r="O759" s="77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</row>
    <row r="760" spans="1:27" ht="12.75" customHeight="1" x14ac:dyDescent="0.25">
      <c r="A760" s="79"/>
      <c r="B760" s="79"/>
      <c r="C760" s="77"/>
      <c r="D760" s="80"/>
      <c r="E760" s="80"/>
      <c r="F760" s="86"/>
      <c r="G760" s="92"/>
      <c r="H760" s="92"/>
      <c r="I760" s="92"/>
      <c r="J760" s="93"/>
      <c r="K760" s="93"/>
      <c r="L760" s="77"/>
      <c r="M760" s="77"/>
      <c r="N760" s="77"/>
      <c r="O760" s="77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</row>
    <row r="761" spans="1:27" ht="12.75" customHeight="1" x14ac:dyDescent="0.25">
      <c r="A761" s="79"/>
      <c r="B761" s="79"/>
      <c r="C761" s="77"/>
      <c r="D761" s="80"/>
      <c r="E761" s="80"/>
      <c r="F761" s="86"/>
      <c r="G761" s="92"/>
      <c r="H761" s="92"/>
      <c r="I761" s="92"/>
      <c r="J761" s="93"/>
      <c r="K761" s="93"/>
      <c r="L761" s="77"/>
      <c r="M761" s="77"/>
      <c r="N761" s="77"/>
      <c r="O761" s="77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</row>
    <row r="762" spans="1:27" ht="12.75" customHeight="1" x14ac:dyDescent="0.25">
      <c r="A762" s="79"/>
      <c r="B762" s="79"/>
      <c r="C762" s="77"/>
      <c r="D762" s="80"/>
      <c r="E762" s="80"/>
      <c r="F762" s="86"/>
      <c r="G762" s="92"/>
      <c r="H762" s="92"/>
      <c r="I762" s="92"/>
      <c r="J762" s="93"/>
      <c r="K762" s="93"/>
      <c r="L762" s="77"/>
      <c r="M762" s="77"/>
      <c r="N762" s="77"/>
      <c r="O762" s="77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</row>
    <row r="763" spans="1:27" ht="12.75" customHeight="1" x14ac:dyDescent="0.25">
      <c r="A763" s="79"/>
      <c r="B763" s="79"/>
      <c r="C763" s="77"/>
      <c r="D763" s="80"/>
      <c r="E763" s="80"/>
      <c r="F763" s="86"/>
      <c r="G763" s="92"/>
      <c r="H763" s="92"/>
      <c r="I763" s="92"/>
      <c r="J763" s="93"/>
      <c r="K763" s="93"/>
      <c r="L763" s="77"/>
      <c r="M763" s="77"/>
      <c r="N763" s="77"/>
      <c r="O763" s="77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</row>
    <row r="764" spans="1:27" ht="12.75" customHeight="1" x14ac:dyDescent="0.25">
      <c r="A764" s="79"/>
      <c r="B764" s="79"/>
      <c r="C764" s="77"/>
      <c r="D764" s="80"/>
      <c r="E764" s="80"/>
      <c r="F764" s="86"/>
      <c r="G764" s="92"/>
      <c r="H764" s="92"/>
      <c r="I764" s="92"/>
      <c r="J764" s="93"/>
      <c r="K764" s="93"/>
      <c r="L764" s="77"/>
      <c r="M764" s="77"/>
      <c r="N764" s="77"/>
      <c r="O764" s="77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</row>
    <row r="765" spans="1:27" ht="12.75" customHeight="1" x14ac:dyDescent="0.25">
      <c r="A765" s="79"/>
      <c r="B765" s="79"/>
      <c r="C765" s="77"/>
      <c r="D765" s="80"/>
      <c r="E765" s="80"/>
      <c r="F765" s="86"/>
      <c r="G765" s="92"/>
      <c r="H765" s="92"/>
      <c r="I765" s="92"/>
      <c r="J765" s="93"/>
      <c r="K765" s="93"/>
      <c r="L765" s="77"/>
      <c r="M765" s="77"/>
      <c r="N765" s="77"/>
      <c r="O765" s="77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</row>
    <row r="766" spans="1:27" ht="12.75" customHeight="1" x14ac:dyDescent="0.25">
      <c r="A766" s="79"/>
      <c r="B766" s="79"/>
      <c r="C766" s="77"/>
      <c r="D766" s="80"/>
      <c r="E766" s="80"/>
      <c r="F766" s="86"/>
      <c r="G766" s="92"/>
      <c r="H766" s="92"/>
      <c r="I766" s="92"/>
      <c r="J766" s="93"/>
      <c r="K766" s="93"/>
      <c r="L766" s="77"/>
      <c r="M766" s="77"/>
      <c r="N766" s="77"/>
      <c r="O766" s="77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</row>
    <row r="767" spans="1:27" ht="12.75" customHeight="1" x14ac:dyDescent="0.25">
      <c r="A767" s="79"/>
      <c r="B767" s="79"/>
      <c r="C767" s="77"/>
      <c r="D767" s="80"/>
      <c r="E767" s="80"/>
      <c r="F767" s="86"/>
      <c r="G767" s="92"/>
      <c r="H767" s="92"/>
      <c r="I767" s="92"/>
      <c r="J767" s="93"/>
      <c r="K767" s="93"/>
      <c r="L767" s="77"/>
      <c r="M767" s="77"/>
      <c r="N767" s="77"/>
      <c r="O767" s="77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</row>
    <row r="768" spans="1:27" ht="12.75" customHeight="1" x14ac:dyDescent="0.25">
      <c r="A768" s="79"/>
      <c r="B768" s="79"/>
      <c r="C768" s="77"/>
      <c r="D768" s="80"/>
      <c r="E768" s="80"/>
      <c r="F768" s="86"/>
      <c r="G768" s="92"/>
      <c r="H768" s="92"/>
      <c r="I768" s="92"/>
      <c r="J768" s="93"/>
      <c r="K768" s="93"/>
      <c r="L768" s="77"/>
      <c r="M768" s="77"/>
      <c r="N768" s="77"/>
      <c r="O768" s="77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</row>
    <row r="769" spans="1:27" ht="12.75" customHeight="1" x14ac:dyDescent="0.25">
      <c r="A769" s="79"/>
      <c r="B769" s="79"/>
      <c r="C769" s="77"/>
      <c r="D769" s="80"/>
      <c r="E769" s="80"/>
      <c r="F769" s="86"/>
      <c r="G769" s="92"/>
      <c r="H769" s="92"/>
      <c r="I769" s="92"/>
      <c r="J769" s="93"/>
      <c r="K769" s="93"/>
      <c r="L769" s="77"/>
      <c r="M769" s="77"/>
      <c r="N769" s="77"/>
      <c r="O769" s="77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</row>
    <row r="770" spans="1:27" ht="12.75" customHeight="1" x14ac:dyDescent="0.25">
      <c r="A770" s="79"/>
      <c r="B770" s="79"/>
      <c r="C770" s="77"/>
      <c r="D770" s="80"/>
      <c r="E770" s="80"/>
      <c r="F770" s="86"/>
      <c r="G770" s="92"/>
      <c r="H770" s="92"/>
      <c r="I770" s="92"/>
      <c r="J770" s="93"/>
      <c r="K770" s="93"/>
      <c r="L770" s="77"/>
      <c r="M770" s="77"/>
      <c r="N770" s="77"/>
      <c r="O770" s="77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</row>
    <row r="771" spans="1:27" ht="12.75" customHeight="1" x14ac:dyDescent="0.25">
      <c r="A771" s="79"/>
      <c r="B771" s="79"/>
      <c r="C771" s="77"/>
      <c r="D771" s="80"/>
      <c r="E771" s="80"/>
      <c r="F771" s="86"/>
      <c r="G771" s="92"/>
      <c r="H771" s="92"/>
      <c r="I771" s="92"/>
      <c r="J771" s="93"/>
      <c r="K771" s="93"/>
      <c r="L771" s="77"/>
      <c r="M771" s="77"/>
      <c r="N771" s="77"/>
      <c r="O771" s="77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</row>
    <row r="772" spans="1:27" ht="12.75" customHeight="1" x14ac:dyDescent="0.25">
      <c r="A772" s="79"/>
      <c r="B772" s="79"/>
      <c r="C772" s="77"/>
      <c r="D772" s="80"/>
      <c r="E772" s="80"/>
      <c r="F772" s="86"/>
      <c r="G772" s="92"/>
      <c r="H772" s="92"/>
      <c r="I772" s="92"/>
      <c r="J772" s="93"/>
      <c r="K772" s="93"/>
      <c r="L772" s="77"/>
      <c r="M772" s="77"/>
      <c r="N772" s="77"/>
      <c r="O772" s="77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</row>
    <row r="773" spans="1:27" ht="12.75" customHeight="1" x14ac:dyDescent="0.25">
      <c r="A773" s="79"/>
      <c r="B773" s="79"/>
      <c r="C773" s="77"/>
      <c r="D773" s="80"/>
      <c r="E773" s="80"/>
      <c r="F773" s="86"/>
      <c r="G773" s="92"/>
      <c r="H773" s="92"/>
      <c r="I773" s="92"/>
      <c r="J773" s="93"/>
      <c r="K773" s="93"/>
      <c r="L773" s="77"/>
      <c r="M773" s="77"/>
      <c r="N773" s="77"/>
      <c r="O773" s="77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</row>
    <row r="774" spans="1:27" ht="12.75" customHeight="1" x14ac:dyDescent="0.25">
      <c r="A774" s="79"/>
      <c r="B774" s="79"/>
      <c r="C774" s="77"/>
      <c r="D774" s="80"/>
      <c r="E774" s="80"/>
      <c r="F774" s="86"/>
      <c r="G774" s="92"/>
      <c r="H774" s="92"/>
      <c r="I774" s="92"/>
      <c r="J774" s="93"/>
      <c r="K774" s="93"/>
      <c r="L774" s="77"/>
      <c r="M774" s="77"/>
      <c r="N774" s="77"/>
      <c r="O774" s="77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</row>
    <row r="775" spans="1:27" ht="12.75" customHeight="1" x14ac:dyDescent="0.25">
      <c r="A775" s="79"/>
      <c r="B775" s="79"/>
      <c r="C775" s="77"/>
      <c r="D775" s="80"/>
      <c r="E775" s="80"/>
      <c r="F775" s="86"/>
      <c r="G775" s="92"/>
      <c r="H775" s="92"/>
      <c r="I775" s="92"/>
      <c r="J775" s="93"/>
      <c r="K775" s="93"/>
      <c r="L775" s="77"/>
      <c r="M775" s="77"/>
      <c r="N775" s="77"/>
      <c r="O775" s="77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</row>
    <row r="776" spans="1:27" ht="12.75" customHeight="1" x14ac:dyDescent="0.25">
      <c r="A776" s="79"/>
      <c r="B776" s="79"/>
      <c r="C776" s="77"/>
      <c r="D776" s="80"/>
      <c r="E776" s="80"/>
      <c r="F776" s="86"/>
      <c r="G776" s="92"/>
      <c r="H776" s="92"/>
      <c r="I776" s="92"/>
      <c r="J776" s="93"/>
      <c r="K776" s="93"/>
      <c r="L776" s="77"/>
      <c r="M776" s="77"/>
      <c r="N776" s="77"/>
      <c r="O776" s="77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</row>
    <row r="777" spans="1:27" ht="12.75" customHeight="1" x14ac:dyDescent="0.25">
      <c r="A777" s="79"/>
      <c r="B777" s="79"/>
      <c r="C777" s="77"/>
      <c r="D777" s="80"/>
      <c r="E777" s="80"/>
      <c r="F777" s="86"/>
      <c r="G777" s="92"/>
      <c r="H777" s="92"/>
      <c r="I777" s="92"/>
      <c r="J777" s="93"/>
      <c r="K777" s="93"/>
      <c r="L777" s="77"/>
      <c r="M777" s="77"/>
      <c r="N777" s="77"/>
      <c r="O777" s="77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</row>
    <row r="778" spans="1:27" ht="12.75" customHeight="1" x14ac:dyDescent="0.25">
      <c r="A778" s="79"/>
      <c r="B778" s="79"/>
      <c r="C778" s="77"/>
      <c r="D778" s="80"/>
      <c r="E778" s="80"/>
      <c r="F778" s="86"/>
      <c r="G778" s="92"/>
      <c r="H778" s="92"/>
      <c r="I778" s="92"/>
      <c r="J778" s="93"/>
      <c r="K778" s="93"/>
      <c r="L778" s="77"/>
      <c r="M778" s="77"/>
      <c r="N778" s="77"/>
      <c r="O778" s="77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</row>
    <row r="779" spans="1:27" ht="12.75" customHeight="1" x14ac:dyDescent="0.25">
      <c r="A779" s="79"/>
      <c r="B779" s="79"/>
      <c r="C779" s="77"/>
      <c r="D779" s="80"/>
      <c r="E779" s="80"/>
      <c r="F779" s="86"/>
      <c r="G779" s="92"/>
      <c r="H779" s="92"/>
      <c r="I779" s="92"/>
      <c r="J779" s="93"/>
      <c r="K779" s="93"/>
      <c r="L779" s="77"/>
      <c r="M779" s="77"/>
      <c r="N779" s="77"/>
      <c r="O779" s="77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</row>
    <row r="780" spans="1:27" ht="12.75" customHeight="1" x14ac:dyDescent="0.25">
      <c r="A780" s="79"/>
      <c r="B780" s="79"/>
      <c r="C780" s="77"/>
      <c r="D780" s="80"/>
      <c r="E780" s="80"/>
      <c r="F780" s="86"/>
      <c r="G780" s="92"/>
      <c r="H780" s="92"/>
      <c r="I780" s="92"/>
      <c r="J780" s="93"/>
      <c r="K780" s="93"/>
      <c r="L780" s="77"/>
      <c r="M780" s="77"/>
      <c r="N780" s="77"/>
      <c r="O780" s="77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</row>
    <row r="781" spans="1:27" ht="12.75" customHeight="1" x14ac:dyDescent="0.25">
      <c r="A781" s="79"/>
      <c r="B781" s="79"/>
      <c r="C781" s="77"/>
      <c r="D781" s="80"/>
      <c r="E781" s="80"/>
      <c r="F781" s="86"/>
      <c r="G781" s="92"/>
      <c r="H781" s="92"/>
      <c r="I781" s="92"/>
      <c r="J781" s="93"/>
      <c r="K781" s="93"/>
      <c r="L781" s="77"/>
      <c r="M781" s="77"/>
      <c r="N781" s="77"/>
      <c r="O781" s="77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</row>
    <row r="782" spans="1:27" ht="12.75" customHeight="1" x14ac:dyDescent="0.25">
      <c r="A782" s="79"/>
      <c r="B782" s="79"/>
      <c r="C782" s="77"/>
      <c r="D782" s="80"/>
      <c r="E782" s="80"/>
      <c r="F782" s="86"/>
      <c r="G782" s="92"/>
      <c r="H782" s="92"/>
      <c r="I782" s="92"/>
      <c r="J782" s="93"/>
      <c r="K782" s="93"/>
      <c r="L782" s="77"/>
      <c r="M782" s="77"/>
      <c r="N782" s="77"/>
      <c r="O782" s="77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</row>
    <row r="783" spans="1:27" ht="12.75" customHeight="1" x14ac:dyDescent="0.25">
      <c r="A783" s="79"/>
      <c r="B783" s="79"/>
      <c r="C783" s="77"/>
      <c r="D783" s="80"/>
      <c r="E783" s="80"/>
      <c r="F783" s="86"/>
      <c r="G783" s="92"/>
      <c r="H783" s="92"/>
      <c r="I783" s="92"/>
      <c r="J783" s="93"/>
      <c r="K783" s="93"/>
      <c r="L783" s="77"/>
      <c r="M783" s="77"/>
      <c r="N783" s="77"/>
      <c r="O783" s="77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</row>
    <row r="784" spans="1:27" ht="12.75" customHeight="1" x14ac:dyDescent="0.25">
      <c r="A784" s="79"/>
      <c r="B784" s="79"/>
      <c r="C784" s="77"/>
      <c r="D784" s="80"/>
      <c r="E784" s="80"/>
      <c r="F784" s="86"/>
      <c r="G784" s="92"/>
      <c r="H784" s="92"/>
      <c r="I784" s="92"/>
      <c r="J784" s="93"/>
      <c r="K784" s="93"/>
      <c r="L784" s="77"/>
      <c r="M784" s="77"/>
      <c r="N784" s="77"/>
      <c r="O784" s="77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</row>
    <row r="785" spans="1:27" ht="12.75" customHeight="1" x14ac:dyDescent="0.25">
      <c r="A785" s="79"/>
      <c r="B785" s="79"/>
      <c r="C785" s="77"/>
      <c r="D785" s="80"/>
      <c r="E785" s="80"/>
      <c r="F785" s="86"/>
      <c r="G785" s="92"/>
      <c r="H785" s="92"/>
      <c r="I785" s="92"/>
      <c r="J785" s="93"/>
      <c r="K785" s="93"/>
      <c r="L785" s="77"/>
      <c r="M785" s="77"/>
      <c r="N785" s="77"/>
      <c r="O785" s="77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</row>
    <row r="786" spans="1:27" ht="12.75" customHeight="1" x14ac:dyDescent="0.25">
      <c r="A786" s="79"/>
      <c r="B786" s="79"/>
      <c r="C786" s="77"/>
      <c r="D786" s="80"/>
      <c r="E786" s="80"/>
      <c r="F786" s="86"/>
      <c r="G786" s="92"/>
      <c r="H786" s="92"/>
      <c r="I786" s="92"/>
      <c r="J786" s="93"/>
      <c r="K786" s="93"/>
      <c r="L786" s="77"/>
      <c r="M786" s="77"/>
      <c r="N786" s="77"/>
      <c r="O786" s="77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</row>
    <row r="787" spans="1:27" ht="12.75" customHeight="1" x14ac:dyDescent="0.25">
      <c r="A787" s="79"/>
      <c r="B787" s="79"/>
      <c r="C787" s="77"/>
      <c r="D787" s="80"/>
      <c r="E787" s="80"/>
      <c r="F787" s="86"/>
      <c r="G787" s="92"/>
      <c r="H787" s="92"/>
      <c r="I787" s="92"/>
      <c r="J787" s="93"/>
      <c r="K787" s="93"/>
      <c r="L787" s="77"/>
      <c r="M787" s="77"/>
      <c r="N787" s="77"/>
      <c r="O787" s="77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</row>
    <row r="788" spans="1:27" ht="12.75" customHeight="1" x14ac:dyDescent="0.25">
      <c r="A788" s="79"/>
      <c r="B788" s="79"/>
      <c r="C788" s="77"/>
      <c r="D788" s="80"/>
      <c r="E788" s="80"/>
      <c r="F788" s="86"/>
      <c r="G788" s="92"/>
      <c r="H788" s="92"/>
      <c r="I788" s="92"/>
      <c r="J788" s="93"/>
      <c r="K788" s="93"/>
      <c r="L788" s="77"/>
      <c r="M788" s="77"/>
      <c r="N788" s="77"/>
      <c r="O788" s="77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</row>
    <row r="789" spans="1:27" ht="12.75" customHeight="1" x14ac:dyDescent="0.25">
      <c r="A789" s="79"/>
      <c r="B789" s="79"/>
      <c r="C789" s="77"/>
      <c r="D789" s="80"/>
      <c r="E789" s="80"/>
      <c r="F789" s="86"/>
      <c r="G789" s="92"/>
      <c r="H789" s="92"/>
      <c r="I789" s="92"/>
      <c r="J789" s="93"/>
      <c r="K789" s="93"/>
      <c r="L789" s="77"/>
      <c r="M789" s="77"/>
      <c r="N789" s="77"/>
      <c r="O789" s="77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</row>
    <row r="790" spans="1:27" ht="12.75" customHeight="1" x14ac:dyDescent="0.25">
      <c r="A790" s="79"/>
      <c r="B790" s="79"/>
      <c r="C790" s="77"/>
      <c r="D790" s="80"/>
      <c r="E790" s="80"/>
      <c r="F790" s="86"/>
      <c r="G790" s="92"/>
      <c r="H790" s="92"/>
      <c r="I790" s="92"/>
      <c r="J790" s="93"/>
      <c r="K790" s="93"/>
      <c r="L790" s="77"/>
      <c r="M790" s="77"/>
      <c r="N790" s="77"/>
      <c r="O790" s="77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</row>
    <row r="791" spans="1:27" ht="12.75" customHeight="1" x14ac:dyDescent="0.25">
      <c r="A791" s="79"/>
      <c r="B791" s="79"/>
      <c r="C791" s="77"/>
      <c r="D791" s="80"/>
      <c r="E791" s="80"/>
      <c r="F791" s="86"/>
      <c r="G791" s="92"/>
      <c r="H791" s="92"/>
      <c r="I791" s="92"/>
      <c r="J791" s="93"/>
      <c r="K791" s="93"/>
      <c r="L791" s="77"/>
      <c r="M791" s="77"/>
      <c r="N791" s="77"/>
      <c r="O791" s="77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</row>
    <row r="792" spans="1:27" ht="12.75" customHeight="1" x14ac:dyDescent="0.25">
      <c r="A792" s="79"/>
      <c r="B792" s="79"/>
      <c r="C792" s="77"/>
      <c r="D792" s="80"/>
      <c r="E792" s="80"/>
      <c r="F792" s="86"/>
      <c r="G792" s="92"/>
      <c r="H792" s="92"/>
      <c r="I792" s="92"/>
      <c r="J792" s="93"/>
      <c r="K792" s="93"/>
      <c r="L792" s="77"/>
      <c r="M792" s="77"/>
      <c r="N792" s="77"/>
      <c r="O792" s="77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</row>
    <row r="793" spans="1:27" ht="12.75" customHeight="1" x14ac:dyDescent="0.25">
      <c r="A793" s="79"/>
      <c r="B793" s="79"/>
      <c r="C793" s="77"/>
      <c r="D793" s="80"/>
      <c r="E793" s="80"/>
      <c r="F793" s="86"/>
      <c r="G793" s="92"/>
      <c r="H793" s="92"/>
      <c r="I793" s="92"/>
      <c r="J793" s="93"/>
      <c r="K793" s="93"/>
      <c r="L793" s="77"/>
      <c r="M793" s="77"/>
      <c r="N793" s="77"/>
      <c r="O793" s="77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</row>
    <row r="794" spans="1:27" ht="12.75" customHeight="1" x14ac:dyDescent="0.25">
      <c r="A794" s="79"/>
      <c r="B794" s="79"/>
      <c r="C794" s="77"/>
      <c r="D794" s="80"/>
      <c r="E794" s="80"/>
      <c r="F794" s="86"/>
      <c r="G794" s="92"/>
      <c r="H794" s="92"/>
      <c r="I794" s="92"/>
      <c r="J794" s="93"/>
      <c r="K794" s="93"/>
      <c r="L794" s="77"/>
      <c r="M794" s="77"/>
      <c r="N794" s="77"/>
      <c r="O794" s="77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</row>
    <row r="795" spans="1:27" ht="12.75" customHeight="1" x14ac:dyDescent="0.25">
      <c r="A795" s="79"/>
      <c r="B795" s="79"/>
      <c r="C795" s="77"/>
      <c r="D795" s="80"/>
      <c r="E795" s="80"/>
      <c r="F795" s="86"/>
      <c r="G795" s="92"/>
      <c r="H795" s="92"/>
      <c r="I795" s="92"/>
      <c r="J795" s="93"/>
      <c r="K795" s="93"/>
      <c r="L795" s="77"/>
      <c r="M795" s="77"/>
      <c r="N795" s="77"/>
      <c r="O795" s="77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</row>
    <row r="796" spans="1:27" ht="12.75" customHeight="1" x14ac:dyDescent="0.25">
      <c r="A796" s="79"/>
      <c r="B796" s="79"/>
      <c r="C796" s="77"/>
      <c r="D796" s="80"/>
      <c r="E796" s="80"/>
      <c r="F796" s="86"/>
      <c r="G796" s="92"/>
      <c r="H796" s="92"/>
      <c r="I796" s="92"/>
      <c r="J796" s="93"/>
      <c r="K796" s="93"/>
      <c r="L796" s="77"/>
      <c r="M796" s="77"/>
      <c r="N796" s="77"/>
      <c r="O796" s="77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</row>
    <row r="797" spans="1:27" ht="12.75" customHeight="1" x14ac:dyDescent="0.25">
      <c r="A797" s="79"/>
      <c r="B797" s="79"/>
      <c r="C797" s="77"/>
      <c r="D797" s="80"/>
      <c r="E797" s="80"/>
      <c r="F797" s="86"/>
      <c r="G797" s="92"/>
      <c r="H797" s="92"/>
      <c r="I797" s="92"/>
      <c r="J797" s="93"/>
      <c r="K797" s="93"/>
      <c r="L797" s="77"/>
      <c r="M797" s="77"/>
      <c r="N797" s="77"/>
      <c r="O797" s="77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</row>
    <row r="798" spans="1:27" ht="12.75" customHeight="1" x14ac:dyDescent="0.25">
      <c r="A798" s="79"/>
      <c r="B798" s="79"/>
      <c r="C798" s="77"/>
      <c r="D798" s="80"/>
      <c r="E798" s="80"/>
      <c r="F798" s="86"/>
      <c r="G798" s="92"/>
      <c r="H798" s="92"/>
      <c r="I798" s="92"/>
      <c r="J798" s="93"/>
      <c r="K798" s="93"/>
      <c r="L798" s="77"/>
      <c r="M798" s="77"/>
      <c r="N798" s="77"/>
      <c r="O798" s="77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</row>
    <row r="799" spans="1:27" ht="12.75" customHeight="1" x14ac:dyDescent="0.25">
      <c r="A799" s="79"/>
      <c r="B799" s="79"/>
      <c r="C799" s="77"/>
      <c r="D799" s="80"/>
      <c r="E799" s="80"/>
      <c r="F799" s="86"/>
      <c r="G799" s="92"/>
      <c r="H799" s="92"/>
      <c r="I799" s="92"/>
      <c r="J799" s="93"/>
      <c r="K799" s="93"/>
      <c r="L799" s="77"/>
      <c r="M799" s="77"/>
      <c r="N799" s="77"/>
      <c r="O799" s="77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</row>
    <row r="800" spans="1:27" ht="12.75" customHeight="1" x14ac:dyDescent="0.25">
      <c r="A800" s="79"/>
      <c r="B800" s="79"/>
      <c r="C800" s="77"/>
      <c r="D800" s="80"/>
      <c r="E800" s="80"/>
      <c r="F800" s="86"/>
      <c r="G800" s="92"/>
      <c r="H800" s="92"/>
      <c r="I800" s="92"/>
      <c r="J800" s="93"/>
      <c r="K800" s="93"/>
      <c r="L800" s="77"/>
      <c r="M800" s="77"/>
      <c r="N800" s="77"/>
      <c r="O800" s="77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</row>
    <row r="801" spans="1:27" ht="12.75" customHeight="1" x14ac:dyDescent="0.25">
      <c r="A801" s="79"/>
      <c r="B801" s="79"/>
      <c r="C801" s="77"/>
      <c r="D801" s="80"/>
      <c r="E801" s="80"/>
      <c r="F801" s="86"/>
      <c r="G801" s="92"/>
      <c r="H801" s="92"/>
      <c r="I801" s="92"/>
      <c r="J801" s="93"/>
      <c r="K801" s="93"/>
      <c r="L801" s="77"/>
      <c r="M801" s="77"/>
      <c r="N801" s="77"/>
      <c r="O801" s="77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</row>
    <row r="802" spans="1:27" ht="12.75" customHeight="1" x14ac:dyDescent="0.25">
      <c r="A802" s="79"/>
      <c r="B802" s="79"/>
      <c r="C802" s="77"/>
      <c r="D802" s="80"/>
      <c r="E802" s="80"/>
      <c r="F802" s="86"/>
      <c r="G802" s="92"/>
      <c r="H802" s="92"/>
      <c r="I802" s="92"/>
      <c r="J802" s="93"/>
      <c r="K802" s="93"/>
      <c r="L802" s="77"/>
      <c r="M802" s="77"/>
      <c r="N802" s="77"/>
      <c r="O802" s="77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</row>
    <row r="803" spans="1:27" ht="12.75" customHeight="1" x14ac:dyDescent="0.25">
      <c r="A803" s="79"/>
      <c r="B803" s="79"/>
      <c r="C803" s="77"/>
      <c r="D803" s="80"/>
      <c r="E803" s="80"/>
      <c r="F803" s="86"/>
      <c r="G803" s="92"/>
      <c r="H803" s="92"/>
      <c r="I803" s="92"/>
      <c r="J803" s="93"/>
      <c r="K803" s="93"/>
      <c r="L803" s="77"/>
      <c r="M803" s="77"/>
      <c r="N803" s="77"/>
      <c r="O803" s="77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</row>
    <row r="804" spans="1:27" ht="12.75" customHeight="1" x14ac:dyDescent="0.25">
      <c r="A804" s="79"/>
      <c r="B804" s="79"/>
      <c r="C804" s="77"/>
      <c r="D804" s="80"/>
      <c r="E804" s="80"/>
      <c r="F804" s="86"/>
      <c r="G804" s="92"/>
      <c r="H804" s="92"/>
      <c r="I804" s="92"/>
      <c r="J804" s="93"/>
      <c r="K804" s="93"/>
      <c r="L804" s="77"/>
      <c r="M804" s="77"/>
      <c r="N804" s="77"/>
      <c r="O804" s="77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</row>
    <row r="805" spans="1:27" ht="12.75" customHeight="1" x14ac:dyDescent="0.25">
      <c r="A805" s="79"/>
      <c r="B805" s="79"/>
      <c r="C805" s="77"/>
      <c r="D805" s="80"/>
      <c r="E805" s="80"/>
      <c r="F805" s="86"/>
      <c r="G805" s="92"/>
      <c r="H805" s="92"/>
      <c r="I805" s="92"/>
      <c r="J805" s="93"/>
      <c r="K805" s="93"/>
      <c r="L805" s="77"/>
      <c r="M805" s="77"/>
      <c r="N805" s="77"/>
      <c r="O805" s="77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</row>
    <row r="806" spans="1:27" ht="12.75" customHeight="1" x14ac:dyDescent="0.25">
      <c r="A806" s="79"/>
      <c r="B806" s="79"/>
      <c r="C806" s="77"/>
      <c r="D806" s="80"/>
      <c r="E806" s="80"/>
      <c r="F806" s="86"/>
      <c r="G806" s="92"/>
      <c r="H806" s="92"/>
      <c r="I806" s="92"/>
      <c r="J806" s="93"/>
      <c r="K806" s="93"/>
      <c r="L806" s="77"/>
      <c r="M806" s="77"/>
      <c r="N806" s="77"/>
      <c r="O806" s="77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</row>
    <row r="807" spans="1:27" ht="12.75" customHeight="1" x14ac:dyDescent="0.25">
      <c r="A807" s="79"/>
      <c r="B807" s="79"/>
      <c r="C807" s="77"/>
      <c r="D807" s="80"/>
      <c r="E807" s="80"/>
      <c r="F807" s="86"/>
      <c r="G807" s="92"/>
      <c r="H807" s="92"/>
      <c r="I807" s="92"/>
      <c r="J807" s="93"/>
      <c r="K807" s="93"/>
      <c r="L807" s="77"/>
      <c r="M807" s="77"/>
      <c r="N807" s="77"/>
      <c r="O807" s="77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</row>
    <row r="808" spans="1:27" ht="12.75" customHeight="1" x14ac:dyDescent="0.25">
      <c r="A808" s="79"/>
      <c r="B808" s="79"/>
      <c r="C808" s="77"/>
      <c r="D808" s="80"/>
      <c r="E808" s="80"/>
      <c r="F808" s="86"/>
      <c r="G808" s="92"/>
      <c r="H808" s="92"/>
      <c r="I808" s="92"/>
      <c r="J808" s="93"/>
      <c r="K808" s="93"/>
      <c r="L808" s="77"/>
      <c r="M808" s="77"/>
      <c r="N808" s="77"/>
      <c r="O808" s="77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</row>
    <row r="809" spans="1:27" ht="12.75" customHeight="1" x14ac:dyDescent="0.25">
      <c r="A809" s="79"/>
      <c r="B809" s="79"/>
      <c r="C809" s="77"/>
      <c r="D809" s="80"/>
      <c r="E809" s="80"/>
      <c r="F809" s="86"/>
      <c r="G809" s="92"/>
      <c r="H809" s="92"/>
      <c r="I809" s="92"/>
      <c r="J809" s="93"/>
      <c r="K809" s="93"/>
      <c r="L809" s="77"/>
      <c r="M809" s="77"/>
      <c r="N809" s="77"/>
      <c r="O809" s="77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</row>
    <row r="810" spans="1:27" ht="12.75" customHeight="1" x14ac:dyDescent="0.25">
      <c r="A810" s="79"/>
      <c r="B810" s="79"/>
      <c r="C810" s="77"/>
      <c r="D810" s="80"/>
      <c r="E810" s="80"/>
      <c r="F810" s="86"/>
      <c r="G810" s="92"/>
      <c r="H810" s="92"/>
      <c r="I810" s="92"/>
      <c r="J810" s="93"/>
      <c r="K810" s="93"/>
      <c r="L810" s="77"/>
      <c r="M810" s="77"/>
      <c r="N810" s="77"/>
      <c r="O810" s="77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</row>
    <row r="811" spans="1:27" ht="12.75" customHeight="1" x14ac:dyDescent="0.25">
      <c r="A811" s="79"/>
      <c r="B811" s="79"/>
      <c r="C811" s="77"/>
      <c r="D811" s="80"/>
      <c r="E811" s="80"/>
      <c r="F811" s="86"/>
      <c r="G811" s="92"/>
      <c r="H811" s="92"/>
      <c r="I811" s="92"/>
      <c r="J811" s="93"/>
      <c r="K811" s="93"/>
      <c r="L811" s="77"/>
      <c r="M811" s="77"/>
      <c r="N811" s="77"/>
      <c r="O811" s="77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</row>
    <row r="812" spans="1:27" ht="12.75" customHeight="1" x14ac:dyDescent="0.25">
      <c r="A812" s="79"/>
      <c r="B812" s="79"/>
      <c r="C812" s="77"/>
      <c r="D812" s="80"/>
      <c r="E812" s="80"/>
      <c r="F812" s="86"/>
      <c r="G812" s="92"/>
      <c r="H812" s="92"/>
      <c r="I812" s="92"/>
      <c r="J812" s="93"/>
      <c r="K812" s="93"/>
      <c r="L812" s="77"/>
      <c r="M812" s="77"/>
      <c r="N812" s="77"/>
      <c r="O812" s="77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</row>
    <row r="813" spans="1:27" ht="12.75" customHeight="1" x14ac:dyDescent="0.25">
      <c r="A813" s="79"/>
      <c r="B813" s="79"/>
      <c r="C813" s="77"/>
      <c r="D813" s="80"/>
      <c r="E813" s="80"/>
      <c r="F813" s="86"/>
      <c r="G813" s="92"/>
      <c r="H813" s="92"/>
      <c r="I813" s="92"/>
      <c r="J813" s="93"/>
      <c r="K813" s="93"/>
      <c r="L813" s="77"/>
      <c r="M813" s="77"/>
      <c r="N813" s="77"/>
      <c r="O813" s="77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</row>
    <row r="814" spans="1:27" ht="12.75" customHeight="1" x14ac:dyDescent="0.25">
      <c r="A814" s="79"/>
      <c r="B814" s="79"/>
      <c r="C814" s="77"/>
      <c r="D814" s="80"/>
      <c r="E814" s="80"/>
      <c r="F814" s="86"/>
      <c r="G814" s="92"/>
      <c r="H814" s="92"/>
      <c r="I814" s="92"/>
      <c r="J814" s="93"/>
      <c r="K814" s="93"/>
      <c r="L814" s="77"/>
      <c r="M814" s="77"/>
      <c r="N814" s="77"/>
      <c r="O814" s="77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</row>
    <row r="815" spans="1:27" ht="12.75" customHeight="1" x14ac:dyDescent="0.25">
      <c r="A815" s="79"/>
      <c r="B815" s="79"/>
      <c r="C815" s="77"/>
      <c r="D815" s="80"/>
      <c r="E815" s="80"/>
      <c r="F815" s="86"/>
      <c r="G815" s="92"/>
      <c r="H815" s="92"/>
      <c r="I815" s="92"/>
      <c r="J815" s="93"/>
      <c r="K815" s="93"/>
      <c r="L815" s="77"/>
      <c r="M815" s="77"/>
      <c r="N815" s="77"/>
      <c r="O815" s="77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</row>
    <row r="816" spans="1:27" ht="12.75" customHeight="1" x14ac:dyDescent="0.25">
      <c r="A816" s="79"/>
      <c r="B816" s="79"/>
      <c r="C816" s="77"/>
      <c r="D816" s="80"/>
      <c r="E816" s="80"/>
      <c r="F816" s="86"/>
      <c r="G816" s="92"/>
      <c r="H816" s="92"/>
      <c r="I816" s="92"/>
      <c r="J816" s="93"/>
      <c r="K816" s="93"/>
      <c r="L816" s="77"/>
      <c r="M816" s="77"/>
      <c r="N816" s="77"/>
      <c r="O816" s="77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</row>
    <row r="817" spans="1:27" ht="12.75" customHeight="1" x14ac:dyDescent="0.25">
      <c r="A817" s="79"/>
      <c r="B817" s="79"/>
      <c r="C817" s="77"/>
      <c r="D817" s="80"/>
      <c r="E817" s="80"/>
      <c r="F817" s="86"/>
      <c r="G817" s="92"/>
      <c r="H817" s="92"/>
      <c r="I817" s="92"/>
      <c r="J817" s="93"/>
      <c r="K817" s="93"/>
      <c r="L817" s="77"/>
      <c r="M817" s="77"/>
      <c r="N817" s="77"/>
      <c r="O817" s="77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</row>
    <row r="818" spans="1:27" ht="12.75" customHeight="1" x14ac:dyDescent="0.25">
      <c r="A818" s="79"/>
      <c r="B818" s="79"/>
      <c r="C818" s="77"/>
      <c r="D818" s="80"/>
      <c r="E818" s="80"/>
      <c r="F818" s="86"/>
      <c r="G818" s="92"/>
      <c r="H818" s="92"/>
      <c r="I818" s="92"/>
      <c r="J818" s="93"/>
      <c r="K818" s="93"/>
      <c r="L818" s="77"/>
      <c r="M818" s="77"/>
      <c r="N818" s="77"/>
      <c r="O818" s="77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</row>
    <row r="819" spans="1:27" ht="12.75" customHeight="1" x14ac:dyDescent="0.25">
      <c r="A819" s="79"/>
      <c r="B819" s="79"/>
      <c r="C819" s="77"/>
      <c r="D819" s="80"/>
      <c r="E819" s="80"/>
      <c r="F819" s="86"/>
      <c r="G819" s="92"/>
      <c r="H819" s="92"/>
      <c r="I819" s="92"/>
      <c r="J819" s="93"/>
      <c r="K819" s="93"/>
      <c r="L819" s="77"/>
      <c r="M819" s="77"/>
      <c r="N819" s="77"/>
      <c r="O819" s="77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</row>
    <row r="820" spans="1:27" ht="12.75" customHeight="1" x14ac:dyDescent="0.25">
      <c r="A820" s="79"/>
      <c r="B820" s="79"/>
      <c r="C820" s="77"/>
      <c r="D820" s="80"/>
      <c r="E820" s="80"/>
      <c r="F820" s="86"/>
      <c r="G820" s="92"/>
      <c r="H820" s="92"/>
      <c r="I820" s="92"/>
      <c r="J820" s="93"/>
      <c r="K820" s="93"/>
      <c r="L820" s="77"/>
      <c r="M820" s="77"/>
      <c r="N820" s="77"/>
      <c r="O820" s="77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</row>
    <row r="821" spans="1:27" ht="12.75" customHeight="1" x14ac:dyDescent="0.25">
      <c r="A821" s="79"/>
      <c r="B821" s="79"/>
      <c r="C821" s="77"/>
      <c r="D821" s="80"/>
      <c r="E821" s="80"/>
      <c r="F821" s="86"/>
      <c r="G821" s="92"/>
      <c r="H821" s="92"/>
      <c r="I821" s="92"/>
      <c r="J821" s="93"/>
      <c r="K821" s="93"/>
      <c r="L821" s="77"/>
      <c r="M821" s="77"/>
      <c r="N821" s="77"/>
      <c r="O821" s="77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</row>
    <row r="822" spans="1:27" ht="12.75" customHeight="1" x14ac:dyDescent="0.25">
      <c r="A822" s="79"/>
      <c r="B822" s="79"/>
      <c r="C822" s="77"/>
      <c r="D822" s="80"/>
      <c r="E822" s="80"/>
      <c r="F822" s="86"/>
      <c r="G822" s="92"/>
      <c r="H822" s="92"/>
      <c r="I822" s="92"/>
      <c r="J822" s="93"/>
      <c r="K822" s="93"/>
      <c r="L822" s="77"/>
      <c r="M822" s="77"/>
      <c r="N822" s="77"/>
      <c r="O822" s="77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</row>
    <row r="823" spans="1:27" ht="12.75" customHeight="1" x14ac:dyDescent="0.25">
      <c r="A823" s="79"/>
      <c r="B823" s="79"/>
      <c r="C823" s="77"/>
      <c r="D823" s="80"/>
      <c r="E823" s="80"/>
      <c r="F823" s="86"/>
      <c r="G823" s="92"/>
      <c r="H823" s="92"/>
      <c r="I823" s="92"/>
      <c r="J823" s="93"/>
      <c r="K823" s="93"/>
      <c r="L823" s="77"/>
      <c r="M823" s="77"/>
      <c r="N823" s="77"/>
      <c r="O823" s="77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</row>
    <row r="824" spans="1:27" ht="12.75" customHeight="1" x14ac:dyDescent="0.25">
      <c r="A824" s="79"/>
      <c r="B824" s="79"/>
      <c r="C824" s="77"/>
      <c r="D824" s="80"/>
      <c r="E824" s="80"/>
      <c r="F824" s="86"/>
      <c r="G824" s="92"/>
      <c r="H824" s="92"/>
      <c r="I824" s="92"/>
      <c r="J824" s="93"/>
      <c r="K824" s="93"/>
      <c r="L824" s="77"/>
      <c r="M824" s="77"/>
      <c r="N824" s="77"/>
      <c r="O824" s="77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</row>
    <row r="825" spans="1:27" ht="12.75" customHeight="1" x14ac:dyDescent="0.25">
      <c r="A825" s="79"/>
      <c r="B825" s="79"/>
      <c r="C825" s="77"/>
      <c r="D825" s="80"/>
      <c r="E825" s="80"/>
      <c r="F825" s="86"/>
      <c r="G825" s="92"/>
      <c r="H825" s="92"/>
      <c r="I825" s="92"/>
      <c r="J825" s="93"/>
      <c r="K825" s="93"/>
      <c r="L825" s="77"/>
      <c r="M825" s="77"/>
      <c r="N825" s="77"/>
      <c r="O825" s="77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</row>
    <row r="826" spans="1:27" ht="12.75" customHeight="1" x14ac:dyDescent="0.25">
      <c r="A826" s="79"/>
      <c r="B826" s="79"/>
      <c r="C826" s="77"/>
      <c r="D826" s="80"/>
      <c r="E826" s="80"/>
      <c r="F826" s="86"/>
      <c r="G826" s="92"/>
      <c r="H826" s="92"/>
      <c r="I826" s="92"/>
      <c r="J826" s="93"/>
      <c r="K826" s="93"/>
      <c r="L826" s="77"/>
      <c r="M826" s="77"/>
      <c r="N826" s="77"/>
      <c r="O826" s="77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</row>
    <row r="827" spans="1:27" ht="12.75" customHeight="1" x14ac:dyDescent="0.25">
      <c r="A827" s="79"/>
      <c r="B827" s="79"/>
      <c r="C827" s="77"/>
      <c r="D827" s="80"/>
      <c r="E827" s="80"/>
      <c r="F827" s="86"/>
      <c r="G827" s="92"/>
      <c r="H827" s="92"/>
      <c r="I827" s="92"/>
      <c r="J827" s="93"/>
      <c r="K827" s="93"/>
      <c r="L827" s="77"/>
      <c r="M827" s="77"/>
      <c r="N827" s="77"/>
      <c r="O827" s="77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</row>
    <row r="828" spans="1:27" ht="12.75" customHeight="1" x14ac:dyDescent="0.25">
      <c r="A828" s="79"/>
      <c r="B828" s="79"/>
      <c r="C828" s="77"/>
      <c r="D828" s="80"/>
      <c r="E828" s="80"/>
      <c r="F828" s="86"/>
      <c r="G828" s="92"/>
      <c r="H828" s="92"/>
      <c r="I828" s="92"/>
      <c r="J828" s="93"/>
      <c r="K828" s="93"/>
      <c r="L828" s="77"/>
      <c r="M828" s="77"/>
      <c r="N828" s="77"/>
      <c r="O828" s="77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</row>
    <row r="829" spans="1:27" ht="12.75" customHeight="1" x14ac:dyDescent="0.25">
      <c r="A829" s="79"/>
      <c r="B829" s="79"/>
      <c r="C829" s="77"/>
      <c r="D829" s="80"/>
      <c r="E829" s="80"/>
      <c r="F829" s="86"/>
      <c r="G829" s="92"/>
      <c r="H829" s="92"/>
      <c r="I829" s="92"/>
      <c r="J829" s="93"/>
      <c r="K829" s="93"/>
      <c r="L829" s="77"/>
      <c r="M829" s="77"/>
      <c r="N829" s="77"/>
      <c r="O829" s="77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</row>
    <row r="830" spans="1:27" ht="12.75" customHeight="1" x14ac:dyDescent="0.25">
      <c r="A830" s="79"/>
      <c r="B830" s="79"/>
      <c r="C830" s="77"/>
      <c r="D830" s="80"/>
      <c r="E830" s="80"/>
      <c r="F830" s="86"/>
      <c r="G830" s="92"/>
      <c r="H830" s="92"/>
      <c r="I830" s="92"/>
      <c r="J830" s="93"/>
      <c r="K830" s="93"/>
      <c r="L830" s="77"/>
      <c r="M830" s="77"/>
      <c r="N830" s="77"/>
      <c r="O830" s="77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</row>
    <row r="831" spans="1:27" ht="12.75" customHeight="1" x14ac:dyDescent="0.25">
      <c r="A831" s="79"/>
      <c r="B831" s="79"/>
      <c r="C831" s="77"/>
      <c r="D831" s="80"/>
      <c r="E831" s="80"/>
      <c r="F831" s="86"/>
      <c r="G831" s="92"/>
      <c r="H831" s="92"/>
      <c r="I831" s="92"/>
      <c r="J831" s="93"/>
      <c r="K831" s="93"/>
      <c r="L831" s="77"/>
      <c r="M831" s="77"/>
      <c r="N831" s="77"/>
      <c r="O831" s="77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</row>
    <row r="832" spans="1:27" ht="12.75" customHeight="1" x14ac:dyDescent="0.25">
      <c r="A832" s="79"/>
      <c r="B832" s="79"/>
      <c r="C832" s="77"/>
      <c r="D832" s="80"/>
      <c r="E832" s="80"/>
      <c r="F832" s="86"/>
      <c r="G832" s="92"/>
      <c r="H832" s="92"/>
      <c r="I832" s="92"/>
      <c r="J832" s="93"/>
      <c r="K832" s="93"/>
      <c r="L832" s="77"/>
      <c r="M832" s="77"/>
      <c r="N832" s="77"/>
      <c r="O832" s="77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</row>
    <row r="833" spans="1:27" ht="12.75" customHeight="1" x14ac:dyDescent="0.25">
      <c r="A833" s="79"/>
      <c r="B833" s="79"/>
      <c r="C833" s="77"/>
      <c r="D833" s="80"/>
      <c r="E833" s="80"/>
      <c r="F833" s="86"/>
      <c r="G833" s="92"/>
      <c r="H833" s="92"/>
      <c r="I833" s="92"/>
      <c r="J833" s="93"/>
      <c r="K833" s="93"/>
      <c r="L833" s="77"/>
      <c r="M833" s="77"/>
      <c r="N833" s="77"/>
      <c r="O833" s="77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</row>
    <row r="834" spans="1:27" ht="12.75" customHeight="1" x14ac:dyDescent="0.25">
      <c r="A834" s="79"/>
      <c r="B834" s="79"/>
      <c r="C834" s="77"/>
      <c r="D834" s="80"/>
      <c r="E834" s="80"/>
      <c r="F834" s="86"/>
      <c r="G834" s="92"/>
      <c r="H834" s="92"/>
      <c r="I834" s="92"/>
      <c r="J834" s="93"/>
      <c r="K834" s="93"/>
      <c r="L834" s="77"/>
      <c r="M834" s="77"/>
      <c r="N834" s="77"/>
      <c r="O834" s="77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</row>
    <row r="835" spans="1:27" ht="12.75" customHeight="1" x14ac:dyDescent="0.25">
      <c r="A835" s="79"/>
      <c r="B835" s="79"/>
      <c r="C835" s="77"/>
      <c r="D835" s="80"/>
      <c r="E835" s="80"/>
      <c r="F835" s="86"/>
      <c r="G835" s="92"/>
      <c r="H835" s="92"/>
      <c r="I835" s="92"/>
      <c r="J835" s="93"/>
      <c r="K835" s="93"/>
      <c r="L835" s="77"/>
      <c r="M835" s="77"/>
      <c r="N835" s="77"/>
      <c r="O835" s="77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</row>
    <row r="836" spans="1:27" ht="12.75" customHeight="1" x14ac:dyDescent="0.25">
      <c r="A836" s="79"/>
      <c r="B836" s="79"/>
      <c r="C836" s="77"/>
      <c r="D836" s="80"/>
      <c r="E836" s="80"/>
      <c r="F836" s="86"/>
      <c r="G836" s="92"/>
      <c r="H836" s="92"/>
      <c r="I836" s="92"/>
      <c r="J836" s="93"/>
      <c r="K836" s="93"/>
      <c r="L836" s="77"/>
      <c r="M836" s="77"/>
      <c r="N836" s="77"/>
      <c r="O836" s="77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</row>
    <row r="837" spans="1:27" ht="12.75" customHeight="1" x14ac:dyDescent="0.25">
      <c r="A837" s="79"/>
      <c r="B837" s="79"/>
      <c r="C837" s="77"/>
      <c r="D837" s="80"/>
      <c r="E837" s="80"/>
      <c r="F837" s="86"/>
      <c r="G837" s="92"/>
      <c r="H837" s="92"/>
      <c r="I837" s="92"/>
      <c r="J837" s="93"/>
      <c r="K837" s="93"/>
      <c r="L837" s="77"/>
      <c r="M837" s="77"/>
      <c r="N837" s="77"/>
      <c r="O837" s="77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</row>
    <row r="838" spans="1:27" ht="12.75" customHeight="1" x14ac:dyDescent="0.25">
      <c r="A838" s="79"/>
      <c r="B838" s="79"/>
      <c r="C838" s="77"/>
      <c r="D838" s="80"/>
      <c r="E838" s="80"/>
      <c r="F838" s="86"/>
      <c r="G838" s="92"/>
      <c r="H838" s="92"/>
      <c r="I838" s="92"/>
      <c r="J838" s="93"/>
      <c r="K838" s="93"/>
      <c r="L838" s="77"/>
      <c r="M838" s="77"/>
      <c r="N838" s="77"/>
      <c r="O838" s="77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</row>
    <row r="839" spans="1:27" ht="12.75" customHeight="1" x14ac:dyDescent="0.25">
      <c r="A839" s="79"/>
      <c r="B839" s="79"/>
      <c r="C839" s="77"/>
      <c r="D839" s="80"/>
      <c r="E839" s="80"/>
      <c r="F839" s="86"/>
      <c r="G839" s="92"/>
      <c r="H839" s="92"/>
      <c r="I839" s="92"/>
      <c r="J839" s="93"/>
      <c r="K839" s="93"/>
      <c r="L839" s="77"/>
      <c r="M839" s="77"/>
      <c r="N839" s="77"/>
      <c r="O839" s="77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</row>
    <row r="840" spans="1:27" ht="12.75" customHeight="1" x14ac:dyDescent="0.25">
      <c r="A840" s="79"/>
      <c r="B840" s="79"/>
      <c r="C840" s="77"/>
      <c r="D840" s="80"/>
      <c r="E840" s="80"/>
      <c r="F840" s="86"/>
      <c r="G840" s="92"/>
      <c r="H840" s="92"/>
      <c r="I840" s="92"/>
      <c r="J840" s="93"/>
      <c r="K840" s="93"/>
      <c r="L840" s="77"/>
      <c r="M840" s="77"/>
      <c r="N840" s="77"/>
      <c r="O840" s="77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</row>
    <row r="841" spans="1:27" ht="12.75" customHeight="1" x14ac:dyDescent="0.25">
      <c r="A841" s="79"/>
      <c r="B841" s="79"/>
      <c r="C841" s="77"/>
      <c r="D841" s="80"/>
      <c r="E841" s="80"/>
      <c r="F841" s="86"/>
      <c r="G841" s="92"/>
      <c r="H841" s="92"/>
      <c r="I841" s="92"/>
      <c r="J841" s="93"/>
      <c r="K841" s="93"/>
      <c r="L841" s="77"/>
      <c r="M841" s="77"/>
      <c r="N841" s="77"/>
      <c r="O841" s="77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</row>
    <row r="842" spans="1:27" ht="12.75" customHeight="1" x14ac:dyDescent="0.25">
      <c r="A842" s="79"/>
      <c r="B842" s="79"/>
      <c r="C842" s="77"/>
      <c r="D842" s="80"/>
      <c r="E842" s="80"/>
      <c r="F842" s="86"/>
      <c r="G842" s="92"/>
      <c r="H842" s="92"/>
      <c r="I842" s="92"/>
      <c r="J842" s="93"/>
      <c r="K842" s="93"/>
      <c r="L842" s="77"/>
      <c r="M842" s="77"/>
      <c r="N842" s="77"/>
      <c r="O842" s="77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</row>
    <row r="843" spans="1:27" ht="12.75" customHeight="1" x14ac:dyDescent="0.25">
      <c r="A843" s="79"/>
      <c r="B843" s="79"/>
      <c r="C843" s="77"/>
      <c r="D843" s="80"/>
      <c r="E843" s="80"/>
      <c r="F843" s="86"/>
      <c r="G843" s="92"/>
      <c r="H843" s="92"/>
      <c r="I843" s="92"/>
      <c r="J843" s="93"/>
      <c r="K843" s="93"/>
      <c r="L843" s="77"/>
      <c r="M843" s="77"/>
      <c r="N843" s="77"/>
      <c r="O843" s="77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</row>
    <row r="844" spans="1:27" ht="12.75" customHeight="1" x14ac:dyDescent="0.25">
      <c r="A844" s="79"/>
      <c r="B844" s="79"/>
      <c r="C844" s="77"/>
      <c r="D844" s="80"/>
      <c r="E844" s="80"/>
      <c r="F844" s="86"/>
      <c r="G844" s="92"/>
      <c r="H844" s="92"/>
      <c r="I844" s="92"/>
      <c r="J844" s="93"/>
      <c r="K844" s="93"/>
      <c r="L844" s="77"/>
      <c r="M844" s="77"/>
      <c r="N844" s="77"/>
      <c r="O844" s="77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</row>
    <row r="845" spans="1:27" ht="12.75" customHeight="1" x14ac:dyDescent="0.25">
      <c r="A845" s="79"/>
      <c r="B845" s="79"/>
      <c r="C845" s="77"/>
      <c r="D845" s="80"/>
      <c r="E845" s="80"/>
      <c r="F845" s="86"/>
      <c r="G845" s="92"/>
      <c r="H845" s="92"/>
      <c r="I845" s="92"/>
      <c r="J845" s="93"/>
      <c r="K845" s="93"/>
      <c r="L845" s="77"/>
      <c r="M845" s="77"/>
      <c r="N845" s="77"/>
      <c r="O845" s="77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</row>
    <row r="846" spans="1:27" ht="12.75" customHeight="1" x14ac:dyDescent="0.25">
      <c r="A846" s="79"/>
      <c r="B846" s="79"/>
      <c r="C846" s="77"/>
      <c r="D846" s="80"/>
      <c r="E846" s="80"/>
      <c r="F846" s="86"/>
      <c r="G846" s="92"/>
      <c r="H846" s="92"/>
      <c r="I846" s="92"/>
      <c r="J846" s="93"/>
      <c r="K846" s="93"/>
      <c r="L846" s="77"/>
      <c r="M846" s="77"/>
      <c r="N846" s="77"/>
      <c r="O846" s="77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</row>
    <row r="847" spans="1:27" ht="12.75" customHeight="1" x14ac:dyDescent="0.25">
      <c r="A847" s="79"/>
      <c r="B847" s="79"/>
      <c r="C847" s="77"/>
      <c r="D847" s="80"/>
      <c r="E847" s="80"/>
      <c r="F847" s="86"/>
      <c r="G847" s="92"/>
      <c r="H847" s="92"/>
      <c r="I847" s="92"/>
      <c r="J847" s="93"/>
      <c r="K847" s="93"/>
      <c r="L847" s="77"/>
      <c r="M847" s="77"/>
      <c r="N847" s="77"/>
      <c r="O847" s="77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</row>
    <row r="848" spans="1:27" ht="12.75" customHeight="1" x14ac:dyDescent="0.25">
      <c r="A848" s="79"/>
      <c r="B848" s="79"/>
      <c r="C848" s="77"/>
      <c r="D848" s="80"/>
      <c r="E848" s="80"/>
      <c r="F848" s="86"/>
      <c r="G848" s="92"/>
      <c r="H848" s="92"/>
      <c r="I848" s="92"/>
      <c r="J848" s="93"/>
      <c r="K848" s="93"/>
      <c r="L848" s="77"/>
      <c r="M848" s="77"/>
      <c r="N848" s="77"/>
      <c r="O848" s="77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</row>
    <row r="849" spans="1:27" ht="12.75" customHeight="1" x14ac:dyDescent="0.25">
      <c r="A849" s="79"/>
      <c r="B849" s="79"/>
      <c r="C849" s="77"/>
      <c r="D849" s="80"/>
      <c r="E849" s="80"/>
      <c r="F849" s="86"/>
      <c r="G849" s="92"/>
      <c r="H849" s="92"/>
      <c r="I849" s="92"/>
      <c r="J849" s="93"/>
      <c r="K849" s="93"/>
      <c r="L849" s="77"/>
      <c r="M849" s="77"/>
      <c r="N849" s="77"/>
      <c r="O849" s="77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</row>
    <row r="850" spans="1:27" ht="12.75" customHeight="1" x14ac:dyDescent="0.25">
      <c r="A850" s="79"/>
      <c r="B850" s="79"/>
      <c r="C850" s="77"/>
      <c r="D850" s="80"/>
      <c r="E850" s="80"/>
      <c r="F850" s="86"/>
      <c r="G850" s="92"/>
      <c r="H850" s="92"/>
      <c r="I850" s="92"/>
      <c r="J850" s="93"/>
      <c r="K850" s="93"/>
      <c r="L850" s="77"/>
      <c r="M850" s="77"/>
      <c r="N850" s="77"/>
      <c r="O850" s="77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</row>
    <row r="851" spans="1:27" ht="12.75" customHeight="1" x14ac:dyDescent="0.25">
      <c r="A851" s="79"/>
      <c r="B851" s="79"/>
      <c r="C851" s="77"/>
      <c r="D851" s="80"/>
      <c r="E851" s="80"/>
      <c r="F851" s="86"/>
      <c r="G851" s="92"/>
      <c r="H851" s="92"/>
      <c r="I851" s="92"/>
      <c r="J851" s="93"/>
      <c r="K851" s="93"/>
      <c r="L851" s="77"/>
      <c r="M851" s="77"/>
      <c r="N851" s="77"/>
      <c r="O851" s="77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</row>
    <row r="852" spans="1:27" ht="12.75" customHeight="1" x14ac:dyDescent="0.25">
      <c r="A852" s="79"/>
      <c r="B852" s="79"/>
      <c r="C852" s="77"/>
      <c r="D852" s="80"/>
      <c r="E852" s="80"/>
      <c r="F852" s="86"/>
      <c r="G852" s="92"/>
      <c r="H852" s="92"/>
      <c r="I852" s="92"/>
      <c r="J852" s="93"/>
      <c r="K852" s="93"/>
      <c r="L852" s="77"/>
      <c r="M852" s="77"/>
      <c r="N852" s="77"/>
      <c r="O852" s="77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</row>
    <row r="853" spans="1:27" ht="12.75" customHeight="1" x14ac:dyDescent="0.25">
      <c r="A853" s="79"/>
      <c r="B853" s="79"/>
      <c r="C853" s="77"/>
      <c r="D853" s="80"/>
      <c r="E853" s="80"/>
      <c r="F853" s="86"/>
      <c r="G853" s="92"/>
      <c r="H853" s="92"/>
      <c r="I853" s="92"/>
      <c r="J853" s="93"/>
      <c r="K853" s="93"/>
      <c r="L853" s="77"/>
      <c r="M853" s="77"/>
      <c r="N853" s="77"/>
      <c r="O853" s="77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</row>
    <row r="854" spans="1:27" ht="12.75" customHeight="1" x14ac:dyDescent="0.25">
      <c r="A854" s="79"/>
      <c r="B854" s="79"/>
      <c r="C854" s="77"/>
      <c r="D854" s="80"/>
      <c r="E854" s="80"/>
      <c r="F854" s="86"/>
      <c r="G854" s="92"/>
      <c r="H854" s="92"/>
      <c r="I854" s="92"/>
      <c r="J854" s="93"/>
      <c r="K854" s="93"/>
      <c r="L854" s="77"/>
      <c r="M854" s="77"/>
      <c r="N854" s="77"/>
      <c r="O854" s="77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</row>
    <row r="855" spans="1:27" ht="12.75" customHeight="1" x14ac:dyDescent="0.25">
      <c r="A855" s="79"/>
      <c r="B855" s="79"/>
      <c r="C855" s="77"/>
      <c r="D855" s="80"/>
      <c r="E855" s="80"/>
      <c r="F855" s="86"/>
      <c r="G855" s="92"/>
      <c r="H855" s="92"/>
      <c r="I855" s="92"/>
      <c r="J855" s="93"/>
      <c r="K855" s="93"/>
      <c r="L855" s="77"/>
      <c r="M855" s="77"/>
      <c r="N855" s="77"/>
      <c r="O855" s="77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</row>
    <row r="856" spans="1:27" ht="12.75" customHeight="1" x14ac:dyDescent="0.25">
      <c r="A856" s="79"/>
      <c r="B856" s="79"/>
      <c r="C856" s="77"/>
      <c r="D856" s="80"/>
      <c r="E856" s="80"/>
      <c r="F856" s="86"/>
      <c r="G856" s="92"/>
      <c r="H856" s="92"/>
      <c r="I856" s="92"/>
      <c r="J856" s="93"/>
      <c r="K856" s="93"/>
      <c r="L856" s="77"/>
      <c r="M856" s="77"/>
      <c r="N856" s="77"/>
      <c r="O856" s="77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</row>
    <row r="857" spans="1:27" ht="12.75" customHeight="1" x14ac:dyDescent="0.25">
      <c r="A857" s="79"/>
      <c r="B857" s="79"/>
      <c r="C857" s="77"/>
      <c r="D857" s="80"/>
      <c r="E857" s="80"/>
      <c r="F857" s="86"/>
      <c r="G857" s="92"/>
      <c r="H857" s="92"/>
      <c r="I857" s="92"/>
      <c r="J857" s="93"/>
      <c r="K857" s="93"/>
      <c r="L857" s="77"/>
      <c r="M857" s="77"/>
      <c r="N857" s="77"/>
      <c r="O857" s="77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</row>
    <row r="858" spans="1:27" ht="12.75" customHeight="1" x14ac:dyDescent="0.25">
      <c r="A858" s="79"/>
      <c r="B858" s="79"/>
      <c r="C858" s="77"/>
      <c r="D858" s="80"/>
      <c r="E858" s="80"/>
      <c r="F858" s="86"/>
      <c r="G858" s="92"/>
      <c r="H858" s="92"/>
      <c r="I858" s="92"/>
      <c r="J858" s="93"/>
      <c r="K858" s="93"/>
      <c r="L858" s="77"/>
      <c r="M858" s="77"/>
      <c r="N858" s="77"/>
      <c r="O858" s="77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</row>
    <row r="859" spans="1:27" ht="12.75" customHeight="1" x14ac:dyDescent="0.25">
      <c r="A859" s="79"/>
      <c r="B859" s="79"/>
      <c r="C859" s="77"/>
      <c r="D859" s="80"/>
      <c r="E859" s="80"/>
      <c r="F859" s="86"/>
      <c r="G859" s="92"/>
      <c r="H859" s="92"/>
      <c r="I859" s="92"/>
      <c r="J859" s="93"/>
      <c r="K859" s="93"/>
      <c r="L859" s="77"/>
      <c r="M859" s="77"/>
      <c r="N859" s="77"/>
      <c r="O859" s="77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</row>
    <row r="860" spans="1:27" ht="12.75" customHeight="1" x14ac:dyDescent="0.25">
      <c r="A860" s="79"/>
      <c r="B860" s="79"/>
      <c r="C860" s="77"/>
      <c r="D860" s="80"/>
      <c r="E860" s="80"/>
      <c r="F860" s="86"/>
      <c r="G860" s="92"/>
      <c r="H860" s="92"/>
      <c r="I860" s="92"/>
      <c r="J860" s="93"/>
      <c r="K860" s="93"/>
      <c r="L860" s="77"/>
      <c r="M860" s="77"/>
      <c r="N860" s="77"/>
      <c r="O860" s="77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</row>
    <row r="861" spans="1:27" ht="12.75" customHeight="1" x14ac:dyDescent="0.25">
      <c r="A861" s="79"/>
      <c r="B861" s="79"/>
      <c r="C861" s="77"/>
      <c r="D861" s="80"/>
      <c r="E861" s="80"/>
      <c r="F861" s="86"/>
      <c r="G861" s="92"/>
      <c r="H861" s="92"/>
      <c r="I861" s="92"/>
      <c r="J861" s="93"/>
      <c r="K861" s="93"/>
      <c r="L861" s="77"/>
      <c r="M861" s="77"/>
      <c r="N861" s="77"/>
      <c r="O861" s="77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</row>
    <row r="862" spans="1:27" ht="12.75" customHeight="1" x14ac:dyDescent="0.25">
      <c r="A862" s="79"/>
      <c r="B862" s="79"/>
      <c r="C862" s="77"/>
      <c r="D862" s="80"/>
      <c r="E862" s="80"/>
      <c r="F862" s="86"/>
      <c r="G862" s="92"/>
      <c r="H862" s="92"/>
      <c r="I862" s="92"/>
      <c r="J862" s="93"/>
      <c r="K862" s="93"/>
      <c r="L862" s="77"/>
      <c r="M862" s="77"/>
      <c r="N862" s="77"/>
      <c r="O862" s="77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</row>
    <row r="863" spans="1:27" ht="12.75" customHeight="1" x14ac:dyDescent="0.25">
      <c r="A863" s="79"/>
      <c r="B863" s="79"/>
      <c r="C863" s="77"/>
      <c r="D863" s="80"/>
      <c r="E863" s="80"/>
      <c r="F863" s="86"/>
      <c r="G863" s="92"/>
      <c r="H863" s="92"/>
      <c r="I863" s="92"/>
      <c r="J863" s="93"/>
      <c r="K863" s="93"/>
      <c r="L863" s="77"/>
      <c r="M863" s="77"/>
      <c r="N863" s="77"/>
      <c r="O863" s="77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</row>
    <row r="864" spans="1:27" ht="12.75" customHeight="1" x14ac:dyDescent="0.25">
      <c r="A864" s="79"/>
      <c r="B864" s="79"/>
      <c r="C864" s="77"/>
      <c r="D864" s="80"/>
      <c r="E864" s="80"/>
      <c r="F864" s="86"/>
      <c r="G864" s="92"/>
      <c r="H864" s="92"/>
      <c r="I864" s="92"/>
      <c r="J864" s="93"/>
      <c r="K864" s="93"/>
      <c r="L864" s="77"/>
      <c r="M864" s="77"/>
      <c r="N864" s="77"/>
      <c r="O864" s="77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</row>
    <row r="865" spans="1:27" ht="12.75" customHeight="1" x14ac:dyDescent="0.25">
      <c r="A865" s="79"/>
      <c r="B865" s="79"/>
      <c r="C865" s="77"/>
      <c r="D865" s="80"/>
      <c r="E865" s="80"/>
      <c r="F865" s="86"/>
      <c r="G865" s="92"/>
      <c r="H865" s="92"/>
      <c r="I865" s="92"/>
      <c r="J865" s="93"/>
      <c r="K865" s="93"/>
      <c r="L865" s="77"/>
      <c r="M865" s="77"/>
      <c r="N865" s="77"/>
      <c r="O865" s="77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</row>
    <row r="866" spans="1:27" ht="12.75" customHeight="1" x14ac:dyDescent="0.25">
      <c r="A866" s="79"/>
      <c r="B866" s="79"/>
      <c r="C866" s="77"/>
      <c r="D866" s="80"/>
      <c r="E866" s="80"/>
      <c r="F866" s="86"/>
      <c r="G866" s="92"/>
      <c r="H866" s="92"/>
      <c r="I866" s="92"/>
      <c r="J866" s="93"/>
      <c r="K866" s="93"/>
      <c r="L866" s="77"/>
      <c r="M866" s="77"/>
      <c r="N866" s="77"/>
      <c r="O866" s="77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</row>
    <row r="867" spans="1:27" ht="12.75" customHeight="1" x14ac:dyDescent="0.25">
      <c r="A867" s="79"/>
      <c r="B867" s="79"/>
      <c r="C867" s="77"/>
      <c r="D867" s="80"/>
      <c r="E867" s="80"/>
      <c r="F867" s="86"/>
      <c r="G867" s="92"/>
      <c r="H867" s="92"/>
      <c r="I867" s="92"/>
      <c r="J867" s="93"/>
      <c r="K867" s="93"/>
      <c r="L867" s="77"/>
      <c r="M867" s="77"/>
      <c r="N867" s="77"/>
      <c r="O867" s="77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</row>
    <row r="868" spans="1:27" ht="12.75" customHeight="1" x14ac:dyDescent="0.25">
      <c r="A868" s="79"/>
      <c r="B868" s="79"/>
      <c r="C868" s="77"/>
      <c r="D868" s="80"/>
      <c r="E868" s="80"/>
      <c r="F868" s="86"/>
      <c r="G868" s="92"/>
      <c r="H868" s="92"/>
      <c r="I868" s="92"/>
      <c r="J868" s="93"/>
      <c r="K868" s="93"/>
      <c r="L868" s="77"/>
      <c r="M868" s="77"/>
      <c r="N868" s="77"/>
      <c r="O868" s="77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</row>
    <row r="869" spans="1:27" ht="12.75" customHeight="1" x14ac:dyDescent="0.25">
      <c r="A869" s="79"/>
      <c r="B869" s="79"/>
      <c r="C869" s="77"/>
      <c r="D869" s="80"/>
      <c r="E869" s="80"/>
      <c r="F869" s="86"/>
      <c r="G869" s="92"/>
      <c r="H869" s="92"/>
      <c r="I869" s="92"/>
      <c r="J869" s="93"/>
      <c r="K869" s="93"/>
      <c r="L869" s="77"/>
      <c r="M869" s="77"/>
      <c r="N869" s="77"/>
      <c r="O869" s="77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</row>
    <row r="870" spans="1:27" ht="12.75" customHeight="1" x14ac:dyDescent="0.25">
      <c r="A870" s="79"/>
      <c r="B870" s="79"/>
      <c r="C870" s="77"/>
      <c r="D870" s="80"/>
      <c r="E870" s="80"/>
      <c r="F870" s="86"/>
      <c r="G870" s="92"/>
      <c r="H870" s="92"/>
      <c r="I870" s="92"/>
      <c r="J870" s="93"/>
      <c r="K870" s="93"/>
      <c r="L870" s="77"/>
      <c r="M870" s="77"/>
      <c r="N870" s="77"/>
      <c r="O870" s="77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</row>
    <row r="871" spans="1:27" ht="12.75" customHeight="1" x14ac:dyDescent="0.25">
      <c r="A871" s="79"/>
      <c r="B871" s="79"/>
      <c r="C871" s="77"/>
      <c r="D871" s="80"/>
      <c r="E871" s="80"/>
      <c r="F871" s="86"/>
      <c r="G871" s="92"/>
      <c r="H871" s="92"/>
      <c r="I871" s="92"/>
      <c r="J871" s="93"/>
      <c r="K871" s="93"/>
      <c r="L871" s="77"/>
      <c r="M871" s="77"/>
      <c r="N871" s="77"/>
      <c r="O871" s="77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</row>
    <row r="872" spans="1:27" ht="12.75" customHeight="1" x14ac:dyDescent="0.25">
      <c r="A872" s="79"/>
      <c r="B872" s="79"/>
      <c r="C872" s="77"/>
      <c r="D872" s="80"/>
      <c r="E872" s="80"/>
      <c r="F872" s="86"/>
      <c r="G872" s="92"/>
      <c r="H872" s="92"/>
      <c r="I872" s="92"/>
      <c r="J872" s="93"/>
      <c r="K872" s="93"/>
      <c r="L872" s="77"/>
      <c r="M872" s="77"/>
      <c r="N872" s="77"/>
      <c r="O872" s="77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</row>
    <row r="873" spans="1:27" ht="12.75" customHeight="1" x14ac:dyDescent="0.25">
      <c r="A873" s="79"/>
      <c r="B873" s="79"/>
      <c r="C873" s="77"/>
      <c r="D873" s="80"/>
      <c r="E873" s="80"/>
      <c r="F873" s="86"/>
      <c r="G873" s="92"/>
      <c r="H873" s="92"/>
      <c r="I873" s="92"/>
      <c r="J873" s="93"/>
      <c r="K873" s="93"/>
      <c r="L873" s="77"/>
      <c r="M873" s="77"/>
      <c r="N873" s="77"/>
      <c r="O873" s="77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</row>
    <row r="874" spans="1:27" ht="12.75" customHeight="1" x14ac:dyDescent="0.25">
      <c r="A874" s="79"/>
      <c r="B874" s="79"/>
      <c r="C874" s="77"/>
      <c r="D874" s="80"/>
      <c r="E874" s="80"/>
      <c r="F874" s="86"/>
      <c r="G874" s="92"/>
      <c r="H874" s="92"/>
      <c r="I874" s="92"/>
      <c r="J874" s="93"/>
      <c r="K874" s="93"/>
      <c r="L874" s="77"/>
      <c r="M874" s="77"/>
      <c r="N874" s="77"/>
      <c r="O874" s="77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</row>
    <row r="875" spans="1:27" ht="12.75" customHeight="1" x14ac:dyDescent="0.25">
      <c r="A875" s="79"/>
      <c r="B875" s="79"/>
      <c r="C875" s="77"/>
      <c r="D875" s="80"/>
      <c r="E875" s="80"/>
      <c r="F875" s="86"/>
      <c r="G875" s="92"/>
      <c r="H875" s="92"/>
      <c r="I875" s="92"/>
      <c r="J875" s="93"/>
      <c r="K875" s="93"/>
      <c r="L875" s="77"/>
      <c r="M875" s="77"/>
      <c r="N875" s="77"/>
      <c r="O875" s="77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</row>
    <row r="876" spans="1:27" ht="12.75" customHeight="1" x14ac:dyDescent="0.25">
      <c r="A876" s="79"/>
      <c r="B876" s="79"/>
      <c r="C876" s="77"/>
      <c r="D876" s="80"/>
      <c r="E876" s="80"/>
      <c r="F876" s="86"/>
      <c r="G876" s="92"/>
      <c r="H876" s="92"/>
      <c r="I876" s="92"/>
      <c r="J876" s="93"/>
      <c r="K876" s="93"/>
      <c r="L876" s="77"/>
      <c r="M876" s="77"/>
      <c r="N876" s="77"/>
      <c r="O876" s="77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</row>
    <row r="877" spans="1:27" ht="12.75" customHeight="1" x14ac:dyDescent="0.25">
      <c r="A877" s="79"/>
      <c r="B877" s="79"/>
      <c r="C877" s="77"/>
      <c r="D877" s="80"/>
      <c r="E877" s="80"/>
      <c r="F877" s="86"/>
      <c r="G877" s="92"/>
      <c r="H877" s="92"/>
      <c r="I877" s="92"/>
      <c r="J877" s="93"/>
      <c r="K877" s="93"/>
      <c r="L877" s="77"/>
      <c r="M877" s="77"/>
      <c r="N877" s="77"/>
      <c r="O877" s="77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</row>
    <row r="878" spans="1:27" ht="12.75" customHeight="1" x14ac:dyDescent="0.25">
      <c r="A878" s="79"/>
      <c r="B878" s="79"/>
      <c r="C878" s="77"/>
      <c r="D878" s="80"/>
      <c r="E878" s="80"/>
      <c r="F878" s="86"/>
      <c r="G878" s="92"/>
      <c r="H878" s="92"/>
      <c r="I878" s="92"/>
      <c r="J878" s="93"/>
      <c r="K878" s="93"/>
      <c r="L878" s="77"/>
      <c r="M878" s="77"/>
      <c r="N878" s="77"/>
      <c r="O878" s="77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</row>
    <row r="879" spans="1:27" ht="12.75" customHeight="1" x14ac:dyDescent="0.25">
      <c r="A879" s="79"/>
      <c r="B879" s="79"/>
      <c r="C879" s="77"/>
      <c r="D879" s="80"/>
      <c r="E879" s="80"/>
      <c r="F879" s="86"/>
      <c r="G879" s="92"/>
      <c r="H879" s="92"/>
      <c r="I879" s="92"/>
      <c r="J879" s="93"/>
      <c r="K879" s="93"/>
      <c r="L879" s="77"/>
      <c r="M879" s="77"/>
      <c r="N879" s="77"/>
      <c r="O879" s="77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</row>
    <row r="880" spans="1:27" ht="12.75" customHeight="1" x14ac:dyDescent="0.25">
      <c r="A880" s="79"/>
      <c r="B880" s="79"/>
      <c r="C880" s="77"/>
      <c r="D880" s="80"/>
      <c r="E880" s="80"/>
      <c r="F880" s="86"/>
      <c r="G880" s="92"/>
      <c r="H880" s="92"/>
      <c r="I880" s="92"/>
      <c r="J880" s="93"/>
      <c r="K880" s="93"/>
      <c r="L880" s="77"/>
      <c r="M880" s="77"/>
      <c r="N880" s="77"/>
      <c r="O880" s="77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</row>
    <row r="881" spans="1:27" ht="12.75" customHeight="1" x14ac:dyDescent="0.25">
      <c r="A881" s="79"/>
      <c r="B881" s="79"/>
      <c r="C881" s="77"/>
      <c r="D881" s="80"/>
      <c r="E881" s="80"/>
      <c r="F881" s="86"/>
      <c r="G881" s="92"/>
      <c r="H881" s="92"/>
      <c r="I881" s="92"/>
      <c r="J881" s="93"/>
      <c r="K881" s="93"/>
      <c r="L881" s="77"/>
      <c r="M881" s="77"/>
      <c r="N881" s="77"/>
      <c r="O881" s="77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</row>
    <row r="882" spans="1:27" ht="12.75" customHeight="1" x14ac:dyDescent="0.25">
      <c r="A882" s="79"/>
      <c r="B882" s="79"/>
      <c r="C882" s="77"/>
      <c r="D882" s="80"/>
      <c r="E882" s="80"/>
      <c r="F882" s="86"/>
      <c r="G882" s="92"/>
      <c r="H882" s="92"/>
      <c r="I882" s="92"/>
      <c r="J882" s="93"/>
      <c r="K882" s="93"/>
      <c r="L882" s="77"/>
      <c r="M882" s="77"/>
      <c r="N882" s="77"/>
      <c r="O882" s="77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</row>
    <row r="883" spans="1:27" ht="12.75" customHeight="1" x14ac:dyDescent="0.25">
      <c r="A883" s="79"/>
      <c r="B883" s="79"/>
      <c r="C883" s="77"/>
      <c r="D883" s="80"/>
      <c r="E883" s="80"/>
      <c r="F883" s="86"/>
      <c r="G883" s="92"/>
      <c r="H883" s="92"/>
      <c r="I883" s="92"/>
      <c r="J883" s="93"/>
      <c r="K883" s="93"/>
      <c r="L883" s="77"/>
      <c r="M883" s="77"/>
      <c r="N883" s="77"/>
      <c r="O883" s="77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</row>
    <row r="884" spans="1:27" ht="12.75" customHeight="1" x14ac:dyDescent="0.25">
      <c r="A884" s="79"/>
      <c r="B884" s="79"/>
      <c r="C884" s="77"/>
      <c r="D884" s="80"/>
      <c r="E884" s="80"/>
      <c r="F884" s="86"/>
      <c r="G884" s="92"/>
      <c r="H884" s="92"/>
      <c r="I884" s="92"/>
      <c r="J884" s="93"/>
      <c r="K884" s="93"/>
      <c r="L884" s="77"/>
      <c r="M884" s="77"/>
      <c r="N884" s="77"/>
      <c r="O884" s="77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</row>
    <row r="885" spans="1:27" ht="12.75" customHeight="1" x14ac:dyDescent="0.25">
      <c r="A885" s="79"/>
      <c r="B885" s="79"/>
      <c r="C885" s="77"/>
      <c r="D885" s="80"/>
      <c r="E885" s="80"/>
      <c r="F885" s="86"/>
      <c r="G885" s="92"/>
      <c r="H885" s="92"/>
      <c r="I885" s="92"/>
      <c r="J885" s="93"/>
      <c r="K885" s="93"/>
      <c r="L885" s="77"/>
      <c r="M885" s="77"/>
      <c r="N885" s="77"/>
      <c r="O885" s="77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</row>
    <row r="886" spans="1:27" ht="12.75" customHeight="1" x14ac:dyDescent="0.25">
      <c r="A886" s="79"/>
      <c r="B886" s="79"/>
      <c r="C886" s="77"/>
      <c r="D886" s="80"/>
      <c r="E886" s="80"/>
      <c r="F886" s="86"/>
      <c r="G886" s="92"/>
      <c r="H886" s="92"/>
      <c r="I886" s="92"/>
      <c r="J886" s="93"/>
      <c r="K886" s="93"/>
      <c r="L886" s="77"/>
      <c r="M886" s="77"/>
      <c r="N886" s="77"/>
      <c r="O886" s="77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</row>
    <row r="887" spans="1:27" ht="12.75" customHeight="1" x14ac:dyDescent="0.25">
      <c r="A887" s="79"/>
      <c r="B887" s="79"/>
      <c r="C887" s="77"/>
      <c r="D887" s="80"/>
      <c r="E887" s="80"/>
      <c r="F887" s="86"/>
      <c r="G887" s="92"/>
      <c r="H887" s="92"/>
      <c r="I887" s="92"/>
      <c r="J887" s="93"/>
      <c r="K887" s="93"/>
      <c r="L887" s="77"/>
      <c r="M887" s="77"/>
      <c r="N887" s="77"/>
      <c r="O887" s="77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</row>
    <row r="888" spans="1:27" ht="12.75" customHeight="1" x14ac:dyDescent="0.25">
      <c r="A888" s="79"/>
      <c r="B888" s="79"/>
      <c r="C888" s="77"/>
      <c r="D888" s="80"/>
      <c r="E888" s="80"/>
      <c r="F888" s="86"/>
      <c r="G888" s="92"/>
      <c r="H888" s="92"/>
      <c r="I888" s="92"/>
      <c r="J888" s="93"/>
      <c r="K888" s="93"/>
      <c r="L888" s="77"/>
      <c r="M888" s="77"/>
      <c r="N888" s="77"/>
      <c r="O888" s="77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</row>
    <row r="889" spans="1:27" ht="12.75" customHeight="1" x14ac:dyDescent="0.25">
      <c r="A889" s="79"/>
      <c r="B889" s="79"/>
      <c r="C889" s="77"/>
      <c r="D889" s="80"/>
      <c r="E889" s="80"/>
      <c r="F889" s="86"/>
      <c r="G889" s="92"/>
      <c r="H889" s="92"/>
      <c r="I889" s="92"/>
      <c r="J889" s="93"/>
      <c r="K889" s="93"/>
      <c r="L889" s="77"/>
      <c r="M889" s="77"/>
      <c r="N889" s="77"/>
      <c r="O889" s="77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</row>
    <row r="890" spans="1:27" ht="12.75" customHeight="1" x14ac:dyDescent="0.25">
      <c r="A890" s="79"/>
      <c r="B890" s="79"/>
      <c r="C890" s="77"/>
      <c r="D890" s="80"/>
      <c r="E890" s="80"/>
      <c r="F890" s="86"/>
      <c r="G890" s="92"/>
      <c r="H890" s="92"/>
      <c r="I890" s="92"/>
      <c r="J890" s="93"/>
      <c r="K890" s="93"/>
      <c r="L890" s="77"/>
      <c r="M890" s="77"/>
      <c r="N890" s="77"/>
      <c r="O890" s="77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</row>
    <row r="891" spans="1:27" ht="12.75" customHeight="1" x14ac:dyDescent="0.25">
      <c r="A891" s="79"/>
      <c r="B891" s="79"/>
      <c r="C891" s="77"/>
      <c r="D891" s="80"/>
      <c r="E891" s="80"/>
      <c r="F891" s="86"/>
      <c r="G891" s="92"/>
      <c r="H891" s="92"/>
      <c r="I891" s="92"/>
      <c r="J891" s="93"/>
      <c r="K891" s="93"/>
      <c r="L891" s="77"/>
      <c r="M891" s="77"/>
      <c r="N891" s="77"/>
      <c r="O891" s="77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</row>
    <row r="892" spans="1:27" ht="12.75" customHeight="1" x14ac:dyDescent="0.25">
      <c r="A892" s="79"/>
      <c r="B892" s="79"/>
      <c r="C892" s="77"/>
      <c r="D892" s="80"/>
      <c r="E892" s="80"/>
      <c r="F892" s="86"/>
      <c r="G892" s="92"/>
      <c r="H892" s="92"/>
      <c r="I892" s="92"/>
      <c r="J892" s="93"/>
      <c r="K892" s="93"/>
      <c r="L892" s="77"/>
      <c r="M892" s="77"/>
      <c r="N892" s="77"/>
      <c r="O892" s="77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</row>
    <row r="893" spans="1:27" ht="12.75" customHeight="1" x14ac:dyDescent="0.25">
      <c r="A893" s="79"/>
      <c r="B893" s="79"/>
      <c r="C893" s="77"/>
      <c r="D893" s="80"/>
      <c r="E893" s="80"/>
      <c r="F893" s="86"/>
      <c r="G893" s="92"/>
      <c r="H893" s="92"/>
      <c r="I893" s="92"/>
      <c r="J893" s="93"/>
      <c r="K893" s="93"/>
      <c r="L893" s="77"/>
      <c r="M893" s="77"/>
      <c r="N893" s="77"/>
      <c r="O893" s="77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</row>
    <row r="894" spans="1:27" ht="12.75" customHeight="1" x14ac:dyDescent="0.25">
      <c r="A894" s="79"/>
      <c r="B894" s="79"/>
      <c r="C894" s="77"/>
      <c r="D894" s="80"/>
      <c r="E894" s="80"/>
      <c r="F894" s="86"/>
      <c r="G894" s="92"/>
      <c r="H894" s="92"/>
      <c r="I894" s="92"/>
      <c r="J894" s="93"/>
      <c r="K894" s="93"/>
      <c r="L894" s="77"/>
      <c r="M894" s="77"/>
      <c r="N894" s="77"/>
      <c r="O894" s="77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</row>
    <row r="895" spans="1:27" ht="12.75" customHeight="1" x14ac:dyDescent="0.25">
      <c r="A895" s="79"/>
      <c r="B895" s="79"/>
      <c r="C895" s="77"/>
      <c r="D895" s="80"/>
      <c r="E895" s="80"/>
      <c r="F895" s="86"/>
      <c r="G895" s="92"/>
      <c r="H895" s="92"/>
      <c r="I895" s="92"/>
      <c r="J895" s="93"/>
      <c r="K895" s="93"/>
      <c r="L895" s="77"/>
      <c r="M895" s="77"/>
      <c r="N895" s="77"/>
      <c r="O895" s="77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</row>
    <row r="896" spans="1:27" ht="12.75" customHeight="1" x14ac:dyDescent="0.25">
      <c r="A896" s="79"/>
      <c r="B896" s="79"/>
      <c r="C896" s="77"/>
      <c r="D896" s="80"/>
      <c r="E896" s="80"/>
      <c r="F896" s="86"/>
      <c r="G896" s="92"/>
      <c r="H896" s="92"/>
      <c r="I896" s="92"/>
      <c r="J896" s="93"/>
      <c r="K896" s="93"/>
      <c r="L896" s="77"/>
      <c r="M896" s="77"/>
      <c r="N896" s="77"/>
      <c r="O896" s="77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</row>
    <row r="897" spans="1:27" ht="12.75" customHeight="1" x14ac:dyDescent="0.25">
      <c r="A897" s="79"/>
      <c r="B897" s="79"/>
      <c r="C897" s="77"/>
      <c r="D897" s="80"/>
      <c r="E897" s="80"/>
      <c r="F897" s="86"/>
      <c r="G897" s="92"/>
      <c r="H897" s="92"/>
      <c r="I897" s="92"/>
      <c r="J897" s="93"/>
      <c r="K897" s="93"/>
      <c r="L897" s="77"/>
      <c r="M897" s="77"/>
      <c r="N897" s="77"/>
      <c r="O897" s="77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</row>
    <row r="898" spans="1:27" ht="12.75" customHeight="1" x14ac:dyDescent="0.25">
      <c r="A898" s="79"/>
      <c r="B898" s="79"/>
      <c r="C898" s="77"/>
      <c r="D898" s="80"/>
      <c r="E898" s="80"/>
      <c r="F898" s="86"/>
      <c r="G898" s="92"/>
      <c r="H898" s="92"/>
      <c r="I898" s="92"/>
      <c r="J898" s="93"/>
      <c r="K898" s="93"/>
      <c r="L898" s="77"/>
      <c r="M898" s="77"/>
      <c r="N898" s="77"/>
      <c r="O898" s="77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</row>
    <row r="899" spans="1:27" ht="12.75" customHeight="1" x14ac:dyDescent="0.25">
      <c r="A899" s="79"/>
      <c r="B899" s="79"/>
      <c r="C899" s="77"/>
      <c r="D899" s="80"/>
      <c r="E899" s="80"/>
      <c r="F899" s="86"/>
      <c r="G899" s="92"/>
      <c r="H899" s="92"/>
      <c r="I899" s="92"/>
      <c r="J899" s="93"/>
      <c r="K899" s="93"/>
      <c r="L899" s="77"/>
      <c r="M899" s="77"/>
      <c r="N899" s="77"/>
      <c r="O899" s="77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</row>
    <row r="900" spans="1:27" ht="12.75" customHeight="1" x14ac:dyDescent="0.25">
      <c r="A900" s="79"/>
      <c r="B900" s="79"/>
      <c r="C900" s="77"/>
      <c r="D900" s="80"/>
      <c r="E900" s="80"/>
      <c r="F900" s="86"/>
      <c r="G900" s="92"/>
      <c r="H900" s="92"/>
      <c r="I900" s="92"/>
      <c r="J900" s="93"/>
      <c r="K900" s="93"/>
      <c r="L900" s="77"/>
      <c r="M900" s="77"/>
      <c r="N900" s="77"/>
      <c r="O900" s="77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</row>
    <row r="901" spans="1:27" ht="12.75" customHeight="1" x14ac:dyDescent="0.25">
      <c r="A901" s="79"/>
      <c r="B901" s="79"/>
      <c r="C901" s="77"/>
      <c r="D901" s="80"/>
      <c r="E901" s="80"/>
      <c r="F901" s="86"/>
      <c r="G901" s="92"/>
      <c r="H901" s="92"/>
      <c r="I901" s="92"/>
      <c r="J901" s="93"/>
      <c r="K901" s="93"/>
      <c r="L901" s="77"/>
      <c r="M901" s="77"/>
      <c r="N901" s="77"/>
      <c r="O901" s="77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</row>
    <row r="902" spans="1:27" ht="12.75" customHeight="1" x14ac:dyDescent="0.25">
      <c r="A902" s="79"/>
      <c r="B902" s="79"/>
      <c r="C902" s="77"/>
      <c r="D902" s="80"/>
      <c r="E902" s="80"/>
      <c r="F902" s="86"/>
      <c r="G902" s="92"/>
      <c r="H902" s="92"/>
      <c r="I902" s="92"/>
      <c r="J902" s="93"/>
      <c r="K902" s="93"/>
      <c r="L902" s="77"/>
      <c r="M902" s="77"/>
      <c r="N902" s="77"/>
      <c r="O902" s="77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</row>
    <row r="903" spans="1:27" ht="12.75" customHeight="1" x14ac:dyDescent="0.25">
      <c r="A903" s="79"/>
      <c r="B903" s="79"/>
      <c r="C903" s="77"/>
      <c r="D903" s="80"/>
      <c r="E903" s="80"/>
      <c r="F903" s="86"/>
      <c r="G903" s="92"/>
      <c r="H903" s="92"/>
      <c r="I903" s="92"/>
      <c r="J903" s="93"/>
      <c r="K903" s="93"/>
      <c r="L903" s="77"/>
      <c r="M903" s="77"/>
      <c r="N903" s="77"/>
      <c r="O903" s="77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</row>
    <row r="904" spans="1:27" ht="12.75" customHeight="1" x14ac:dyDescent="0.25">
      <c r="A904" s="79"/>
      <c r="B904" s="79"/>
      <c r="C904" s="77"/>
      <c r="D904" s="80"/>
      <c r="E904" s="80"/>
      <c r="F904" s="86"/>
      <c r="G904" s="92"/>
      <c r="H904" s="92"/>
      <c r="I904" s="92"/>
      <c r="J904" s="93"/>
      <c r="K904" s="93"/>
      <c r="L904" s="77"/>
      <c r="M904" s="77"/>
      <c r="N904" s="77"/>
      <c r="O904" s="77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</row>
    <row r="905" spans="1:27" ht="12.75" customHeight="1" x14ac:dyDescent="0.25">
      <c r="A905" s="79"/>
      <c r="B905" s="79"/>
      <c r="C905" s="77"/>
      <c r="D905" s="80"/>
      <c r="E905" s="80"/>
      <c r="F905" s="86"/>
      <c r="G905" s="92"/>
      <c r="H905" s="92"/>
      <c r="I905" s="92"/>
      <c r="J905" s="93"/>
      <c r="K905" s="93"/>
      <c r="L905" s="77"/>
      <c r="M905" s="77"/>
      <c r="N905" s="77"/>
      <c r="O905" s="77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</row>
    <row r="906" spans="1:27" ht="12.75" customHeight="1" x14ac:dyDescent="0.25">
      <c r="A906" s="79"/>
      <c r="B906" s="79"/>
      <c r="C906" s="77"/>
      <c r="D906" s="80"/>
      <c r="E906" s="80"/>
      <c r="F906" s="86"/>
      <c r="G906" s="92"/>
      <c r="H906" s="92"/>
      <c r="I906" s="92"/>
      <c r="J906" s="93"/>
      <c r="K906" s="93"/>
      <c r="L906" s="77"/>
      <c r="M906" s="77"/>
      <c r="N906" s="77"/>
      <c r="O906" s="77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</row>
    <row r="907" spans="1:27" ht="12.75" customHeight="1" x14ac:dyDescent="0.25">
      <c r="A907" s="79"/>
      <c r="B907" s="79"/>
      <c r="C907" s="77"/>
      <c r="D907" s="80"/>
      <c r="E907" s="80"/>
      <c r="F907" s="86"/>
      <c r="G907" s="92"/>
      <c r="H907" s="92"/>
      <c r="I907" s="92"/>
      <c r="J907" s="93"/>
      <c r="K907" s="93"/>
      <c r="L907" s="77"/>
      <c r="M907" s="77"/>
      <c r="N907" s="77"/>
      <c r="O907" s="77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</row>
    <row r="908" spans="1:27" ht="12.75" customHeight="1" x14ac:dyDescent="0.25">
      <c r="A908" s="79"/>
      <c r="B908" s="79"/>
      <c r="C908" s="77"/>
      <c r="D908" s="80"/>
      <c r="E908" s="80"/>
      <c r="F908" s="86"/>
      <c r="G908" s="92"/>
      <c r="H908" s="92"/>
      <c r="I908" s="92"/>
      <c r="J908" s="93"/>
      <c r="K908" s="93"/>
      <c r="L908" s="77"/>
      <c r="M908" s="77"/>
      <c r="N908" s="77"/>
      <c r="O908" s="77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</row>
    <row r="909" spans="1:27" ht="12.75" customHeight="1" x14ac:dyDescent="0.25">
      <c r="A909" s="79"/>
      <c r="B909" s="79"/>
      <c r="C909" s="77"/>
      <c r="D909" s="80"/>
      <c r="E909" s="80"/>
      <c r="F909" s="86"/>
      <c r="G909" s="92"/>
      <c r="H909" s="92"/>
      <c r="I909" s="92"/>
      <c r="J909" s="93"/>
      <c r="K909" s="93"/>
      <c r="L909" s="77"/>
      <c r="M909" s="77"/>
      <c r="N909" s="77"/>
      <c r="O909" s="77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</row>
    <row r="910" spans="1:27" ht="12.75" customHeight="1" x14ac:dyDescent="0.25">
      <c r="A910" s="79"/>
      <c r="B910" s="79"/>
      <c r="C910" s="77"/>
      <c r="D910" s="80"/>
      <c r="E910" s="80"/>
      <c r="F910" s="86"/>
      <c r="G910" s="92"/>
      <c r="H910" s="92"/>
      <c r="I910" s="92"/>
      <c r="J910" s="93"/>
      <c r="K910" s="93"/>
      <c r="L910" s="77"/>
      <c r="M910" s="77"/>
      <c r="N910" s="77"/>
      <c r="O910" s="77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</row>
    <row r="911" spans="1:27" ht="12.75" customHeight="1" x14ac:dyDescent="0.25">
      <c r="A911" s="79"/>
      <c r="B911" s="79"/>
      <c r="C911" s="77"/>
      <c r="D911" s="80"/>
      <c r="E911" s="80"/>
      <c r="F911" s="86"/>
      <c r="G911" s="92"/>
      <c r="H911" s="92"/>
      <c r="I911" s="92"/>
      <c r="J911" s="93"/>
      <c r="K911" s="93"/>
      <c r="L911" s="77"/>
      <c r="M911" s="77"/>
      <c r="N911" s="77"/>
      <c r="O911" s="77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</row>
    <row r="912" spans="1:27" ht="12.75" customHeight="1" x14ac:dyDescent="0.25">
      <c r="A912" s="79"/>
      <c r="B912" s="79"/>
      <c r="C912" s="77"/>
      <c r="D912" s="80"/>
      <c r="E912" s="80"/>
      <c r="F912" s="86"/>
      <c r="G912" s="92"/>
      <c r="H912" s="92"/>
      <c r="I912" s="92"/>
      <c r="J912" s="93"/>
      <c r="K912" s="93"/>
      <c r="L912" s="77"/>
      <c r="M912" s="77"/>
      <c r="N912" s="77"/>
      <c r="O912" s="77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</row>
    <row r="913" spans="1:27" ht="12.75" customHeight="1" x14ac:dyDescent="0.25">
      <c r="A913" s="79"/>
      <c r="B913" s="79"/>
      <c r="C913" s="77"/>
      <c r="D913" s="80"/>
      <c r="E913" s="80"/>
      <c r="F913" s="86"/>
      <c r="G913" s="92"/>
      <c r="H913" s="92"/>
      <c r="I913" s="92"/>
      <c r="J913" s="93"/>
      <c r="K913" s="93"/>
      <c r="L913" s="77"/>
      <c r="M913" s="77"/>
      <c r="N913" s="77"/>
      <c r="O913" s="77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</row>
    <row r="914" spans="1:27" ht="12.75" customHeight="1" x14ac:dyDescent="0.25">
      <c r="A914" s="79"/>
      <c r="B914" s="79"/>
      <c r="C914" s="77"/>
      <c r="D914" s="80"/>
      <c r="E914" s="80"/>
      <c r="F914" s="86"/>
      <c r="G914" s="92"/>
      <c r="H914" s="92"/>
      <c r="I914" s="92"/>
      <c r="J914" s="93"/>
      <c r="K914" s="93"/>
      <c r="L914" s="77"/>
      <c r="M914" s="77"/>
      <c r="N914" s="77"/>
      <c r="O914" s="77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</row>
    <row r="915" spans="1:27" ht="12.75" customHeight="1" x14ac:dyDescent="0.25">
      <c r="A915" s="79"/>
      <c r="B915" s="79"/>
      <c r="C915" s="77"/>
      <c r="D915" s="80"/>
      <c r="E915" s="80"/>
      <c r="F915" s="86"/>
      <c r="G915" s="92"/>
      <c r="H915" s="92"/>
      <c r="I915" s="92"/>
      <c r="J915" s="93"/>
      <c r="K915" s="93"/>
      <c r="L915" s="77"/>
      <c r="M915" s="77"/>
      <c r="N915" s="77"/>
      <c r="O915" s="77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</row>
    <row r="916" spans="1:27" ht="12.75" customHeight="1" x14ac:dyDescent="0.25">
      <c r="A916" s="79"/>
      <c r="B916" s="79"/>
      <c r="C916" s="77"/>
      <c r="D916" s="80"/>
      <c r="E916" s="80"/>
      <c r="F916" s="86"/>
      <c r="G916" s="92"/>
      <c r="H916" s="92"/>
      <c r="I916" s="92"/>
      <c r="J916" s="93"/>
      <c r="K916" s="93"/>
      <c r="L916" s="77"/>
      <c r="M916" s="77"/>
      <c r="N916" s="77"/>
      <c r="O916" s="77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</row>
    <row r="917" spans="1:27" ht="12.75" customHeight="1" x14ac:dyDescent="0.25">
      <c r="A917" s="79"/>
      <c r="B917" s="79"/>
      <c r="C917" s="77"/>
      <c r="D917" s="80"/>
      <c r="E917" s="80"/>
      <c r="F917" s="86"/>
      <c r="G917" s="92"/>
      <c r="H917" s="92"/>
      <c r="I917" s="92"/>
      <c r="J917" s="93"/>
      <c r="K917" s="93"/>
      <c r="L917" s="77"/>
      <c r="M917" s="77"/>
      <c r="N917" s="77"/>
      <c r="O917" s="77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</row>
    <row r="918" spans="1:27" ht="12.75" customHeight="1" x14ac:dyDescent="0.25">
      <c r="A918" s="79"/>
      <c r="B918" s="79"/>
      <c r="C918" s="77"/>
      <c r="D918" s="80"/>
      <c r="E918" s="80"/>
      <c r="F918" s="86"/>
      <c r="G918" s="92"/>
      <c r="H918" s="92"/>
      <c r="I918" s="92"/>
      <c r="J918" s="93"/>
      <c r="K918" s="93"/>
      <c r="L918" s="77"/>
      <c r="M918" s="77"/>
      <c r="N918" s="77"/>
      <c r="O918" s="77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</row>
    <row r="919" spans="1:27" ht="12.75" customHeight="1" x14ac:dyDescent="0.25">
      <c r="A919" s="79"/>
      <c r="B919" s="79"/>
      <c r="C919" s="77"/>
      <c r="D919" s="80"/>
      <c r="E919" s="80"/>
      <c r="F919" s="86"/>
      <c r="G919" s="92"/>
      <c r="H919" s="92"/>
      <c r="I919" s="92"/>
      <c r="J919" s="93"/>
      <c r="K919" s="93"/>
      <c r="L919" s="77"/>
      <c r="M919" s="77"/>
      <c r="N919" s="77"/>
      <c r="O919" s="77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</row>
    <row r="920" spans="1:27" ht="12.75" customHeight="1" x14ac:dyDescent="0.25">
      <c r="A920" s="79"/>
      <c r="B920" s="79"/>
      <c r="C920" s="77"/>
      <c r="D920" s="80"/>
      <c r="E920" s="80"/>
      <c r="F920" s="86"/>
      <c r="G920" s="92"/>
      <c r="H920" s="92"/>
      <c r="I920" s="92"/>
      <c r="J920" s="93"/>
      <c r="K920" s="93"/>
      <c r="L920" s="77"/>
      <c r="M920" s="77"/>
      <c r="N920" s="77"/>
      <c r="O920" s="77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</row>
    <row r="921" spans="1:27" ht="12.75" customHeight="1" x14ac:dyDescent="0.25">
      <c r="A921" s="79"/>
      <c r="B921" s="79"/>
      <c r="C921" s="77"/>
      <c r="D921" s="80"/>
      <c r="E921" s="80"/>
      <c r="F921" s="86"/>
      <c r="G921" s="92"/>
      <c r="H921" s="92"/>
      <c r="I921" s="92"/>
      <c r="J921" s="93"/>
      <c r="K921" s="93"/>
      <c r="L921" s="77"/>
      <c r="M921" s="77"/>
      <c r="N921" s="77"/>
      <c r="O921" s="77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</row>
    <row r="922" spans="1:27" ht="12.75" customHeight="1" x14ac:dyDescent="0.25">
      <c r="A922" s="79"/>
      <c r="B922" s="79"/>
      <c r="C922" s="77"/>
      <c r="D922" s="80"/>
      <c r="E922" s="80"/>
      <c r="F922" s="86"/>
      <c r="G922" s="92"/>
      <c r="H922" s="92"/>
      <c r="I922" s="92"/>
      <c r="J922" s="93"/>
      <c r="K922" s="93"/>
      <c r="L922" s="77"/>
      <c r="M922" s="77"/>
      <c r="N922" s="77"/>
      <c r="O922" s="77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</row>
    <row r="923" spans="1:27" ht="12.75" customHeight="1" x14ac:dyDescent="0.25">
      <c r="A923" s="79"/>
      <c r="B923" s="79"/>
      <c r="C923" s="77"/>
      <c r="D923" s="80"/>
      <c r="E923" s="80"/>
      <c r="F923" s="86"/>
      <c r="G923" s="92"/>
      <c r="H923" s="92"/>
      <c r="I923" s="92"/>
      <c r="J923" s="93"/>
      <c r="K923" s="93"/>
      <c r="L923" s="77"/>
      <c r="M923" s="77"/>
      <c r="N923" s="77"/>
      <c r="O923" s="77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</row>
    <row r="924" spans="1:27" ht="12.75" customHeight="1" x14ac:dyDescent="0.25">
      <c r="A924" s="79"/>
      <c r="B924" s="79"/>
      <c r="C924" s="77"/>
      <c r="D924" s="80"/>
      <c r="E924" s="80"/>
      <c r="F924" s="86"/>
      <c r="G924" s="92"/>
      <c r="H924" s="92"/>
      <c r="I924" s="92"/>
      <c r="J924" s="93"/>
      <c r="K924" s="93"/>
      <c r="L924" s="77"/>
      <c r="M924" s="77"/>
      <c r="N924" s="77"/>
      <c r="O924" s="77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</row>
    <row r="925" spans="1:27" ht="12.75" customHeight="1" x14ac:dyDescent="0.25">
      <c r="A925" s="79"/>
      <c r="B925" s="79"/>
      <c r="C925" s="77"/>
      <c r="D925" s="80"/>
      <c r="E925" s="80"/>
      <c r="F925" s="86"/>
      <c r="G925" s="92"/>
      <c r="H925" s="92"/>
      <c r="I925" s="92"/>
      <c r="J925" s="93"/>
      <c r="K925" s="93"/>
      <c r="L925" s="77"/>
      <c r="M925" s="77"/>
      <c r="N925" s="77"/>
      <c r="O925" s="77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</row>
    <row r="926" spans="1:27" ht="12.75" customHeight="1" x14ac:dyDescent="0.25">
      <c r="A926" s="79"/>
      <c r="B926" s="79"/>
      <c r="C926" s="77"/>
      <c r="D926" s="80"/>
      <c r="E926" s="80"/>
      <c r="F926" s="86"/>
      <c r="G926" s="92"/>
      <c r="H926" s="92"/>
      <c r="I926" s="92"/>
      <c r="J926" s="93"/>
      <c r="K926" s="93"/>
      <c r="L926" s="77"/>
      <c r="M926" s="77"/>
      <c r="N926" s="77"/>
      <c r="O926" s="77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</row>
    <row r="927" spans="1:27" ht="12.75" customHeight="1" x14ac:dyDescent="0.25">
      <c r="A927" s="79"/>
      <c r="B927" s="79"/>
      <c r="C927" s="77"/>
      <c r="D927" s="80"/>
      <c r="E927" s="80"/>
      <c r="F927" s="86"/>
      <c r="G927" s="92"/>
      <c r="H927" s="92"/>
      <c r="I927" s="92"/>
      <c r="J927" s="93"/>
      <c r="K927" s="93"/>
      <c r="L927" s="77"/>
      <c r="M927" s="77"/>
      <c r="N927" s="77"/>
      <c r="O927" s="77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</row>
    <row r="928" spans="1:27" ht="12.75" customHeight="1" x14ac:dyDescent="0.25">
      <c r="A928" s="79"/>
      <c r="B928" s="79"/>
      <c r="C928" s="77"/>
      <c r="D928" s="80"/>
      <c r="E928" s="80"/>
      <c r="F928" s="86"/>
      <c r="G928" s="92"/>
      <c r="H928" s="92"/>
      <c r="I928" s="92"/>
      <c r="J928" s="93"/>
      <c r="K928" s="93"/>
      <c r="L928" s="77"/>
      <c r="M928" s="77"/>
      <c r="N928" s="77"/>
      <c r="O928" s="77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</row>
    <row r="929" spans="1:27" ht="12.75" customHeight="1" x14ac:dyDescent="0.25">
      <c r="A929" s="79"/>
      <c r="B929" s="79"/>
      <c r="C929" s="77"/>
      <c r="D929" s="80"/>
      <c r="E929" s="80"/>
      <c r="F929" s="86"/>
      <c r="G929" s="92"/>
      <c r="H929" s="92"/>
      <c r="I929" s="92"/>
      <c r="J929" s="93"/>
      <c r="K929" s="93"/>
      <c r="L929" s="77"/>
      <c r="M929" s="77"/>
      <c r="N929" s="77"/>
      <c r="O929" s="77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</row>
    <row r="930" spans="1:27" ht="12.75" customHeight="1" x14ac:dyDescent="0.25">
      <c r="A930" s="79"/>
      <c r="B930" s="79"/>
      <c r="C930" s="77"/>
      <c r="D930" s="80"/>
      <c r="E930" s="80"/>
      <c r="F930" s="86"/>
      <c r="G930" s="92"/>
      <c r="H930" s="92"/>
      <c r="I930" s="92"/>
      <c r="J930" s="93"/>
      <c r="K930" s="93"/>
      <c r="L930" s="77"/>
      <c r="M930" s="77"/>
      <c r="N930" s="77"/>
      <c r="O930" s="77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</row>
    <row r="931" spans="1:27" ht="12.75" customHeight="1" x14ac:dyDescent="0.25">
      <c r="A931" s="79"/>
      <c r="B931" s="79"/>
      <c r="C931" s="77"/>
      <c r="D931" s="80"/>
      <c r="E931" s="80"/>
      <c r="F931" s="86"/>
      <c r="G931" s="92"/>
      <c r="H931" s="92"/>
      <c r="I931" s="92"/>
      <c r="J931" s="93"/>
      <c r="K931" s="93"/>
      <c r="L931" s="77"/>
      <c r="M931" s="77"/>
      <c r="N931" s="77"/>
      <c r="O931" s="77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</row>
    <row r="932" spans="1:27" ht="12.75" customHeight="1" x14ac:dyDescent="0.25">
      <c r="A932" s="79"/>
      <c r="B932" s="79"/>
      <c r="C932" s="77"/>
      <c r="D932" s="80"/>
      <c r="E932" s="80"/>
      <c r="F932" s="86"/>
      <c r="G932" s="92"/>
      <c r="H932" s="92"/>
      <c r="I932" s="92"/>
      <c r="J932" s="93"/>
      <c r="K932" s="93"/>
      <c r="L932" s="77"/>
      <c r="M932" s="77"/>
      <c r="N932" s="77"/>
      <c r="O932" s="77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</row>
    <row r="933" spans="1:27" ht="12.75" customHeight="1" x14ac:dyDescent="0.25">
      <c r="A933" s="79"/>
      <c r="B933" s="79"/>
      <c r="C933" s="77"/>
      <c r="D933" s="80"/>
      <c r="E933" s="80"/>
      <c r="F933" s="86"/>
      <c r="G933" s="92"/>
      <c r="H933" s="92"/>
      <c r="I933" s="92"/>
      <c r="J933" s="93"/>
      <c r="K933" s="93"/>
      <c r="L933" s="77"/>
      <c r="M933" s="77"/>
      <c r="N933" s="77"/>
      <c r="O933" s="77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</row>
    <row r="934" spans="1:27" ht="12.75" customHeight="1" x14ac:dyDescent="0.25">
      <c r="A934" s="79"/>
      <c r="B934" s="79"/>
      <c r="C934" s="77"/>
      <c r="D934" s="80"/>
      <c r="E934" s="80"/>
      <c r="F934" s="86"/>
      <c r="G934" s="92"/>
      <c r="H934" s="92"/>
      <c r="I934" s="92"/>
      <c r="J934" s="93"/>
      <c r="K934" s="93"/>
      <c r="L934" s="77"/>
      <c r="M934" s="77"/>
      <c r="N934" s="77"/>
      <c r="O934" s="77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</row>
    <row r="935" spans="1:27" ht="12.75" customHeight="1" x14ac:dyDescent="0.25">
      <c r="A935" s="79"/>
      <c r="B935" s="79"/>
      <c r="C935" s="77"/>
      <c r="D935" s="80"/>
      <c r="E935" s="80"/>
      <c r="F935" s="86"/>
      <c r="G935" s="92"/>
      <c r="H935" s="92"/>
      <c r="I935" s="92"/>
      <c r="J935" s="93"/>
      <c r="K935" s="93"/>
      <c r="L935" s="77"/>
      <c r="M935" s="77"/>
      <c r="N935" s="77"/>
      <c r="O935" s="77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</row>
    <row r="936" spans="1:27" ht="12.75" customHeight="1" x14ac:dyDescent="0.25">
      <c r="A936" s="79"/>
      <c r="B936" s="79"/>
      <c r="C936" s="77"/>
      <c r="D936" s="80"/>
      <c r="E936" s="80"/>
      <c r="F936" s="86"/>
      <c r="G936" s="92"/>
      <c r="H936" s="92"/>
      <c r="I936" s="92"/>
      <c r="J936" s="93"/>
      <c r="K936" s="93"/>
      <c r="L936" s="77"/>
      <c r="M936" s="77"/>
      <c r="N936" s="77"/>
      <c r="O936" s="77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</row>
    <row r="937" spans="1:27" ht="12.75" customHeight="1" x14ac:dyDescent="0.25">
      <c r="A937" s="79"/>
      <c r="B937" s="79"/>
      <c r="C937" s="77"/>
      <c r="D937" s="80"/>
      <c r="E937" s="80"/>
      <c r="F937" s="86"/>
      <c r="G937" s="92"/>
      <c r="H937" s="92"/>
      <c r="I937" s="92"/>
      <c r="J937" s="93"/>
      <c r="K937" s="93"/>
      <c r="L937" s="77"/>
      <c r="M937" s="77"/>
      <c r="N937" s="77"/>
      <c r="O937" s="77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</row>
    <row r="938" spans="1:27" ht="12.75" customHeight="1" x14ac:dyDescent="0.25">
      <c r="A938" s="79"/>
      <c r="B938" s="79"/>
      <c r="C938" s="77"/>
      <c r="D938" s="80"/>
      <c r="E938" s="80"/>
      <c r="F938" s="86"/>
      <c r="G938" s="92"/>
      <c r="H938" s="92"/>
      <c r="I938" s="92"/>
      <c r="J938" s="93"/>
      <c r="K938" s="93"/>
      <c r="L938" s="77"/>
      <c r="M938" s="77"/>
      <c r="N938" s="77"/>
      <c r="O938" s="77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</row>
    <row r="939" spans="1:27" ht="12.75" customHeight="1" x14ac:dyDescent="0.25">
      <c r="A939" s="79"/>
      <c r="B939" s="79"/>
      <c r="C939" s="77"/>
      <c r="D939" s="80"/>
      <c r="E939" s="80"/>
      <c r="F939" s="86"/>
      <c r="G939" s="92"/>
      <c r="H939" s="92"/>
      <c r="I939" s="92"/>
      <c r="J939" s="93"/>
      <c r="K939" s="93"/>
      <c r="L939" s="77"/>
      <c r="M939" s="77"/>
      <c r="N939" s="77"/>
      <c r="O939" s="77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</row>
    <row r="940" spans="1:27" ht="12.75" customHeight="1" x14ac:dyDescent="0.25">
      <c r="A940" s="79"/>
      <c r="B940" s="79"/>
      <c r="C940" s="77"/>
      <c r="D940" s="80"/>
      <c r="E940" s="80"/>
      <c r="F940" s="86"/>
      <c r="G940" s="92"/>
      <c r="H940" s="92"/>
      <c r="I940" s="92"/>
      <c r="J940" s="93"/>
      <c r="K940" s="93"/>
      <c r="L940" s="77"/>
      <c r="M940" s="77"/>
      <c r="N940" s="77"/>
      <c r="O940" s="77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</row>
    <row r="941" spans="1:27" ht="12.75" customHeight="1" x14ac:dyDescent="0.25">
      <c r="A941" s="79"/>
      <c r="B941" s="79"/>
      <c r="C941" s="77"/>
      <c r="D941" s="80"/>
      <c r="E941" s="80"/>
      <c r="F941" s="86"/>
      <c r="G941" s="92"/>
      <c r="H941" s="92"/>
      <c r="I941" s="92"/>
      <c r="J941" s="93"/>
      <c r="K941" s="93"/>
      <c r="L941" s="77"/>
      <c r="M941" s="77"/>
      <c r="N941" s="77"/>
      <c r="O941" s="77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</row>
    <row r="942" spans="1:27" ht="12.75" customHeight="1" x14ac:dyDescent="0.25">
      <c r="A942" s="79"/>
      <c r="B942" s="79"/>
      <c r="C942" s="77"/>
      <c r="D942" s="80"/>
      <c r="E942" s="80"/>
      <c r="F942" s="86"/>
      <c r="G942" s="92"/>
      <c r="H942" s="92"/>
      <c r="I942" s="92"/>
      <c r="J942" s="93"/>
      <c r="K942" s="93"/>
      <c r="L942" s="77"/>
      <c r="M942" s="77"/>
      <c r="N942" s="77"/>
      <c r="O942" s="77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</row>
    <row r="943" spans="1:27" ht="12.75" customHeight="1" x14ac:dyDescent="0.25">
      <c r="A943" s="79"/>
      <c r="B943" s="79"/>
      <c r="C943" s="77"/>
      <c r="D943" s="80"/>
      <c r="E943" s="80"/>
      <c r="F943" s="86"/>
      <c r="G943" s="92"/>
      <c r="H943" s="92"/>
      <c r="I943" s="92"/>
      <c r="J943" s="93"/>
      <c r="K943" s="93"/>
      <c r="L943" s="77"/>
      <c r="M943" s="77"/>
      <c r="N943" s="77"/>
      <c r="O943" s="77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</row>
    <row r="944" spans="1:27" ht="12.75" customHeight="1" x14ac:dyDescent="0.25">
      <c r="A944" s="79"/>
      <c r="B944" s="79"/>
      <c r="C944" s="77"/>
      <c r="D944" s="80"/>
      <c r="E944" s="80"/>
      <c r="F944" s="86"/>
      <c r="G944" s="92"/>
      <c r="H944" s="92"/>
      <c r="I944" s="92"/>
      <c r="J944" s="93"/>
      <c r="K944" s="93"/>
      <c r="L944" s="77"/>
      <c r="M944" s="77"/>
      <c r="N944" s="77"/>
      <c r="O944" s="77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</row>
    <row r="945" spans="1:27" ht="12.75" customHeight="1" x14ac:dyDescent="0.25">
      <c r="A945" s="79"/>
      <c r="B945" s="79"/>
      <c r="C945" s="77"/>
      <c r="D945" s="80"/>
      <c r="E945" s="80"/>
      <c r="F945" s="86"/>
      <c r="G945" s="92"/>
      <c r="H945" s="92"/>
      <c r="I945" s="92"/>
      <c r="J945" s="93"/>
      <c r="K945" s="93"/>
      <c r="L945" s="77"/>
      <c r="M945" s="77"/>
      <c r="N945" s="77"/>
      <c r="O945" s="77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</row>
    <row r="946" spans="1:27" ht="12.75" customHeight="1" x14ac:dyDescent="0.25">
      <c r="A946" s="79"/>
      <c r="B946" s="79"/>
      <c r="C946" s="77"/>
      <c r="D946" s="80"/>
      <c r="E946" s="80"/>
      <c r="F946" s="86"/>
      <c r="G946" s="92"/>
      <c r="H946" s="92"/>
      <c r="I946" s="92"/>
      <c r="J946" s="93"/>
      <c r="K946" s="93"/>
      <c r="L946" s="77"/>
      <c r="M946" s="77"/>
      <c r="N946" s="77"/>
      <c r="O946" s="77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</row>
    <row r="947" spans="1:27" ht="12.75" customHeight="1" x14ac:dyDescent="0.25">
      <c r="A947" s="79"/>
      <c r="B947" s="79"/>
      <c r="C947" s="77"/>
      <c r="D947" s="80"/>
      <c r="E947" s="80"/>
      <c r="F947" s="86"/>
      <c r="G947" s="92"/>
      <c r="H947" s="92"/>
      <c r="I947" s="92"/>
      <c r="J947" s="93"/>
      <c r="K947" s="93"/>
      <c r="L947" s="77"/>
      <c r="M947" s="77"/>
      <c r="N947" s="77"/>
      <c r="O947" s="77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</row>
    <row r="948" spans="1:27" ht="12.75" customHeight="1" x14ac:dyDescent="0.25">
      <c r="A948" s="79"/>
      <c r="B948" s="79"/>
      <c r="C948" s="77"/>
      <c r="D948" s="80"/>
      <c r="E948" s="80"/>
      <c r="F948" s="86"/>
      <c r="G948" s="92"/>
      <c r="H948" s="92"/>
      <c r="I948" s="92"/>
      <c r="J948" s="93"/>
      <c r="K948" s="93"/>
      <c r="L948" s="77"/>
      <c r="M948" s="77"/>
      <c r="N948" s="77"/>
      <c r="O948" s="77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</row>
    <row r="949" spans="1:27" ht="12.75" customHeight="1" x14ac:dyDescent="0.25">
      <c r="A949" s="79"/>
      <c r="B949" s="79"/>
      <c r="C949" s="77"/>
      <c r="D949" s="80"/>
      <c r="E949" s="80"/>
      <c r="F949" s="86"/>
      <c r="G949" s="92"/>
      <c r="H949" s="92"/>
      <c r="I949" s="92"/>
      <c r="J949" s="93"/>
      <c r="K949" s="93"/>
      <c r="L949" s="77"/>
      <c r="M949" s="77"/>
      <c r="N949" s="77"/>
      <c r="O949" s="77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</row>
    <row r="950" spans="1:27" ht="12.75" customHeight="1" x14ac:dyDescent="0.25">
      <c r="A950" s="79"/>
      <c r="B950" s="79"/>
      <c r="C950" s="77"/>
      <c r="D950" s="80"/>
      <c r="E950" s="80"/>
      <c r="F950" s="86"/>
      <c r="G950" s="92"/>
      <c r="H950" s="92"/>
      <c r="I950" s="92"/>
      <c r="J950" s="93"/>
      <c r="K950" s="93"/>
      <c r="L950" s="77"/>
      <c r="M950" s="77"/>
      <c r="N950" s="77"/>
      <c r="O950" s="77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</row>
    <row r="951" spans="1:27" ht="12.75" customHeight="1" x14ac:dyDescent="0.25">
      <c r="A951" s="79"/>
      <c r="B951" s="79"/>
      <c r="C951" s="77"/>
      <c r="D951" s="80"/>
      <c r="E951" s="80"/>
      <c r="F951" s="86"/>
      <c r="G951" s="92"/>
      <c r="H951" s="92"/>
      <c r="I951" s="92"/>
      <c r="J951" s="93"/>
      <c r="K951" s="93"/>
      <c r="L951" s="77"/>
      <c r="M951" s="77"/>
      <c r="N951" s="77"/>
      <c r="O951" s="77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</row>
    <row r="952" spans="1:27" ht="12.75" customHeight="1" x14ac:dyDescent="0.25">
      <c r="A952" s="79"/>
      <c r="B952" s="79"/>
      <c r="C952" s="77"/>
      <c r="D952" s="80"/>
      <c r="E952" s="80"/>
      <c r="F952" s="86"/>
      <c r="G952" s="92"/>
      <c r="H952" s="92"/>
      <c r="I952" s="92"/>
      <c r="J952" s="93"/>
      <c r="K952" s="93"/>
      <c r="L952" s="77"/>
      <c r="M952" s="77"/>
      <c r="N952" s="77"/>
      <c r="O952" s="77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</row>
    <row r="953" spans="1:27" ht="12.75" customHeight="1" x14ac:dyDescent="0.25">
      <c r="A953" s="79"/>
      <c r="B953" s="79"/>
      <c r="C953" s="77"/>
      <c r="D953" s="80"/>
      <c r="E953" s="80"/>
      <c r="F953" s="86"/>
      <c r="G953" s="92"/>
      <c r="H953" s="92"/>
      <c r="I953" s="92"/>
      <c r="J953" s="93"/>
      <c r="K953" s="93"/>
      <c r="L953" s="77"/>
      <c r="M953" s="77"/>
      <c r="N953" s="77"/>
      <c r="O953" s="77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</row>
    <row r="954" spans="1:27" ht="12.75" customHeight="1" x14ac:dyDescent="0.25">
      <c r="A954" s="79"/>
      <c r="B954" s="79"/>
      <c r="C954" s="77"/>
      <c r="D954" s="80"/>
      <c r="E954" s="80"/>
      <c r="F954" s="86"/>
      <c r="G954" s="92"/>
      <c r="H954" s="92"/>
      <c r="I954" s="92"/>
      <c r="J954" s="93"/>
      <c r="K954" s="93"/>
      <c r="L954" s="77"/>
      <c r="M954" s="77"/>
      <c r="N954" s="77"/>
      <c r="O954" s="77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</row>
    <row r="955" spans="1:27" ht="12.75" customHeight="1" x14ac:dyDescent="0.25">
      <c r="A955" s="79"/>
      <c r="B955" s="79"/>
      <c r="C955" s="77"/>
      <c r="D955" s="80"/>
      <c r="E955" s="80"/>
      <c r="F955" s="86"/>
      <c r="G955" s="92"/>
      <c r="H955" s="92"/>
      <c r="I955" s="92"/>
      <c r="J955" s="93"/>
      <c r="K955" s="93"/>
      <c r="L955" s="77"/>
      <c r="M955" s="77"/>
      <c r="N955" s="77"/>
      <c r="O955" s="77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</row>
    <row r="956" spans="1:27" ht="12.75" customHeight="1" x14ac:dyDescent="0.25">
      <c r="A956" s="79"/>
      <c r="B956" s="79"/>
      <c r="C956" s="77"/>
      <c r="D956" s="80"/>
      <c r="E956" s="80"/>
      <c r="F956" s="86"/>
      <c r="G956" s="92"/>
      <c r="H956" s="92"/>
      <c r="I956" s="92"/>
      <c r="J956" s="93"/>
      <c r="K956" s="93"/>
      <c r="L956" s="77"/>
      <c r="M956" s="77"/>
      <c r="N956" s="77"/>
      <c r="O956" s="77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</row>
    <row r="957" spans="1:27" ht="12.75" customHeight="1" x14ac:dyDescent="0.25">
      <c r="A957" s="79"/>
      <c r="B957" s="79"/>
      <c r="C957" s="77"/>
      <c r="D957" s="80"/>
      <c r="E957" s="80"/>
      <c r="F957" s="86"/>
      <c r="G957" s="92"/>
      <c r="H957" s="92"/>
      <c r="I957" s="92"/>
      <c r="J957" s="93"/>
      <c r="K957" s="93"/>
      <c r="L957" s="77"/>
      <c r="M957" s="77"/>
      <c r="N957" s="77"/>
      <c r="O957" s="77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</row>
    <row r="958" spans="1:27" ht="12.75" customHeight="1" x14ac:dyDescent="0.25">
      <c r="A958" s="79"/>
      <c r="B958" s="79"/>
      <c r="C958" s="77"/>
      <c r="D958" s="80"/>
      <c r="E958" s="80"/>
      <c r="F958" s="86"/>
      <c r="G958" s="92"/>
      <c r="H958" s="92"/>
      <c r="I958" s="92"/>
      <c r="J958" s="93"/>
      <c r="K958" s="93"/>
      <c r="L958" s="77"/>
      <c r="M958" s="77"/>
      <c r="N958" s="77"/>
      <c r="O958" s="77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</row>
    <row r="959" spans="1:27" ht="12.75" customHeight="1" x14ac:dyDescent="0.25">
      <c r="A959" s="79"/>
      <c r="B959" s="79"/>
      <c r="C959" s="77"/>
      <c r="D959" s="80"/>
      <c r="E959" s="80"/>
      <c r="F959" s="86"/>
      <c r="G959" s="92"/>
      <c r="H959" s="92"/>
      <c r="I959" s="92"/>
      <c r="J959" s="93"/>
      <c r="K959" s="93"/>
      <c r="L959" s="77"/>
      <c r="M959" s="77"/>
      <c r="N959" s="77"/>
      <c r="O959" s="77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</row>
    <row r="960" spans="1:27" ht="12.75" customHeight="1" x14ac:dyDescent="0.25">
      <c r="A960" s="79"/>
      <c r="B960" s="79"/>
      <c r="C960" s="77"/>
      <c r="D960" s="80"/>
      <c r="E960" s="80"/>
      <c r="F960" s="86"/>
      <c r="G960" s="92"/>
      <c r="H960" s="92"/>
      <c r="I960" s="92"/>
      <c r="J960" s="93"/>
      <c r="K960" s="93"/>
      <c r="L960" s="77"/>
      <c r="M960" s="77"/>
      <c r="N960" s="77"/>
      <c r="O960" s="77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</row>
    <row r="961" spans="1:27" ht="12.75" customHeight="1" x14ac:dyDescent="0.25">
      <c r="A961" s="79"/>
      <c r="B961" s="79"/>
      <c r="C961" s="77"/>
      <c r="D961" s="80"/>
      <c r="E961" s="80"/>
      <c r="F961" s="86"/>
      <c r="G961" s="92"/>
      <c r="H961" s="92"/>
      <c r="I961" s="92"/>
      <c r="J961" s="93"/>
      <c r="K961" s="93"/>
      <c r="L961" s="77"/>
      <c r="M961" s="77"/>
      <c r="N961" s="77"/>
      <c r="O961" s="77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</row>
    <row r="962" spans="1:27" ht="12.75" customHeight="1" x14ac:dyDescent="0.25">
      <c r="A962" s="79"/>
      <c r="B962" s="79"/>
      <c r="C962" s="77"/>
      <c r="D962" s="80"/>
      <c r="E962" s="80"/>
      <c r="F962" s="86"/>
      <c r="G962" s="92"/>
      <c r="H962" s="92"/>
      <c r="I962" s="92"/>
      <c r="J962" s="93"/>
      <c r="K962" s="93"/>
      <c r="L962" s="77"/>
      <c r="M962" s="77"/>
      <c r="N962" s="77"/>
      <c r="O962" s="77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</row>
    <row r="963" spans="1:27" ht="12.75" customHeight="1" x14ac:dyDescent="0.25">
      <c r="A963" s="79"/>
      <c r="B963" s="79"/>
      <c r="C963" s="77"/>
      <c r="D963" s="80"/>
      <c r="E963" s="80"/>
      <c r="F963" s="86"/>
      <c r="G963" s="92"/>
      <c r="H963" s="92"/>
      <c r="I963" s="92"/>
      <c r="J963" s="93"/>
      <c r="K963" s="93"/>
      <c r="L963" s="77"/>
      <c r="M963" s="77"/>
      <c r="N963" s="77"/>
      <c r="O963" s="77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</row>
    <row r="964" spans="1:27" ht="12.75" customHeight="1" x14ac:dyDescent="0.25">
      <c r="A964" s="79"/>
      <c r="B964" s="79"/>
      <c r="C964" s="77"/>
      <c r="D964" s="80"/>
      <c r="E964" s="80"/>
      <c r="F964" s="86"/>
      <c r="G964" s="92"/>
      <c r="H964" s="92"/>
      <c r="I964" s="92"/>
      <c r="J964" s="93"/>
      <c r="K964" s="93"/>
      <c r="L964" s="77"/>
      <c r="M964" s="77"/>
      <c r="N964" s="77"/>
      <c r="O964" s="77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</row>
    <row r="965" spans="1:27" ht="12.75" customHeight="1" x14ac:dyDescent="0.25">
      <c r="A965" s="79"/>
      <c r="B965" s="79"/>
      <c r="C965" s="77"/>
      <c r="D965" s="80"/>
      <c r="E965" s="80"/>
      <c r="F965" s="86"/>
      <c r="G965" s="92"/>
      <c r="H965" s="92"/>
      <c r="I965" s="92"/>
      <c r="J965" s="93"/>
      <c r="K965" s="93"/>
      <c r="L965" s="77"/>
      <c r="M965" s="77"/>
      <c r="N965" s="77"/>
      <c r="O965" s="77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</row>
    <row r="966" spans="1:27" ht="12.75" customHeight="1" x14ac:dyDescent="0.25">
      <c r="A966" s="79"/>
      <c r="B966" s="79"/>
      <c r="C966" s="77"/>
      <c r="D966" s="80"/>
      <c r="E966" s="80"/>
      <c r="F966" s="86"/>
      <c r="G966" s="92"/>
      <c r="H966" s="92"/>
      <c r="I966" s="92"/>
      <c r="J966" s="93"/>
      <c r="K966" s="93"/>
      <c r="L966" s="77"/>
      <c r="M966" s="77"/>
      <c r="N966" s="77"/>
      <c r="O966" s="77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</row>
    <row r="967" spans="1:27" ht="12.75" customHeight="1" x14ac:dyDescent="0.25">
      <c r="A967" s="79"/>
      <c r="B967" s="79"/>
      <c r="C967" s="77"/>
      <c r="D967" s="80"/>
      <c r="E967" s="80"/>
      <c r="F967" s="86"/>
      <c r="G967" s="92"/>
      <c r="H967" s="92"/>
      <c r="I967" s="92"/>
      <c r="J967" s="93"/>
      <c r="K967" s="93"/>
      <c r="L967" s="77"/>
      <c r="M967" s="77"/>
      <c r="N967" s="77"/>
      <c r="O967" s="77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</row>
    <row r="968" spans="1:27" ht="12.75" customHeight="1" x14ac:dyDescent="0.25">
      <c r="A968" s="79"/>
      <c r="B968" s="79"/>
      <c r="C968" s="77"/>
      <c r="D968" s="80"/>
      <c r="E968" s="80"/>
      <c r="F968" s="86"/>
      <c r="G968" s="92"/>
      <c r="H968" s="92"/>
      <c r="I968" s="92"/>
      <c r="J968" s="93"/>
      <c r="K968" s="93"/>
      <c r="L968" s="77"/>
      <c r="M968" s="77"/>
      <c r="N968" s="77"/>
      <c r="O968" s="77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</row>
    <row r="969" spans="1:27" ht="12.75" customHeight="1" x14ac:dyDescent="0.25">
      <c r="A969" s="79"/>
      <c r="B969" s="79"/>
      <c r="C969" s="77"/>
      <c r="D969" s="80"/>
      <c r="E969" s="80"/>
      <c r="F969" s="86"/>
      <c r="G969" s="92"/>
      <c r="H969" s="92"/>
      <c r="I969" s="92"/>
      <c r="J969" s="93"/>
      <c r="K969" s="93"/>
      <c r="L969" s="77"/>
      <c r="M969" s="77"/>
      <c r="N969" s="77"/>
      <c r="O969" s="77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</row>
    <row r="970" spans="1:27" ht="12.75" customHeight="1" x14ac:dyDescent="0.25">
      <c r="A970" s="79"/>
      <c r="B970" s="79"/>
      <c r="C970" s="77"/>
      <c r="D970" s="80"/>
      <c r="E970" s="80"/>
      <c r="F970" s="86"/>
      <c r="G970" s="92"/>
      <c r="H970" s="92"/>
      <c r="I970" s="92"/>
      <c r="J970" s="93"/>
      <c r="K970" s="93"/>
      <c r="L970" s="77"/>
      <c r="M970" s="77"/>
      <c r="N970" s="77"/>
      <c r="O970" s="77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</row>
    <row r="971" spans="1:27" ht="12.75" customHeight="1" x14ac:dyDescent="0.25">
      <c r="A971" s="79"/>
      <c r="B971" s="79"/>
      <c r="C971" s="77"/>
      <c r="D971" s="80"/>
      <c r="E971" s="80"/>
      <c r="F971" s="86"/>
      <c r="G971" s="92"/>
      <c r="H971" s="92"/>
      <c r="I971" s="92"/>
      <c r="J971" s="93"/>
      <c r="K971" s="93"/>
      <c r="L971" s="77"/>
      <c r="M971" s="77"/>
      <c r="N971" s="77"/>
      <c r="O971" s="77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</row>
    <row r="972" spans="1:27" ht="12.75" customHeight="1" x14ac:dyDescent="0.25">
      <c r="A972" s="79"/>
      <c r="B972" s="79"/>
      <c r="C972" s="77"/>
      <c r="D972" s="80"/>
      <c r="E972" s="80"/>
      <c r="F972" s="86"/>
      <c r="G972" s="92"/>
      <c r="H972" s="92"/>
      <c r="I972" s="92"/>
      <c r="J972" s="93"/>
      <c r="K972" s="93"/>
      <c r="L972" s="77"/>
      <c r="M972" s="77"/>
      <c r="N972" s="77"/>
      <c r="O972" s="77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</row>
    <row r="973" spans="1:27" ht="12.75" customHeight="1" x14ac:dyDescent="0.25">
      <c r="A973" s="79"/>
      <c r="B973" s="79"/>
      <c r="C973" s="77"/>
      <c r="D973" s="80"/>
      <c r="E973" s="80"/>
      <c r="F973" s="86"/>
      <c r="G973" s="92"/>
      <c r="H973" s="92"/>
      <c r="I973" s="92"/>
      <c r="J973" s="93"/>
      <c r="K973" s="93"/>
      <c r="L973" s="77"/>
      <c r="M973" s="77"/>
      <c r="N973" s="77"/>
      <c r="O973" s="77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</row>
    <row r="974" spans="1:27" ht="12.75" customHeight="1" x14ac:dyDescent="0.25">
      <c r="A974" s="79"/>
      <c r="B974" s="79"/>
      <c r="C974" s="77"/>
      <c r="D974" s="80"/>
      <c r="E974" s="80"/>
      <c r="F974" s="86"/>
      <c r="G974" s="92"/>
      <c r="H974" s="92"/>
      <c r="I974" s="92"/>
      <c r="J974" s="93"/>
      <c r="K974" s="93"/>
      <c r="L974" s="77"/>
      <c r="M974" s="77"/>
      <c r="N974" s="77"/>
      <c r="O974" s="77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</row>
    <row r="975" spans="1:27" ht="12.75" customHeight="1" x14ac:dyDescent="0.25">
      <c r="A975" s="79"/>
      <c r="B975" s="79"/>
      <c r="C975" s="77"/>
      <c r="D975" s="80"/>
      <c r="E975" s="80"/>
      <c r="F975" s="86"/>
      <c r="G975" s="92"/>
      <c r="H975" s="92"/>
      <c r="I975" s="92"/>
      <c r="J975" s="93"/>
      <c r="K975" s="93"/>
      <c r="L975" s="77"/>
      <c r="M975" s="77"/>
      <c r="N975" s="77"/>
      <c r="O975" s="77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</row>
    <row r="976" spans="1:27" ht="12.75" customHeight="1" x14ac:dyDescent="0.25">
      <c r="A976" s="79"/>
      <c r="B976" s="79"/>
      <c r="C976" s="77"/>
      <c r="D976" s="80"/>
      <c r="E976" s="80"/>
      <c r="F976" s="86"/>
      <c r="G976" s="92"/>
      <c r="H976" s="92"/>
      <c r="I976" s="92"/>
      <c r="J976" s="93"/>
      <c r="K976" s="93"/>
      <c r="L976" s="77"/>
      <c r="M976" s="77"/>
      <c r="N976" s="77"/>
      <c r="O976" s="77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</row>
    <row r="977" spans="1:27" ht="12.75" customHeight="1" x14ac:dyDescent="0.25">
      <c r="A977" s="79"/>
      <c r="B977" s="79"/>
      <c r="C977" s="77"/>
      <c r="D977" s="80"/>
      <c r="E977" s="80"/>
      <c r="F977" s="86"/>
      <c r="G977" s="92"/>
      <c r="H977" s="92"/>
      <c r="I977" s="92"/>
      <c r="J977" s="93"/>
      <c r="K977" s="93"/>
      <c r="L977" s="77"/>
      <c r="M977" s="77"/>
      <c r="N977" s="77"/>
      <c r="O977" s="77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</row>
    <row r="978" spans="1:27" ht="12.75" customHeight="1" x14ac:dyDescent="0.25">
      <c r="A978" s="79"/>
      <c r="B978" s="79"/>
      <c r="C978" s="77"/>
      <c r="D978" s="80"/>
      <c r="E978" s="80"/>
      <c r="F978" s="86"/>
      <c r="G978" s="92"/>
      <c r="H978" s="92"/>
      <c r="I978" s="92"/>
      <c r="J978" s="93"/>
      <c r="K978" s="93"/>
      <c r="L978" s="77"/>
      <c r="M978" s="77"/>
      <c r="N978" s="77"/>
      <c r="O978" s="77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</row>
    <row r="979" spans="1:27" ht="12.75" customHeight="1" x14ac:dyDescent="0.25">
      <c r="A979" s="79"/>
      <c r="B979" s="79"/>
      <c r="C979" s="77"/>
      <c r="D979" s="80"/>
      <c r="E979" s="80"/>
      <c r="F979" s="86"/>
      <c r="G979" s="92"/>
      <c r="H979" s="92"/>
      <c r="I979" s="92"/>
      <c r="J979" s="93"/>
      <c r="K979" s="93"/>
      <c r="L979" s="77"/>
      <c r="M979" s="77"/>
      <c r="N979" s="77"/>
      <c r="O979" s="77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</row>
    <row r="980" spans="1:27" ht="12.75" customHeight="1" x14ac:dyDescent="0.25">
      <c r="A980" s="79"/>
      <c r="B980" s="79"/>
      <c r="C980" s="77"/>
      <c r="D980" s="80"/>
      <c r="E980" s="80"/>
      <c r="F980" s="86"/>
      <c r="G980" s="92"/>
      <c r="H980" s="92"/>
      <c r="I980" s="92"/>
      <c r="J980" s="93"/>
      <c r="K980" s="93"/>
      <c r="L980" s="77"/>
      <c r="M980" s="77"/>
      <c r="N980" s="77"/>
      <c r="O980" s="77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</row>
    <row r="981" spans="1:27" ht="12.75" customHeight="1" x14ac:dyDescent="0.25">
      <c r="A981" s="79"/>
      <c r="B981" s="79"/>
      <c r="C981" s="77"/>
      <c r="D981" s="80"/>
      <c r="E981" s="80"/>
      <c r="F981" s="86"/>
      <c r="G981" s="93"/>
      <c r="H981" s="93"/>
      <c r="I981" s="93"/>
      <c r="J981" s="93"/>
      <c r="K981" s="93"/>
      <c r="L981" s="77"/>
      <c r="M981" s="77"/>
      <c r="N981" s="77"/>
      <c r="O981" s="77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</row>
  </sheetData>
  <conditionalFormatting sqref="J5:J31 J35:J61 J66:J81 J86:J104 J109:J118 J120:J122 J124:J132 J136:J146">
    <cfRule type="cellIs" dxfId="7" priority="1" operator="equal">
      <formula>0</formula>
    </cfRule>
  </conditionalFormatting>
  <conditionalFormatting sqref="J5:K31 J35:K61 J66:K81 J86:K104 J109:K118 J120:K122 J124:K132 J136:K146">
    <cfRule type="cellIs" dxfId="6" priority="2" operator="equal">
      <formula>0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98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30.77734375" customWidth="1"/>
    <col min="2" max="2" width="10.109375" customWidth="1"/>
    <col min="3" max="3" width="9.77734375" customWidth="1"/>
    <col min="4" max="4" width="9.21875" customWidth="1"/>
    <col min="5" max="5" width="10" customWidth="1"/>
    <col min="6" max="6" width="12.109375" customWidth="1"/>
    <col min="7" max="7" width="16.88671875" customWidth="1"/>
    <col min="8" max="8" width="13.109375" customWidth="1"/>
    <col min="9" max="9" width="13.77734375" customWidth="1"/>
    <col min="10" max="27" width="10" customWidth="1"/>
  </cols>
  <sheetData>
    <row r="1" spans="1:27" ht="12.75" customHeight="1" x14ac:dyDescent="0.25">
      <c r="A1" s="9" t="s">
        <v>14</v>
      </c>
      <c r="B1" s="46" t="s">
        <v>791</v>
      </c>
      <c r="C1" s="9" t="s">
        <v>15</v>
      </c>
      <c r="D1" s="9" t="s">
        <v>16</v>
      </c>
      <c r="E1" s="9" t="s">
        <v>17</v>
      </c>
      <c r="F1" s="84" t="s">
        <v>18</v>
      </c>
      <c r="G1" s="84" t="s">
        <v>19</v>
      </c>
      <c r="H1" s="84" t="s">
        <v>20</v>
      </c>
      <c r="I1" s="84" t="s">
        <v>21</v>
      </c>
      <c r="J1" s="85" t="s">
        <v>22</v>
      </c>
      <c r="K1" s="86" t="s">
        <v>23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2.75" customHeight="1" x14ac:dyDescent="0.3">
      <c r="A2" s="62" t="s">
        <v>792</v>
      </c>
      <c r="B2" s="51"/>
      <c r="C2" s="5"/>
      <c r="D2" s="5"/>
      <c r="E2" s="5"/>
      <c r="F2" s="102"/>
      <c r="G2" s="88"/>
      <c r="H2" s="88"/>
      <c r="I2" s="88"/>
      <c r="J2" s="89"/>
      <c r="K2" s="90">
        <f>SUM(K3:K90)</f>
        <v>359.57000000000005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2.75" customHeight="1" x14ac:dyDescent="0.3">
      <c r="A3" s="55"/>
      <c r="B3" s="51"/>
      <c r="C3" s="5"/>
      <c r="D3" s="5"/>
      <c r="E3" s="5"/>
      <c r="F3" s="84"/>
      <c r="G3" s="92"/>
      <c r="H3" s="92"/>
      <c r="I3" s="92"/>
      <c r="J3" s="93"/>
      <c r="K3" s="9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2.75" customHeight="1" x14ac:dyDescent="0.3">
      <c r="A4" s="103" t="s">
        <v>793</v>
      </c>
      <c r="B4" s="51"/>
      <c r="C4" s="5"/>
      <c r="D4" s="5"/>
      <c r="E4" s="5"/>
      <c r="F4" s="102"/>
      <c r="G4" s="88"/>
      <c r="H4" s="88"/>
      <c r="I4" s="88"/>
      <c r="J4" s="94"/>
      <c r="K4" s="9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 customHeight="1" x14ac:dyDescent="0.25">
      <c r="A5" s="99"/>
      <c r="B5" s="104"/>
      <c r="C5" s="105"/>
      <c r="D5" s="105"/>
      <c r="E5" s="105"/>
      <c r="F5" s="84"/>
      <c r="G5" s="92"/>
      <c r="H5" s="92"/>
      <c r="I5" s="92"/>
      <c r="J5" s="8"/>
      <c r="K5" s="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</row>
    <row r="6" spans="1:27" ht="12.75" customHeight="1" x14ac:dyDescent="0.3">
      <c r="A6" s="99" t="s">
        <v>794</v>
      </c>
      <c r="B6" s="104"/>
      <c r="C6" s="106">
        <v>2.31</v>
      </c>
      <c r="D6" s="106">
        <v>2.8</v>
      </c>
      <c r="E6" s="106">
        <v>3</v>
      </c>
      <c r="F6" s="84" t="s">
        <v>607</v>
      </c>
      <c r="G6" s="92"/>
      <c r="H6" s="92">
        <v>19</v>
      </c>
      <c r="I6" s="92"/>
      <c r="J6" s="8">
        <f t="shared" ref="J6:J14" si="0">SUM(G6:I6)</f>
        <v>19</v>
      </c>
      <c r="K6" s="9">
        <f t="shared" ref="K6:K14" si="1">SUM(C6*J6)</f>
        <v>43.89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</row>
    <row r="7" spans="1:27" ht="12.75" customHeight="1" x14ac:dyDescent="0.3">
      <c r="A7" s="99" t="s">
        <v>795</v>
      </c>
      <c r="B7" s="104"/>
      <c r="C7" s="106">
        <v>2.21</v>
      </c>
      <c r="D7" s="106">
        <v>2.8</v>
      </c>
      <c r="E7" s="106">
        <v>3</v>
      </c>
      <c r="F7" s="84" t="s">
        <v>607</v>
      </c>
      <c r="G7" s="92"/>
      <c r="H7" s="92">
        <v>7</v>
      </c>
      <c r="I7" s="92"/>
      <c r="J7" s="8">
        <f t="shared" si="0"/>
        <v>7</v>
      </c>
      <c r="K7" s="9">
        <f t="shared" si="1"/>
        <v>15.469999999999999</v>
      </c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</row>
    <row r="8" spans="1:27" ht="12.75" customHeight="1" x14ac:dyDescent="0.3">
      <c r="A8" s="99" t="s">
        <v>796</v>
      </c>
      <c r="B8" s="104"/>
      <c r="C8" s="106">
        <v>2.75</v>
      </c>
      <c r="D8" s="106">
        <v>3</v>
      </c>
      <c r="E8" s="106">
        <v>3</v>
      </c>
      <c r="F8" s="84" t="s">
        <v>607</v>
      </c>
      <c r="G8" s="92"/>
      <c r="H8" s="92">
        <v>10</v>
      </c>
      <c r="I8" s="92"/>
      <c r="J8" s="8">
        <f t="shared" si="0"/>
        <v>10</v>
      </c>
      <c r="K8" s="9">
        <f t="shared" si="1"/>
        <v>27.5</v>
      </c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</row>
    <row r="9" spans="1:27" ht="12.75" customHeight="1" x14ac:dyDescent="0.3">
      <c r="A9" s="99" t="s">
        <v>797</v>
      </c>
      <c r="B9" s="104"/>
      <c r="C9" s="106">
        <v>2.39</v>
      </c>
      <c r="D9" s="106">
        <v>2.8</v>
      </c>
      <c r="E9" s="106">
        <v>3</v>
      </c>
      <c r="F9" s="84" t="s">
        <v>607</v>
      </c>
      <c r="G9" s="92"/>
      <c r="H9" s="92">
        <v>10</v>
      </c>
      <c r="I9" s="92"/>
      <c r="J9" s="8">
        <f t="shared" si="0"/>
        <v>10</v>
      </c>
      <c r="K9" s="9">
        <f t="shared" si="1"/>
        <v>23.900000000000002</v>
      </c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</row>
    <row r="10" spans="1:27" ht="12.75" customHeight="1" x14ac:dyDescent="0.3">
      <c r="A10" s="99" t="s">
        <v>798</v>
      </c>
      <c r="B10" s="104"/>
      <c r="C10" s="106">
        <v>2.4700000000000002</v>
      </c>
      <c r="D10" s="106">
        <v>2.8</v>
      </c>
      <c r="E10" s="106">
        <v>3</v>
      </c>
      <c r="F10" s="84" t="s">
        <v>607</v>
      </c>
      <c r="G10" s="92"/>
      <c r="H10" s="92">
        <v>17</v>
      </c>
      <c r="I10" s="92"/>
      <c r="J10" s="8">
        <f t="shared" si="0"/>
        <v>17</v>
      </c>
      <c r="K10" s="9">
        <f t="shared" si="1"/>
        <v>41.99</v>
      </c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</row>
    <row r="11" spans="1:27" ht="12.75" customHeight="1" x14ac:dyDescent="0.3">
      <c r="A11" s="99" t="s">
        <v>799</v>
      </c>
      <c r="B11" s="104"/>
      <c r="C11" s="106">
        <v>2.08</v>
      </c>
      <c r="D11" s="106">
        <v>2.8</v>
      </c>
      <c r="E11" s="106">
        <v>3</v>
      </c>
      <c r="F11" s="84" t="s">
        <v>607</v>
      </c>
      <c r="G11" s="92"/>
      <c r="H11" s="92">
        <v>10</v>
      </c>
      <c r="I11" s="92"/>
      <c r="J11" s="8">
        <f t="shared" si="0"/>
        <v>10</v>
      </c>
      <c r="K11" s="9">
        <f t="shared" si="1"/>
        <v>20.8</v>
      </c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</row>
    <row r="12" spans="1:27" ht="12.75" customHeight="1" x14ac:dyDescent="0.3">
      <c r="A12" s="99" t="s">
        <v>800</v>
      </c>
      <c r="B12" s="104"/>
      <c r="C12" s="106">
        <v>1.99</v>
      </c>
      <c r="D12" s="106">
        <v>2.2000000000000002</v>
      </c>
      <c r="E12" s="106">
        <v>2.2000000000000002</v>
      </c>
      <c r="F12" s="84" t="s">
        <v>607</v>
      </c>
      <c r="G12" s="92"/>
      <c r="H12" s="92">
        <v>6</v>
      </c>
      <c r="I12" s="92"/>
      <c r="J12" s="8">
        <f t="shared" si="0"/>
        <v>6</v>
      </c>
      <c r="K12" s="9">
        <f t="shared" si="1"/>
        <v>11.94</v>
      </c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</row>
    <row r="13" spans="1:27" ht="12.75" customHeight="1" x14ac:dyDescent="0.3">
      <c r="A13" s="99" t="s">
        <v>801</v>
      </c>
      <c r="B13" s="104"/>
      <c r="C13" s="106">
        <v>1.66</v>
      </c>
      <c r="D13" s="106">
        <v>2.2000000000000002</v>
      </c>
      <c r="E13" s="106">
        <v>2.2000000000000002</v>
      </c>
      <c r="F13" s="84" t="s">
        <v>607</v>
      </c>
      <c r="G13" s="92"/>
      <c r="H13" s="92">
        <v>12</v>
      </c>
      <c r="I13" s="92"/>
      <c r="J13" s="8">
        <f t="shared" si="0"/>
        <v>12</v>
      </c>
      <c r="K13" s="9">
        <f t="shared" si="1"/>
        <v>19.919999999999998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3">
      <c r="A14" s="99" t="s">
        <v>802</v>
      </c>
      <c r="B14" s="107"/>
      <c r="C14" s="106">
        <v>1.75</v>
      </c>
      <c r="D14" s="106">
        <v>2.2000000000000002</v>
      </c>
      <c r="E14" s="106">
        <v>2.2000000000000002</v>
      </c>
      <c r="F14" s="84" t="s">
        <v>607</v>
      </c>
      <c r="G14" s="92"/>
      <c r="H14" s="92">
        <v>5</v>
      </c>
      <c r="I14" s="92"/>
      <c r="J14" s="8">
        <f t="shared" si="0"/>
        <v>5</v>
      </c>
      <c r="K14" s="9">
        <f t="shared" si="1"/>
        <v>8.75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4"/>
      <c r="B15" s="65"/>
      <c r="C15" s="5"/>
      <c r="D15" s="5"/>
      <c r="E15" s="5"/>
      <c r="F15" s="84"/>
      <c r="G15" s="92"/>
      <c r="H15" s="92"/>
      <c r="I15" s="92"/>
      <c r="J15" s="8"/>
      <c r="K15" s="9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4"/>
      <c r="B16" s="65"/>
      <c r="C16" s="5"/>
      <c r="D16" s="5"/>
      <c r="E16" s="5"/>
      <c r="F16" s="84"/>
      <c r="G16" s="92"/>
      <c r="H16" s="92"/>
      <c r="I16" s="92"/>
      <c r="J16" s="8"/>
      <c r="K16" s="9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3">
      <c r="A17" s="103" t="s">
        <v>803</v>
      </c>
      <c r="B17" s="65"/>
      <c r="C17" s="5"/>
      <c r="D17" s="5"/>
      <c r="E17" s="5"/>
      <c r="F17" s="84"/>
      <c r="G17" s="92"/>
      <c r="H17" s="92"/>
      <c r="I17" s="92"/>
      <c r="J17" s="8"/>
      <c r="K17" s="9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3">
      <c r="A18" s="103"/>
      <c r="B18" s="65"/>
      <c r="C18" s="5"/>
      <c r="D18" s="5"/>
      <c r="E18" s="5"/>
      <c r="F18" s="84"/>
      <c r="G18" s="92"/>
      <c r="H18" s="92"/>
      <c r="I18" s="92"/>
      <c r="J18" s="8"/>
      <c r="K18" s="9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3">
      <c r="A19" s="99" t="s">
        <v>804</v>
      </c>
      <c r="B19" s="65"/>
      <c r="C19" s="106">
        <v>17.71</v>
      </c>
      <c r="D19" s="106">
        <v>20</v>
      </c>
      <c r="E19" s="106">
        <v>20</v>
      </c>
      <c r="F19" s="84" t="s">
        <v>607</v>
      </c>
      <c r="G19" s="92"/>
      <c r="H19" s="92">
        <v>1</v>
      </c>
      <c r="I19" s="92"/>
      <c r="J19" s="8">
        <f t="shared" ref="J19:J36" si="2">SUM(G19:I19)</f>
        <v>1</v>
      </c>
      <c r="K19" s="9">
        <f t="shared" ref="K19:K36" si="3">SUM(C19*J19)</f>
        <v>17.71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3">
      <c r="A20" s="99" t="s">
        <v>805</v>
      </c>
      <c r="B20" s="65"/>
      <c r="C20" s="106">
        <v>3.46</v>
      </c>
      <c r="D20" s="106">
        <v>4.5</v>
      </c>
      <c r="E20" s="106">
        <v>4.5</v>
      </c>
      <c r="F20" s="84" t="s">
        <v>607</v>
      </c>
      <c r="G20" s="92"/>
      <c r="H20" s="92">
        <v>5</v>
      </c>
      <c r="I20" s="92"/>
      <c r="J20" s="8">
        <f t="shared" si="2"/>
        <v>5</v>
      </c>
      <c r="K20" s="9">
        <f t="shared" si="3"/>
        <v>17.3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3">
      <c r="A21" s="99" t="s">
        <v>806</v>
      </c>
      <c r="B21" s="65"/>
      <c r="C21" s="106">
        <v>1.82</v>
      </c>
      <c r="D21" s="106">
        <v>2.75</v>
      </c>
      <c r="E21" s="106">
        <v>2.75</v>
      </c>
      <c r="F21" s="84" t="s">
        <v>607</v>
      </c>
      <c r="G21" s="92"/>
      <c r="H21" s="92"/>
      <c r="I21" s="92"/>
      <c r="J21" s="8">
        <f t="shared" si="2"/>
        <v>0</v>
      </c>
      <c r="K21" s="9">
        <f t="shared" si="3"/>
        <v>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3">
      <c r="A22" s="99" t="s">
        <v>807</v>
      </c>
      <c r="B22" s="65"/>
      <c r="C22" s="106">
        <v>11.5</v>
      </c>
      <c r="D22" s="106">
        <v>12.95</v>
      </c>
      <c r="E22" s="106">
        <v>12.95</v>
      </c>
      <c r="F22" s="84" t="s">
        <v>607</v>
      </c>
      <c r="G22" s="92"/>
      <c r="H22" s="92">
        <v>2</v>
      </c>
      <c r="I22" s="92"/>
      <c r="J22" s="8">
        <f t="shared" si="2"/>
        <v>2</v>
      </c>
      <c r="K22" s="9">
        <f t="shared" si="3"/>
        <v>23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3">
      <c r="A23" s="99" t="s">
        <v>808</v>
      </c>
      <c r="B23" s="65"/>
      <c r="C23" s="106">
        <v>0.28999999999999998</v>
      </c>
      <c r="D23" s="106">
        <v>0.4</v>
      </c>
      <c r="E23" s="106">
        <v>0.4</v>
      </c>
      <c r="F23" s="84" t="s">
        <v>607</v>
      </c>
      <c r="G23" s="92"/>
      <c r="H23" s="92"/>
      <c r="I23" s="92"/>
      <c r="J23" s="8">
        <f t="shared" si="2"/>
        <v>0</v>
      </c>
      <c r="K23" s="9">
        <f t="shared" si="3"/>
        <v>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3">
      <c r="A24" s="99" t="s">
        <v>809</v>
      </c>
      <c r="B24" s="65"/>
      <c r="C24" s="106">
        <v>8.1999999999999993</v>
      </c>
      <c r="D24" s="106">
        <v>9.9499999999999993</v>
      </c>
      <c r="E24" s="106">
        <v>9.9499999999999993</v>
      </c>
      <c r="F24" s="84" t="s">
        <v>607</v>
      </c>
      <c r="G24" s="92"/>
      <c r="H24" s="92">
        <v>1</v>
      </c>
      <c r="I24" s="92"/>
      <c r="J24" s="8">
        <f t="shared" si="2"/>
        <v>1</v>
      </c>
      <c r="K24" s="9">
        <f t="shared" si="3"/>
        <v>8.1999999999999993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3">
      <c r="A25" s="99" t="s">
        <v>810</v>
      </c>
      <c r="B25" s="65"/>
      <c r="C25" s="106"/>
      <c r="D25" s="106">
        <v>0.4</v>
      </c>
      <c r="E25" s="106">
        <v>0.4</v>
      </c>
      <c r="F25" s="84" t="s">
        <v>607</v>
      </c>
      <c r="G25" s="92"/>
      <c r="H25" s="92"/>
      <c r="I25" s="92"/>
      <c r="J25" s="8">
        <f t="shared" si="2"/>
        <v>0</v>
      </c>
      <c r="K25" s="9">
        <f t="shared" si="3"/>
        <v>0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3">
      <c r="A26" s="99" t="s">
        <v>811</v>
      </c>
      <c r="B26" s="65"/>
      <c r="C26" s="106">
        <v>5.94</v>
      </c>
      <c r="D26" s="106">
        <v>7</v>
      </c>
      <c r="E26" s="106">
        <v>7</v>
      </c>
      <c r="F26" s="84" t="s">
        <v>607</v>
      </c>
      <c r="G26" s="92"/>
      <c r="H26" s="92"/>
      <c r="I26" s="92"/>
      <c r="J26" s="8">
        <f t="shared" si="2"/>
        <v>0</v>
      </c>
      <c r="K26" s="9">
        <f t="shared" si="3"/>
        <v>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3">
      <c r="A27" s="99" t="s">
        <v>812</v>
      </c>
      <c r="B27" s="65"/>
      <c r="C27" s="106">
        <v>7.13</v>
      </c>
      <c r="D27" s="106" t="s">
        <v>813</v>
      </c>
      <c r="E27" s="106" t="s">
        <v>813</v>
      </c>
      <c r="F27" s="84" t="s">
        <v>607</v>
      </c>
      <c r="G27" s="92"/>
      <c r="H27" s="92"/>
      <c r="I27" s="92"/>
      <c r="J27" s="8">
        <f t="shared" si="2"/>
        <v>0</v>
      </c>
      <c r="K27" s="9">
        <f t="shared" si="3"/>
        <v>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3">
      <c r="A28" s="99" t="s">
        <v>814</v>
      </c>
      <c r="B28" s="65"/>
      <c r="C28" s="106">
        <v>5.22</v>
      </c>
      <c r="D28" s="106">
        <v>6.5</v>
      </c>
      <c r="E28" s="106">
        <v>6.5</v>
      </c>
      <c r="F28" s="84" t="s">
        <v>607</v>
      </c>
      <c r="G28" s="92"/>
      <c r="H28" s="92">
        <v>2</v>
      </c>
      <c r="I28" s="92"/>
      <c r="J28" s="8">
        <f t="shared" si="2"/>
        <v>2</v>
      </c>
      <c r="K28" s="9">
        <f t="shared" si="3"/>
        <v>10.44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3">
      <c r="A29" s="99" t="s">
        <v>815</v>
      </c>
      <c r="B29" s="65"/>
      <c r="C29" s="106">
        <v>1.2</v>
      </c>
      <c r="D29" s="106">
        <v>1.5</v>
      </c>
      <c r="E29" s="106">
        <v>1.5</v>
      </c>
      <c r="F29" s="84" t="s">
        <v>607</v>
      </c>
      <c r="G29" s="92"/>
      <c r="H29" s="92"/>
      <c r="I29" s="92"/>
      <c r="J29" s="8">
        <f t="shared" si="2"/>
        <v>0</v>
      </c>
      <c r="K29" s="9">
        <f t="shared" si="3"/>
        <v>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3">
      <c r="A30" s="99" t="s">
        <v>816</v>
      </c>
      <c r="B30" s="65"/>
      <c r="C30" s="106">
        <v>6.38</v>
      </c>
      <c r="D30" s="106">
        <v>7</v>
      </c>
      <c r="E30" s="106">
        <v>7</v>
      </c>
      <c r="F30" s="84" t="s">
        <v>607</v>
      </c>
      <c r="G30" s="92"/>
      <c r="H30" s="92"/>
      <c r="I30" s="92"/>
      <c r="J30" s="8">
        <f t="shared" si="2"/>
        <v>0</v>
      </c>
      <c r="K30" s="9">
        <f t="shared" si="3"/>
        <v>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3">
      <c r="A31" s="99" t="s">
        <v>817</v>
      </c>
      <c r="B31" s="65"/>
      <c r="C31" s="106">
        <v>12.3</v>
      </c>
      <c r="D31" s="106">
        <v>14</v>
      </c>
      <c r="E31" s="106">
        <v>14</v>
      </c>
      <c r="F31" s="84" t="s">
        <v>607</v>
      </c>
      <c r="G31" s="92"/>
      <c r="H31" s="92">
        <v>1</v>
      </c>
      <c r="I31" s="92"/>
      <c r="J31" s="8">
        <f t="shared" si="2"/>
        <v>1</v>
      </c>
      <c r="K31" s="9">
        <f t="shared" si="3"/>
        <v>12.3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customHeight="1" x14ac:dyDescent="0.3">
      <c r="A32" s="99" t="s">
        <v>818</v>
      </c>
      <c r="B32" s="65"/>
      <c r="C32" s="106">
        <v>2.46</v>
      </c>
      <c r="D32" s="106">
        <v>2.8</v>
      </c>
      <c r="E32" s="106">
        <v>2.8</v>
      </c>
      <c r="F32" s="84" t="s">
        <v>607</v>
      </c>
      <c r="G32" s="92"/>
      <c r="H32" s="92"/>
      <c r="I32" s="92"/>
      <c r="J32" s="8">
        <f t="shared" si="2"/>
        <v>0</v>
      </c>
      <c r="K32" s="9">
        <f t="shared" si="3"/>
        <v>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75" customHeight="1" x14ac:dyDescent="0.3">
      <c r="A33" s="99" t="s">
        <v>819</v>
      </c>
      <c r="B33" s="107"/>
      <c r="C33" s="106">
        <v>22.82</v>
      </c>
      <c r="D33" s="106">
        <v>24</v>
      </c>
      <c r="E33" s="106">
        <v>24</v>
      </c>
      <c r="F33" s="84" t="s">
        <v>607</v>
      </c>
      <c r="G33" s="92"/>
      <c r="H33" s="92"/>
      <c r="I33" s="92"/>
      <c r="J33" s="8">
        <f t="shared" si="2"/>
        <v>0</v>
      </c>
      <c r="K33" s="9">
        <f t="shared" si="3"/>
        <v>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 customHeight="1" x14ac:dyDescent="0.3">
      <c r="A34" s="99" t="s">
        <v>820</v>
      </c>
      <c r="B34" s="107"/>
      <c r="C34" s="106">
        <v>0.47</v>
      </c>
      <c r="D34" s="106">
        <v>0.6</v>
      </c>
      <c r="E34" s="106">
        <v>0.6</v>
      </c>
      <c r="F34" s="84" t="s">
        <v>607</v>
      </c>
      <c r="G34" s="92"/>
      <c r="H34" s="92"/>
      <c r="I34" s="92"/>
      <c r="J34" s="8">
        <f t="shared" si="2"/>
        <v>0</v>
      </c>
      <c r="K34" s="9">
        <f t="shared" si="3"/>
        <v>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3">
      <c r="A35" s="99" t="s">
        <v>821</v>
      </c>
      <c r="B35" s="65"/>
      <c r="C35" s="106">
        <v>12.37</v>
      </c>
      <c r="D35" s="106">
        <v>14</v>
      </c>
      <c r="E35" s="106">
        <v>14</v>
      </c>
      <c r="F35" s="84" t="s">
        <v>607</v>
      </c>
      <c r="G35" s="92"/>
      <c r="H35" s="92"/>
      <c r="I35" s="92"/>
      <c r="J35" s="8">
        <f t="shared" si="2"/>
        <v>0</v>
      </c>
      <c r="K35" s="9">
        <f t="shared" si="3"/>
        <v>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3">
      <c r="A36" s="99" t="s">
        <v>822</v>
      </c>
      <c r="B36" s="65"/>
      <c r="C36" s="106">
        <v>3.36</v>
      </c>
      <c r="D36" s="106">
        <v>4</v>
      </c>
      <c r="E36" s="106">
        <v>4</v>
      </c>
      <c r="F36" s="84" t="s">
        <v>508</v>
      </c>
      <c r="G36" s="92"/>
      <c r="H36" s="92"/>
      <c r="I36" s="92"/>
      <c r="J36" s="8">
        <f t="shared" si="2"/>
        <v>0</v>
      </c>
      <c r="K36" s="9">
        <f t="shared" si="3"/>
        <v>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3">
      <c r="A37" s="99"/>
      <c r="B37" s="65"/>
      <c r="C37" s="106"/>
      <c r="D37" s="106"/>
      <c r="E37" s="106"/>
      <c r="F37" s="84"/>
      <c r="G37" s="92"/>
      <c r="H37" s="92"/>
      <c r="I37" s="92"/>
      <c r="J37" s="8"/>
      <c r="K37" s="9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3">
      <c r="A38" s="99"/>
      <c r="B38" s="65"/>
      <c r="C38" s="106"/>
      <c r="D38" s="106"/>
      <c r="E38" s="106"/>
      <c r="F38" s="84"/>
      <c r="G38" s="92"/>
      <c r="H38" s="92"/>
      <c r="I38" s="92"/>
      <c r="J38" s="8"/>
      <c r="K38" s="9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3">
      <c r="A39" s="103" t="s">
        <v>823</v>
      </c>
      <c r="B39" s="65"/>
      <c r="C39" s="5"/>
      <c r="D39" s="5"/>
      <c r="E39" s="5"/>
      <c r="F39" s="84"/>
      <c r="G39" s="92"/>
      <c r="H39" s="92"/>
      <c r="I39" s="92"/>
      <c r="J39" s="8"/>
      <c r="K39" s="9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99"/>
      <c r="B40" s="65"/>
      <c r="C40" s="5"/>
      <c r="D40" s="5"/>
      <c r="E40" s="5"/>
      <c r="F40" s="84"/>
      <c r="G40" s="92"/>
      <c r="H40" s="92"/>
      <c r="I40" s="92"/>
      <c r="J40" s="8"/>
      <c r="K40" s="9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3">
      <c r="A41" s="99" t="s">
        <v>824</v>
      </c>
      <c r="B41" s="65"/>
      <c r="C41" s="106">
        <v>2.7</v>
      </c>
      <c r="D41" s="106">
        <v>3.3</v>
      </c>
      <c r="E41" s="106">
        <v>3.3</v>
      </c>
      <c r="F41" s="84" t="s">
        <v>607</v>
      </c>
      <c r="G41" s="92"/>
      <c r="H41" s="92">
        <v>6</v>
      </c>
      <c r="I41" s="92"/>
      <c r="J41" s="8">
        <f t="shared" ref="J41:J49" si="4">SUM(G41:I41)</f>
        <v>6</v>
      </c>
      <c r="K41" s="9">
        <f t="shared" ref="K41:K49" si="5">SUM(C41*J41)</f>
        <v>16.200000000000003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3">
      <c r="A42" s="99" t="s">
        <v>825</v>
      </c>
      <c r="B42" s="65"/>
      <c r="C42" s="106">
        <v>2.7</v>
      </c>
      <c r="D42" s="106">
        <v>3.3</v>
      </c>
      <c r="E42" s="106">
        <v>3.3</v>
      </c>
      <c r="F42" s="84" t="s">
        <v>607</v>
      </c>
      <c r="G42" s="92"/>
      <c r="H42" s="92"/>
      <c r="I42" s="92"/>
      <c r="J42" s="8">
        <f t="shared" si="4"/>
        <v>0</v>
      </c>
      <c r="K42" s="9">
        <f t="shared" si="5"/>
        <v>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3">
      <c r="A43" s="99" t="s">
        <v>826</v>
      </c>
      <c r="B43" s="65"/>
      <c r="C43" s="106">
        <v>2.7</v>
      </c>
      <c r="D43" s="106">
        <v>3.3</v>
      </c>
      <c r="E43" s="106">
        <v>3.3</v>
      </c>
      <c r="F43" s="84" t="s">
        <v>607</v>
      </c>
      <c r="G43" s="92"/>
      <c r="H43" s="92"/>
      <c r="I43" s="92"/>
      <c r="J43" s="8">
        <f t="shared" si="4"/>
        <v>0</v>
      </c>
      <c r="K43" s="9">
        <f t="shared" si="5"/>
        <v>0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3">
      <c r="A44" s="99" t="s">
        <v>827</v>
      </c>
      <c r="B44" s="65"/>
      <c r="C44" s="106">
        <v>2.7</v>
      </c>
      <c r="D44" s="106">
        <v>3.3</v>
      </c>
      <c r="E44" s="106">
        <v>3.3</v>
      </c>
      <c r="F44" s="84" t="s">
        <v>607</v>
      </c>
      <c r="G44" s="92"/>
      <c r="H44" s="92"/>
      <c r="I44" s="92"/>
      <c r="J44" s="8">
        <f t="shared" si="4"/>
        <v>0</v>
      </c>
      <c r="K44" s="9">
        <f t="shared" si="5"/>
        <v>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3">
      <c r="A45" s="99" t="s">
        <v>828</v>
      </c>
      <c r="B45" s="65"/>
      <c r="C45" s="106">
        <v>3.73</v>
      </c>
      <c r="D45" s="106">
        <v>4.5</v>
      </c>
      <c r="E45" s="106">
        <v>4.5</v>
      </c>
      <c r="F45" s="84" t="s">
        <v>607</v>
      </c>
      <c r="G45" s="92"/>
      <c r="H45" s="92">
        <v>4</v>
      </c>
      <c r="I45" s="92"/>
      <c r="J45" s="8">
        <f t="shared" si="4"/>
        <v>4</v>
      </c>
      <c r="K45" s="9">
        <f t="shared" si="5"/>
        <v>14.92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3">
      <c r="A46" s="99" t="s">
        <v>829</v>
      </c>
      <c r="B46" s="65"/>
      <c r="C46" s="106">
        <v>3.62</v>
      </c>
      <c r="D46" s="106">
        <v>4.5</v>
      </c>
      <c r="E46" s="106">
        <v>4.5</v>
      </c>
      <c r="F46" s="84" t="s">
        <v>607</v>
      </c>
      <c r="G46" s="92"/>
      <c r="H46" s="92">
        <v>6</v>
      </c>
      <c r="I46" s="92"/>
      <c r="J46" s="8">
        <f t="shared" si="4"/>
        <v>6</v>
      </c>
      <c r="K46" s="9">
        <f t="shared" si="5"/>
        <v>21.72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3">
      <c r="A47" s="99" t="s">
        <v>830</v>
      </c>
      <c r="B47" s="65"/>
      <c r="C47" s="106">
        <v>1.81</v>
      </c>
      <c r="D47" s="106">
        <v>2.5</v>
      </c>
      <c r="E47" s="106">
        <v>2.5</v>
      </c>
      <c r="F47" s="84" t="s">
        <v>607</v>
      </c>
      <c r="G47" s="92"/>
      <c r="H47" s="92">
        <v>2</v>
      </c>
      <c r="I47" s="92"/>
      <c r="J47" s="8">
        <f t="shared" si="4"/>
        <v>2</v>
      </c>
      <c r="K47" s="9">
        <f t="shared" si="5"/>
        <v>3.62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3">
      <c r="A48" s="99" t="s">
        <v>831</v>
      </c>
      <c r="B48" s="65"/>
      <c r="C48" s="106">
        <v>2.15</v>
      </c>
      <c r="D48" s="106">
        <v>3</v>
      </c>
      <c r="E48" s="106">
        <v>3</v>
      </c>
      <c r="F48" s="84" t="s">
        <v>607</v>
      </c>
      <c r="G48" s="92"/>
      <c r="H48" s="92"/>
      <c r="I48" s="92"/>
      <c r="J48" s="8">
        <f t="shared" si="4"/>
        <v>0</v>
      </c>
      <c r="K48" s="9">
        <f t="shared" si="5"/>
        <v>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3">
      <c r="A49" s="99" t="s">
        <v>832</v>
      </c>
      <c r="B49" s="65"/>
      <c r="C49" s="106">
        <v>1.24</v>
      </c>
      <c r="D49" s="106">
        <v>1.4</v>
      </c>
      <c r="E49" s="106">
        <v>1.4</v>
      </c>
      <c r="F49" s="84" t="s">
        <v>607</v>
      </c>
      <c r="G49" s="92"/>
      <c r="H49" s="92"/>
      <c r="I49" s="92"/>
      <c r="J49" s="8">
        <f t="shared" si="4"/>
        <v>0</v>
      </c>
      <c r="K49" s="9">
        <f t="shared" si="5"/>
        <v>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99"/>
      <c r="B50" s="65"/>
      <c r="C50" s="5"/>
      <c r="D50" s="5"/>
      <c r="E50" s="5"/>
      <c r="F50" s="84"/>
      <c r="G50" s="92"/>
      <c r="H50" s="92"/>
      <c r="I50" s="92"/>
      <c r="J50" s="8"/>
      <c r="K50" s="9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3">
      <c r="A51" s="103" t="s">
        <v>833</v>
      </c>
      <c r="B51" s="65"/>
      <c r="C51" s="5"/>
      <c r="D51" s="5"/>
      <c r="E51" s="5"/>
      <c r="F51" s="84"/>
      <c r="G51" s="92"/>
      <c r="H51" s="92"/>
      <c r="I51" s="92"/>
      <c r="J51" s="8"/>
      <c r="K51" s="9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3">
      <c r="A52" s="103"/>
      <c r="B52" s="65"/>
      <c r="C52" s="5"/>
      <c r="D52" s="5"/>
      <c r="E52" s="5"/>
      <c r="F52" s="84"/>
      <c r="G52" s="92"/>
      <c r="H52" s="92"/>
      <c r="I52" s="92"/>
      <c r="J52" s="8"/>
      <c r="K52" s="9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3">
      <c r="A53" s="99" t="s">
        <v>834</v>
      </c>
      <c r="B53" s="65"/>
      <c r="C53" s="106">
        <v>8.4700000000000006</v>
      </c>
      <c r="D53" s="106">
        <v>10.5</v>
      </c>
      <c r="E53" s="106">
        <v>10.5</v>
      </c>
      <c r="F53" s="84" t="s">
        <v>607</v>
      </c>
      <c r="G53" s="92"/>
      <c r="H53" s="92"/>
      <c r="I53" s="92"/>
      <c r="J53" s="8">
        <f t="shared" ref="J53:J59" si="6">SUM(G53:I53)</f>
        <v>0</v>
      </c>
      <c r="K53" s="9">
        <f t="shared" ref="K53:K59" si="7">SUM(C53*J53)</f>
        <v>0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3">
      <c r="A54" s="99" t="s">
        <v>835</v>
      </c>
      <c r="B54" s="65"/>
      <c r="C54" s="106">
        <v>1.21</v>
      </c>
      <c r="D54" s="106">
        <v>1.5</v>
      </c>
      <c r="E54" s="106">
        <v>1.5</v>
      </c>
      <c r="F54" s="84" t="s">
        <v>607</v>
      </c>
      <c r="G54" s="92"/>
      <c r="H54" s="92"/>
      <c r="I54" s="92"/>
      <c r="J54" s="8">
        <f t="shared" si="6"/>
        <v>0</v>
      </c>
      <c r="K54" s="9">
        <f t="shared" si="7"/>
        <v>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3">
      <c r="A55" s="99" t="s">
        <v>836</v>
      </c>
      <c r="B55" s="65"/>
      <c r="C55" s="106">
        <v>6.98</v>
      </c>
      <c r="D55" s="106">
        <v>8.75</v>
      </c>
      <c r="E55" s="106">
        <v>8.75</v>
      </c>
      <c r="F55" s="84" t="s">
        <v>607</v>
      </c>
      <c r="G55" s="92"/>
      <c r="H55" s="92"/>
      <c r="I55" s="92"/>
      <c r="J55" s="8">
        <f t="shared" si="6"/>
        <v>0</v>
      </c>
      <c r="K55" s="9">
        <f t="shared" si="7"/>
        <v>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3">
      <c r="A56" s="99" t="s">
        <v>837</v>
      </c>
      <c r="B56" s="65"/>
      <c r="C56" s="106">
        <v>5.15</v>
      </c>
      <c r="D56" s="106">
        <v>6.5</v>
      </c>
      <c r="E56" s="106">
        <v>6.5</v>
      </c>
      <c r="F56" s="84" t="s">
        <v>607</v>
      </c>
      <c r="G56" s="92"/>
      <c r="H56" s="92"/>
      <c r="I56" s="92"/>
      <c r="J56" s="8">
        <f t="shared" si="6"/>
        <v>0</v>
      </c>
      <c r="K56" s="9">
        <f t="shared" si="7"/>
        <v>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3">
      <c r="A57" s="99" t="s">
        <v>838</v>
      </c>
      <c r="B57" s="65"/>
      <c r="C57" s="106">
        <v>1.43</v>
      </c>
      <c r="D57" s="106">
        <v>1.9500000000000002</v>
      </c>
      <c r="E57" s="106">
        <v>1.9500000000000002</v>
      </c>
      <c r="F57" s="84" t="s">
        <v>607</v>
      </c>
      <c r="G57" s="92"/>
      <c r="H57" s="92"/>
      <c r="I57" s="92"/>
      <c r="J57" s="8">
        <f t="shared" si="6"/>
        <v>0</v>
      </c>
      <c r="K57" s="9">
        <f t="shared" si="7"/>
        <v>0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3">
      <c r="A58" s="99" t="s">
        <v>839</v>
      </c>
      <c r="B58" s="65"/>
      <c r="C58" s="106">
        <v>5.49</v>
      </c>
      <c r="D58" s="106">
        <v>7</v>
      </c>
      <c r="E58" s="106">
        <v>7</v>
      </c>
      <c r="F58" s="84" t="s">
        <v>607</v>
      </c>
      <c r="G58" s="92"/>
      <c r="H58" s="92"/>
      <c r="I58" s="92"/>
      <c r="J58" s="8">
        <f t="shared" si="6"/>
        <v>0</v>
      </c>
      <c r="K58" s="9">
        <f t="shared" si="7"/>
        <v>0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3">
      <c r="A59" s="99" t="s">
        <v>840</v>
      </c>
      <c r="B59" s="65"/>
      <c r="C59" s="106">
        <v>0.27</v>
      </c>
      <c r="D59" s="106">
        <v>0.5</v>
      </c>
      <c r="E59" s="106">
        <v>0.5</v>
      </c>
      <c r="F59" s="84" t="s">
        <v>607</v>
      </c>
      <c r="G59" s="92"/>
      <c r="H59" s="92"/>
      <c r="I59" s="92"/>
      <c r="J59" s="8">
        <f t="shared" si="6"/>
        <v>0</v>
      </c>
      <c r="K59" s="9">
        <f t="shared" si="7"/>
        <v>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65"/>
      <c r="C60" s="5"/>
      <c r="D60" s="5"/>
      <c r="E60" s="5"/>
      <c r="F60" s="84"/>
      <c r="G60" s="92"/>
      <c r="H60" s="92"/>
      <c r="I60" s="92"/>
      <c r="J60" s="8"/>
      <c r="K60" s="9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75" customHeight="1" x14ac:dyDescent="0.25">
      <c r="A61" s="108"/>
      <c r="B61" s="109"/>
      <c r="C61" s="108"/>
      <c r="D61" s="101"/>
      <c r="E61" s="101"/>
      <c r="F61" s="84"/>
      <c r="G61" s="92"/>
      <c r="H61" s="92"/>
      <c r="I61" s="92"/>
      <c r="J61" s="8"/>
      <c r="K61" s="9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F62" s="84"/>
      <c r="G62" s="92"/>
      <c r="H62" s="92"/>
      <c r="I62" s="92"/>
      <c r="J62" s="8"/>
      <c r="K62" s="9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F63" s="84"/>
      <c r="G63" s="92"/>
      <c r="H63" s="92"/>
      <c r="I63" s="92"/>
      <c r="J63" s="8"/>
      <c r="K63" s="9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F64" s="110"/>
      <c r="G64" s="92"/>
      <c r="H64" s="92"/>
      <c r="I64" s="92"/>
      <c r="J64" s="8">
        <f t="shared" ref="J64:J80" si="8">SUM(G64:I64)</f>
        <v>0</v>
      </c>
      <c r="K64" s="9">
        <f>SUM('Dried Food'!C4*J64)</f>
        <v>0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6:27" ht="12.75" customHeight="1" x14ac:dyDescent="0.25">
      <c r="F65" s="110"/>
      <c r="G65" s="92"/>
      <c r="H65" s="92"/>
      <c r="I65" s="92"/>
      <c r="J65" s="8">
        <f t="shared" si="8"/>
        <v>0</v>
      </c>
      <c r="K65" s="9">
        <f>SUM('Dried Food'!C5*J65)</f>
        <v>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6:27" ht="12.75" customHeight="1" x14ac:dyDescent="0.25">
      <c r="F66" s="110"/>
      <c r="G66" s="92"/>
      <c r="H66" s="92"/>
      <c r="I66" s="92"/>
      <c r="J66" s="8">
        <f t="shared" si="8"/>
        <v>0</v>
      </c>
      <c r="K66" s="9">
        <f>SUM('Dried Food'!C6*J66)</f>
        <v>0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6:27" ht="12.75" customHeight="1" x14ac:dyDescent="0.25">
      <c r="F67" s="110"/>
      <c r="G67" s="92"/>
      <c r="H67" s="92"/>
      <c r="I67" s="92"/>
      <c r="J67" s="8">
        <f t="shared" si="8"/>
        <v>0</v>
      </c>
      <c r="K67" s="9">
        <f>SUM('Dried Food'!C7*J67)</f>
        <v>0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6:27" ht="12.75" customHeight="1" x14ac:dyDescent="0.25">
      <c r="F68" s="110"/>
      <c r="G68" s="92"/>
      <c r="H68" s="92"/>
      <c r="I68" s="92"/>
      <c r="J68" s="8">
        <f t="shared" si="8"/>
        <v>0</v>
      </c>
      <c r="K68" s="9">
        <f>SUM('Dried Food'!C8*J68)</f>
        <v>0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6:27" ht="12.75" customHeight="1" x14ac:dyDescent="0.25">
      <c r="F69" s="110"/>
      <c r="G69" s="92"/>
      <c r="H69" s="92"/>
      <c r="I69" s="92"/>
      <c r="J69" s="8">
        <f t="shared" si="8"/>
        <v>0</v>
      </c>
      <c r="K69" s="9">
        <f>SUM('Dried Food'!C9*J69)</f>
        <v>0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6:27" ht="12.75" customHeight="1" x14ac:dyDescent="0.25">
      <c r="F70" s="110"/>
      <c r="G70" s="92"/>
      <c r="H70" s="92"/>
      <c r="I70" s="92"/>
      <c r="J70" s="8">
        <f t="shared" si="8"/>
        <v>0</v>
      </c>
      <c r="K70" s="9">
        <f>SUM('Dried Food'!C10*J70)</f>
        <v>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6:27" ht="12.75" customHeight="1" x14ac:dyDescent="0.25">
      <c r="F71" s="110"/>
      <c r="G71" s="92"/>
      <c r="H71" s="92"/>
      <c r="I71" s="92"/>
      <c r="J71" s="8">
        <f t="shared" si="8"/>
        <v>0</v>
      </c>
      <c r="K71" s="9">
        <f>SUM('Dried Food'!C11*J71)</f>
        <v>0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6:27" ht="12.75" customHeight="1" x14ac:dyDescent="0.25">
      <c r="F72" s="110"/>
      <c r="G72" s="92"/>
      <c r="H72" s="92"/>
      <c r="I72" s="92"/>
      <c r="J72" s="8">
        <f t="shared" si="8"/>
        <v>0</v>
      </c>
      <c r="K72" s="9">
        <f>SUM('Dried Food'!C12*J72)</f>
        <v>0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6:27" ht="12.75" customHeight="1" x14ac:dyDescent="0.25">
      <c r="F73" s="110"/>
      <c r="G73" s="92"/>
      <c r="H73" s="92"/>
      <c r="I73" s="92"/>
      <c r="J73" s="8">
        <f t="shared" si="8"/>
        <v>0</v>
      </c>
      <c r="K73" s="9">
        <f>SUM('Dried Food'!C13*J73)</f>
        <v>0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6:27" ht="12.75" customHeight="1" x14ac:dyDescent="0.25">
      <c r="F74" s="110"/>
      <c r="G74" s="92"/>
      <c r="H74" s="92"/>
      <c r="I74" s="92"/>
      <c r="J74" s="8">
        <f t="shared" si="8"/>
        <v>0</v>
      </c>
      <c r="K74" s="9">
        <f>SUM('Dried Food'!C14*J74)</f>
        <v>0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6:27" ht="12.75" customHeight="1" x14ac:dyDescent="0.25">
      <c r="F75" s="110"/>
      <c r="G75" s="92"/>
      <c r="H75" s="92"/>
      <c r="I75" s="92"/>
      <c r="J75" s="8">
        <f t="shared" si="8"/>
        <v>0</v>
      </c>
      <c r="K75" s="9">
        <f>SUM('Dried Food'!C15*J75)</f>
        <v>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6:27" ht="12.75" customHeight="1" x14ac:dyDescent="0.25">
      <c r="F76" s="110"/>
      <c r="G76" s="92"/>
      <c r="H76" s="92"/>
      <c r="I76" s="92"/>
      <c r="J76" s="8">
        <f t="shared" si="8"/>
        <v>0</v>
      </c>
      <c r="K76" s="9">
        <f>SUM('Dried Food'!C16*J76)</f>
        <v>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6:27" ht="12.75" customHeight="1" x14ac:dyDescent="0.25">
      <c r="F77" s="110"/>
      <c r="G77" s="92"/>
      <c r="H77" s="92"/>
      <c r="I77" s="92"/>
      <c r="J77" s="8">
        <f t="shared" si="8"/>
        <v>0</v>
      </c>
      <c r="K77" s="9">
        <f>SUM('Dried Food'!C17*J77)</f>
        <v>0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6:27" ht="12.75" customHeight="1" x14ac:dyDescent="0.25">
      <c r="F78" s="110"/>
      <c r="G78" s="92"/>
      <c r="H78" s="92"/>
      <c r="I78" s="92"/>
      <c r="J78" s="8">
        <f t="shared" si="8"/>
        <v>0</v>
      </c>
      <c r="K78" s="9">
        <f>SUM('Dried Food'!C18*J78)</f>
        <v>0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6:27" ht="12.75" customHeight="1" x14ac:dyDescent="0.25">
      <c r="F79" s="110"/>
      <c r="G79" s="92"/>
      <c r="H79" s="92"/>
      <c r="I79" s="92"/>
      <c r="J79" s="8">
        <f t="shared" si="8"/>
        <v>0</v>
      </c>
      <c r="K79" s="9">
        <f>SUM('Dried Food'!C19*J79)</f>
        <v>0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6:27" ht="12.75" customHeight="1" x14ac:dyDescent="0.25">
      <c r="F80" s="110"/>
      <c r="G80" s="92"/>
      <c r="H80" s="92"/>
      <c r="I80" s="92"/>
      <c r="J80" s="8">
        <f t="shared" si="8"/>
        <v>0</v>
      </c>
      <c r="K80" s="9">
        <f>SUM('Dried Food'!C20*J80)</f>
        <v>0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0"/>
      <c r="B81" s="51"/>
      <c r="C81" s="5"/>
      <c r="D81" s="5"/>
      <c r="E81" s="5"/>
      <c r="F81" s="84"/>
      <c r="G81" s="92"/>
      <c r="H81" s="92"/>
      <c r="I81" s="92"/>
      <c r="J81" s="93"/>
      <c r="K81" s="93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51"/>
      <c r="C82" s="5"/>
      <c r="D82" s="5"/>
      <c r="E82" s="5"/>
      <c r="F82" s="84"/>
      <c r="G82" s="92"/>
      <c r="H82" s="92"/>
      <c r="I82" s="92"/>
      <c r="J82" s="93"/>
      <c r="K82" s="93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51"/>
      <c r="C83" s="5"/>
      <c r="D83" s="5"/>
      <c r="E83" s="5"/>
      <c r="F83" s="84"/>
      <c r="G83" s="92"/>
      <c r="H83" s="92"/>
      <c r="I83" s="92"/>
      <c r="J83" s="93"/>
      <c r="K83" s="93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51"/>
      <c r="C84" s="5"/>
      <c r="D84" s="5"/>
      <c r="E84" s="5"/>
      <c r="F84" s="84"/>
      <c r="G84" s="92"/>
      <c r="H84" s="92"/>
      <c r="I84" s="92"/>
      <c r="J84" s="93"/>
      <c r="K84" s="93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51"/>
      <c r="C85" s="5"/>
      <c r="D85" s="5"/>
      <c r="E85" s="5"/>
      <c r="F85" s="84"/>
      <c r="G85" s="92"/>
      <c r="H85" s="92"/>
      <c r="I85" s="92"/>
      <c r="J85" s="93"/>
      <c r="K85" s="93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51"/>
      <c r="C86" s="5"/>
      <c r="D86" s="5"/>
      <c r="E86" s="5"/>
      <c r="F86" s="84"/>
      <c r="G86" s="92"/>
      <c r="H86" s="92"/>
      <c r="I86" s="92"/>
      <c r="J86" s="93"/>
      <c r="K86" s="93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51"/>
      <c r="C87" s="5"/>
      <c r="D87" s="5"/>
      <c r="E87" s="5"/>
      <c r="F87" s="84"/>
      <c r="G87" s="92"/>
      <c r="H87" s="92"/>
      <c r="I87" s="92"/>
      <c r="J87" s="93"/>
      <c r="K87" s="93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3">
      <c r="A88" s="55"/>
      <c r="B88" s="51"/>
      <c r="C88" s="5"/>
      <c r="D88" s="5"/>
      <c r="E88" s="5"/>
      <c r="F88" s="84"/>
      <c r="G88" s="92"/>
      <c r="H88" s="92"/>
      <c r="I88" s="92"/>
      <c r="J88" s="93"/>
      <c r="K88" s="93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51"/>
      <c r="C89" s="9"/>
      <c r="D89" s="9"/>
      <c r="E89" s="9"/>
      <c r="F89" s="84"/>
      <c r="G89" s="92"/>
      <c r="H89" s="92"/>
      <c r="I89" s="92"/>
      <c r="J89" s="93"/>
      <c r="K89" s="93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65"/>
      <c r="C90" s="5"/>
      <c r="D90" s="5"/>
      <c r="E90" s="5"/>
      <c r="F90" s="84"/>
      <c r="G90" s="92"/>
      <c r="H90" s="92"/>
      <c r="I90" s="92"/>
      <c r="J90" s="93"/>
      <c r="K90" s="93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65"/>
      <c r="C91" s="5"/>
      <c r="D91" s="5"/>
      <c r="E91" s="5"/>
      <c r="F91" s="84"/>
      <c r="G91" s="92"/>
      <c r="H91" s="92"/>
      <c r="I91" s="92"/>
      <c r="J91" s="93"/>
      <c r="K91" s="93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65"/>
      <c r="C92" s="5"/>
      <c r="D92" s="5"/>
      <c r="E92" s="5"/>
      <c r="F92" s="84"/>
      <c r="G92" s="92"/>
      <c r="H92" s="92"/>
      <c r="I92" s="92"/>
      <c r="J92" s="93"/>
      <c r="K92" s="93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65"/>
      <c r="C93" s="5"/>
      <c r="D93" s="17"/>
      <c r="E93" s="17"/>
      <c r="F93" s="84"/>
      <c r="G93" s="92"/>
      <c r="H93" s="92"/>
      <c r="I93" s="92"/>
      <c r="J93" s="93"/>
      <c r="K93" s="93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65"/>
      <c r="C94" s="5"/>
      <c r="D94" s="17"/>
      <c r="E94" s="17"/>
      <c r="F94" s="84"/>
      <c r="G94" s="92"/>
      <c r="H94" s="92"/>
      <c r="I94" s="92"/>
      <c r="J94" s="93"/>
      <c r="K94" s="93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65"/>
      <c r="C95" s="5"/>
      <c r="D95" s="5"/>
      <c r="E95" s="5"/>
      <c r="F95" s="84"/>
      <c r="G95" s="92"/>
      <c r="H95" s="92"/>
      <c r="I95" s="92"/>
      <c r="J95" s="93"/>
      <c r="K95" s="93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51"/>
      <c r="C96" s="5"/>
      <c r="D96" s="5"/>
      <c r="E96" s="5"/>
      <c r="F96" s="84"/>
      <c r="G96" s="92"/>
      <c r="H96" s="92"/>
      <c r="I96" s="92"/>
      <c r="J96" s="93"/>
      <c r="K96" s="93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65"/>
      <c r="C97" s="5"/>
      <c r="D97" s="5"/>
      <c r="E97" s="5"/>
      <c r="F97" s="84"/>
      <c r="G97" s="92"/>
      <c r="H97" s="92"/>
      <c r="I97" s="92"/>
      <c r="J97" s="93"/>
      <c r="K97" s="93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65"/>
      <c r="C98" s="5"/>
      <c r="D98" s="5"/>
      <c r="E98" s="5"/>
      <c r="F98" s="84"/>
      <c r="G98" s="92"/>
      <c r="H98" s="92"/>
      <c r="I98" s="92"/>
      <c r="J98" s="93"/>
      <c r="K98" s="93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51"/>
      <c r="C99" s="14"/>
      <c r="D99" s="14"/>
      <c r="E99" s="14"/>
      <c r="F99" s="84"/>
      <c r="G99" s="92"/>
      <c r="H99" s="92"/>
      <c r="I99" s="92"/>
      <c r="J99" s="93"/>
      <c r="K99" s="93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51"/>
      <c r="C100" s="5"/>
      <c r="D100" s="14"/>
      <c r="E100" s="14"/>
      <c r="F100" s="84"/>
      <c r="G100" s="92"/>
      <c r="H100" s="92"/>
      <c r="I100" s="92"/>
      <c r="J100" s="93"/>
      <c r="K100" s="93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51"/>
      <c r="C101" s="5"/>
      <c r="D101" s="14"/>
      <c r="E101" s="14"/>
      <c r="F101" s="84"/>
      <c r="G101" s="92"/>
      <c r="H101" s="92"/>
      <c r="I101" s="92"/>
      <c r="J101" s="93"/>
      <c r="K101" s="93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51"/>
      <c r="C102" s="14"/>
      <c r="D102" s="14"/>
      <c r="E102" s="14"/>
      <c r="F102" s="84"/>
      <c r="G102" s="92"/>
      <c r="H102" s="92"/>
      <c r="I102" s="92"/>
      <c r="J102" s="93"/>
      <c r="K102" s="93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51"/>
      <c r="C103" s="5"/>
      <c r="D103" s="5"/>
      <c r="E103" s="5"/>
      <c r="F103" s="84"/>
      <c r="G103" s="92"/>
      <c r="H103" s="92"/>
      <c r="I103" s="92"/>
      <c r="J103" s="93"/>
      <c r="K103" s="93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65"/>
      <c r="C104" s="5"/>
      <c r="D104" s="5"/>
      <c r="E104" s="5"/>
      <c r="F104" s="84"/>
      <c r="G104" s="92"/>
      <c r="H104" s="92"/>
      <c r="I104" s="92"/>
      <c r="J104" s="93"/>
      <c r="K104" s="93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65"/>
      <c r="C105" s="14"/>
      <c r="D105" s="14"/>
      <c r="E105" s="14"/>
      <c r="F105" s="84"/>
      <c r="G105" s="92"/>
      <c r="H105" s="92"/>
      <c r="I105" s="92"/>
      <c r="J105" s="93"/>
      <c r="K105" s="93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65"/>
      <c r="C106" s="14"/>
      <c r="D106" s="14"/>
      <c r="E106" s="14"/>
      <c r="F106" s="84"/>
      <c r="G106" s="92"/>
      <c r="H106" s="92"/>
      <c r="I106" s="92"/>
      <c r="J106" s="93"/>
      <c r="K106" s="93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65"/>
      <c r="C107" s="5"/>
      <c r="D107" s="5"/>
      <c r="E107" s="5"/>
      <c r="F107" s="84"/>
      <c r="G107" s="92"/>
      <c r="H107" s="92"/>
      <c r="I107" s="92"/>
      <c r="J107" s="93"/>
      <c r="K107" s="93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65"/>
      <c r="C108" s="5"/>
      <c r="D108" s="5"/>
      <c r="E108" s="5"/>
      <c r="F108" s="84"/>
      <c r="G108" s="92"/>
      <c r="H108" s="92"/>
      <c r="I108" s="92"/>
      <c r="J108" s="93"/>
      <c r="K108" s="93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51"/>
      <c r="C109" s="14"/>
      <c r="D109" s="14"/>
      <c r="E109" s="14"/>
      <c r="F109" s="84"/>
      <c r="G109" s="92"/>
      <c r="H109" s="92"/>
      <c r="I109" s="92"/>
      <c r="J109" s="93"/>
      <c r="K109" s="93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51"/>
      <c r="C110" s="14"/>
      <c r="D110" s="14"/>
      <c r="E110" s="14"/>
      <c r="F110" s="84"/>
      <c r="G110" s="92"/>
      <c r="H110" s="92"/>
      <c r="I110" s="92"/>
      <c r="J110" s="93"/>
      <c r="K110" s="93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51"/>
      <c r="C111" s="14"/>
      <c r="D111" s="14"/>
      <c r="E111" s="14"/>
      <c r="F111" s="84"/>
      <c r="G111" s="92"/>
      <c r="H111" s="92"/>
      <c r="I111" s="92"/>
      <c r="J111" s="93"/>
      <c r="K111" s="93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65"/>
      <c r="C112" s="14"/>
      <c r="D112" s="10"/>
      <c r="E112" s="10"/>
      <c r="F112" s="84"/>
      <c r="G112" s="92"/>
      <c r="H112" s="92"/>
      <c r="I112" s="92"/>
      <c r="J112" s="93"/>
      <c r="K112" s="93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65"/>
      <c r="C113" s="14"/>
      <c r="D113" s="14"/>
      <c r="E113" s="14"/>
      <c r="F113" s="84"/>
      <c r="G113" s="92"/>
      <c r="H113" s="92"/>
      <c r="I113" s="92"/>
      <c r="J113" s="93"/>
      <c r="K113" s="93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51"/>
      <c r="C114" s="5"/>
      <c r="D114" s="5"/>
      <c r="E114" s="5"/>
      <c r="F114" s="84"/>
      <c r="G114" s="92"/>
      <c r="H114" s="92"/>
      <c r="I114" s="92"/>
      <c r="J114" s="93"/>
      <c r="K114" s="93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51"/>
      <c r="C115" s="5"/>
      <c r="D115" s="5"/>
      <c r="E115" s="5"/>
      <c r="F115" s="84"/>
      <c r="G115" s="92"/>
      <c r="H115" s="92"/>
      <c r="I115" s="92"/>
      <c r="J115" s="93"/>
      <c r="K115" s="93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51"/>
      <c r="C116" s="5"/>
      <c r="D116" s="5"/>
      <c r="E116" s="5"/>
      <c r="F116" s="84"/>
      <c r="G116" s="92"/>
      <c r="H116" s="92"/>
      <c r="I116" s="92"/>
      <c r="J116" s="93"/>
      <c r="K116" s="93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65"/>
      <c r="C117" s="5"/>
      <c r="D117" s="14"/>
      <c r="E117" s="14"/>
      <c r="F117" s="84"/>
      <c r="G117" s="92"/>
      <c r="H117" s="92"/>
      <c r="I117" s="92"/>
      <c r="J117" s="93"/>
      <c r="K117" s="93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65"/>
      <c r="C118" s="5"/>
      <c r="D118" s="5"/>
      <c r="E118" s="5"/>
      <c r="F118" s="84"/>
      <c r="G118" s="92"/>
      <c r="H118" s="92"/>
      <c r="I118" s="92"/>
      <c r="J118" s="93"/>
      <c r="K118" s="93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65"/>
      <c r="C119" s="5"/>
      <c r="D119" s="5"/>
      <c r="E119" s="5"/>
      <c r="F119" s="84"/>
      <c r="G119" s="92"/>
      <c r="H119" s="92"/>
      <c r="I119" s="92"/>
      <c r="J119" s="93"/>
      <c r="K119" s="93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51"/>
      <c r="C120" s="14"/>
      <c r="D120" s="14"/>
      <c r="E120" s="14"/>
      <c r="F120" s="84"/>
      <c r="G120" s="92"/>
      <c r="H120" s="92"/>
      <c r="I120" s="92"/>
      <c r="J120" s="93"/>
      <c r="K120" s="93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65"/>
      <c r="C121" s="14"/>
      <c r="D121" s="14"/>
      <c r="E121" s="14"/>
      <c r="F121" s="84"/>
      <c r="G121" s="92"/>
      <c r="H121" s="92"/>
      <c r="I121" s="92"/>
      <c r="J121" s="93"/>
      <c r="K121" s="93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51"/>
      <c r="C122" s="9"/>
      <c r="D122" s="5"/>
      <c r="E122" s="5"/>
      <c r="F122" s="84"/>
      <c r="G122" s="92"/>
      <c r="H122" s="92"/>
      <c r="I122" s="92"/>
      <c r="J122" s="93"/>
      <c r="K122" s="93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65"/>
      <c r="C123" s="5"/>
      <c r="D123" s="5"/>
      <c r="E123" s="5"/>
      <c r="F123" s="84"/>
      <c r="G123" s="92"/>
      <c r="H123" s="92"/>
      <c r="I123" s="92"/>
      <c r="J123" s="93"/>
      <c r="K123" s="93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65"/>
      <c r="C124" s="5"/>
      <c r="D124" s="5"/>
      <c r="E124" s="5"/>
      <c r="F124" s="84"/>
      <c r="G124" s="92"/>
      <c r="H124" s="92"/>
      <c r="I124" s="92"/>
      <c r="J124" s="93"/>
      <c r="K124" s="93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65"/>
      <c r="C125" s="5"/>
      <c r="D125" s="17"/>
      <c r="E125" s="17"/>
      <c r="F125" s="84"/>
      <c r="G125" s="92"/>
      <c r="H125" s="92"/>
      <c r="I125" s="92"/>
      <c r="J125" s="93"/>
      <c r="K125" s="93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51"/>
      <c r="C126" s="5"/>
      <c r="D126" s="5"/>
      <c r="E126" s="5"/>
      <c r="F126" s="84"/>
      <c r="G126" s="92"/>
      <c r="H126" s="92"/>
      <c r="I126" s="92"/>
      <c r="J126" s="93"/>
      <c r="K126" s="93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65"/>
      <c r="C127" s="14"/>
      <c r="D127" s="14"/>
      <c r="E127" s="14"/>
      <c r="F127" s="84"/>
      <c r="G127" s="92"/>
      <c r="H127" s="92"/>
      <c r="I127" s="92"/>
      <c r="J127" s="93"/>
      <c r="K127" s="93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65"/>
      <c r="C128" s="5"/>
      <c r="D128" s="5"/>
      <c r="E128" s="5"/>
      <c r="F128" s="84"/>
      <c r="G128" s="92"/>
      <c r="H128" s="92"/>
      <c r="I128" s="92"/>
      <c r="J128" s="93"/>
      <c r="K128" s="93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65"/>
      <c r="C129" s="5"/>
      <c r="D129" s="5"/>
      <c r="E129" s="9"/>
      <c r="F129" s="84"/>
      <c r="G129" s="92"/>
      <c r="H129" s="92"/>
      <c r="I129" s="92"/>
      <c r="J129" s="93"/>
      <c r="K129" s="93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65"/>
      <c r="C130" s="5"/>
      <c r="D130" s="5"/>
      <c r="E130" s="5"/>
      <c r="F130" s="84"/>
      <c r="G130" s="92"/>
      <c r="H130" s="92"/>
      <c r="I130" s="92"/>
      <c r="J130" s="93"/>
      <c r="K130" s="93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65"/>
      <c r="C131" s="10"/>
      <c r="D131" s="5"/>
      <c r="E131" s="5"/>
      <c r="F131" s="84"/>
      <c r="G131" s="92"/>
      <c r="H131" s="92"/>
      <c r="I131" s="92"/>
      <c r="J131" s="93"/>
      <c r="K131" s="93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65"/>
      <c r="C132" s="10"/>
      <c r="D132" s="17"/>
      <c r="E132" s="17"/>
      <c r="F132" s="84"/>
      <c r="G132" s="92"/>
      <c r="H132" s="92"/>
      <c r="I132" s="92"/>
      <c r="J132" s="93"/>
      <c r="K132" s="93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51"/>
      <c r="C133" s="14"/>
      <c r="D133" s="14"/>
      <c r="E133" s="14"/>
      <c r="F133" s="84"/>
      <c r="G133" s="92"/>
      <c r="H133" s="92"/>
      <c r="I133" s="92"/>
      <c r="J133" s="93"/>
      <c r="K133" s="93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65"/>
      <c r="C134" s="5"/>
      <c r="D134" s="5"/>
      <c r="E134" s="5"/>
      <c r="F134" s="84"/>
      <c r="G134" s="92"/>
      <c r="H134" s="92"/>
      <c r="I134" s="92"/>
      <c r="J134" s="93"/>
      <c r="K134" s="93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65"/>
      <c r="C135" s="5"/>
      <c r="D135" s="5"/>
      <c r="E135" s="5"/>
      <c r="F135" s="84"/>
      <c r="G135" s="92"/>
      <c r="H135" s="92"/>
      <c r="I135" s="92"/>
      <c r="J135" s="93"/>
      <c r="K135" s="93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65"/>
      <c r="C136" s="5"/>
      <c r="D136" s="5"/>
      <c r="E136" s="5"/>
      <c r="F136" s="84"/>
      <c r="G136" s="92"/>
      <c r="H136" s="92"/>
      <c r="I136" s="92"/>
      <c r="J136" s="93"/>
      <c r="K136" s="93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65"/>
      <c r="C137" s="5"/>
      <c r="D137" s="5"/>
      <c r="E137" s="5"/>
      <c r="F137" s="84"/>
      <c r="G137" s="92"/>
      <c r="H137" s="92"/>
      <c r="I137" s="92"/>
      <c r="J137" s="93"/>
      <c r="K137" s="93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51"/>
      <c r="C138" s="9"/>
      <c r="D138" s="5"/>
      <c r="E138" s="5"/>
      <c r="F138" s="84"/>
      <c r="G138" s="92"/>
      <c r="H138" s="92"/>
      <c r="I138" s="92"/>
      <c r="J138" s="93"/>
      <c r="K138" s="93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51"/>
      <c r="C139" s="14"/>
      <c r="D139" s="14"/>
      <c r="E139" s="14"/>
      <c r="F139" s="84"/>
      <c r="G139" s="92"/>
      <c r="H139" s="92"/>
      <c r="I139" s="92"/>
      <c r="J139" s="93"/>
      <c r="K139" s="93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51"/>
      <c r="C140" s="14"/>
      <c r="D140" s="14"/>
      <c r="E140" s="14"/>
      <c r="F140" s="84"/>
      <c r="G140" s="92"/>
      <c r="H140" s="92"/>
      <c r="I140" s="92"/>
      <c r="J140" s="93"/>
      <c r="K140" s="93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51"/>
      <c r="C141" s="14"/>
      <c r="D141" s="14"/>
      <c r="E141" s="14"/>
      <c r="F141" s="84"/>
      <c r="G141" s="92"/>
      <c r="H141" s="92"/>
      <c r="I141" s="92"/>
      <c r="J141" s="93"/>
      <c r="K141" s="93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65"/>
      <c r="C142" s="14"/>
      <c r="D142" s="14"/>
      <c r="E142" s="14"/>
      <c r="F142" s="84"/>
      <c r="G142" s="92"/>
      <c r="H142" s="92"/>
      <c r="I142" s="92"/>
      <c r="J142" s="93"/>
      <c r="K142" s="93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65"/>
      <c r="C143" s="14"/>
      <c r="D143" s="14"/>
      <c r="E143" s="14"/>
      <c r="F143" s="84"/>
      <c r="G143" s="92"/>
      <c r="H143" s="92"/>
      <c r="I143" s="92"/>
      <c r="J143" s="93"/>
      <c r="K143" s="93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65"/>
      <c r="C144" s="14"/>
      <c r="D144" s="14"/>
      <c r="E144" s="14"/>
      <c r="F144" s="84"/>
      <c r="G144" s="92"/>
      <c r="H144" s="92"/>
      <c r="I144" s="92"/>
      <c r="J144" s="93"/>
      <c r="K144" s="93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51"/>
      <c r="C145" s="5"/>
      <c r="D145" s="14"/>
      <c r="E145" s="14"/>
      <c r="F145" s="84"/>
      <c r="G145" s="92"/>
      <c r="H145" s="92"/>
      <c r="I145" s="92"/>
      <c r="J145" s="93"/>
      <c r="K145" s="93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65"/>
      <c r="C146" s="14"/>
      <c r="D146" s="14"/>
      <c r="E146" s="14"/>
      <c r="F146" s="84"/>
      <c r="G146" s="92"/>
      <c r="H146" s="92"/>
      <c r="I146" s="92"/>
      <c r="J146" s="93"/>
      <c r="K146" s="93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0"/>
      <c r="B147" s="10"/>
      <c r="C147" s="10"/>
      <c r="D147" s="10"/>
      <c r="E147" s="10"/>
      <c r="F147" s="84"/>
      <c r="G147" s="92"/>
      <c r="H147" s="92"/>
      <c r="I147" s="92"/>
      <c r="J147" s="93"/>
      <c r="K147" s="93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2.75" customHeight="1" x14ac:dyDescent="0.25">
      <c r="A148" s="10"/>
      <c r="B148" s="10"/>
      <c r="C148" s="10"/>
      <c r="D148" s="14"/>
      <c r="E148" s="14"/>
      <c r="F148" s="84"/>
      <c r="G148" s="92"/>
      <c r="H148" s="92"/>
      <c r="I148" s="92"/>
      <c r="J148" s="93"/>
      <c r="K148" s="93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2.75" customHeight="1" x14ac:dyDescent="0.25">
      <c r="A149" s="14"/>
      <c r="B149" s="51"/>
      <c r="C149" s="14"/>
      <c r="D149" s="14"/>
      <c r="E149" s="14"/>
      <c r="F149" s="84"/>
      <c r="G149" s="92"/>
      <c r="H149" s="92"/>
      <c r="I149" s="92"/>
      <c r="J149" s="93"/>
      <c r="K149" s="93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51"/>
      <c r="C150" s="9"/>
      <c r="D150" s="9"/>
      <c r="E150" s="9"/>
      <c r="F150" s="84"/>
      <c r="G150" s="92"/>
      <c r="H150" s="92"/>
      <c r="I150" s="92"/>
      <c r="J150" s="93"/>
      <c r="K150" s="93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3">
      <c r="A151" s="55"/>
      <c r="B151" s="51"/>
      <c r="C151" s="14"/>
      <c r="D151" s="14"/>
      <c r="E151" s="14"/>
      <c r="F151" s="84"/>
      <c r="G151" s="92"/>
      <c r="H151" s="92"/>
      <c r="I151" s="92"/>
      <c r="J151" s="93"/>
      <c r="K151" s="93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51"/>
      <c r="C152" s="14"/>
      <c r="D152" s="14"/>
      <c r="E152" s="14"/>
      <c r="F152" s="84"/>
      <c r="G152" s="92"/>
      <c r="H152" s="92"/>
      <c r="I152" s="92"/>
      <c r="J152" s="93"/>
      <c r="K152" s="93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51"/>
      <c r="C153" s="9"/>
      <c r="D153" s="9"/>
      <c r="E153" s="9"/>
      <c r="F153" s="84"/>
      <c r="G153" s="92"/>
      <c r="H153" s="92"/>
      <c r="I153" s="92"/>
      <c r="J153" s="93"/>
      <c r="K153" s="93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51"/>
      <c r="C154" s="9"/>
      <c r="D154" s="9"/>
      <c r="E154" s="9"/>
      <c r="F154" s="84"/>
      <c r="G154" s="92"/>
      <c r="H154" s="92"/>
      <c r="I154" s="92"/>
      <c r="J154" s="93"/>
      <c r="K154" s="93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51"/>
      <c r="C155" s="9"/>
      <c r="D155" s="9"/>
      <c r="E155" s="9"/>
      <c r="F155" s="84"/>
      <c r="G155" s="92"/>
      <c r="H155" s="92"/>
      <c r="I155" s="92"/>
      <c r="J155" s="93"/>
      <c r="K155" s="93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51"/>
      <c r="C156" s="9"/>
      <c r="D156" s="9"/>
      <c r="E156" s="9"/>
      <c r="F156" s="84"/>
      <c r="G156" s="92"/>
      <c r="H156" s="92"/>
      <c r="I156" s="92"/>
      <c r="J156" s="93"/>
      <c r="K156" s="93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51"/>
      <c r="C157" s="9"/>
      <c r="D157" s="9"/>
      <c r="E157" s="9"/>
      <c r="F157" s="84"/>
      <c r="G157" s="92"/>
      <c r="H157" s="92"/>
      <c r="I157" s="92"/>
      <c r="J157" s="93"/>
      <c r="K157" s="93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51"/>
      <c r="C158" s="9"/>
      <c r="D158" s="9"/>
      <c r="E158" s="9"/>
      <c r="F158" s="84"/>
      <c r="G158" s="92"/>
      <c r="H158" s="92"/>
      <c r="I158" s="92"/>
      <c r="J158" s="93"/>
      <c r="K158" s="93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51"/>
      <c r="C159" s="9"/>
      <c r="D159" s="9"/>
      <c r="E159" s="9"/>
      <c r="F159" s="84"/>
      <c r="G159" s="92"/>
      <c r="H159" s="92"/>
      <c r="I159" s="92"/>
      <c r="J159" s="93"/>
      <c r="K159" s="93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51"/>
      <c r="C160" s="9"/>
      <c r="D160" s="9"/>
      <c r="E160" s="9"/>
      <c r="F160" s="84"/>
      <c r="G160" s="92"/>
      <c r="H160" s="92"/>
      <c r="I160" s="92"/>
      <c r="J160" s="93"/>
      <c r="K160" s="93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51"/>
      <c r="C161" s="9"/>
      <c r="D161" s="9"/>
      <c r="E161" s="9"/>
      <c r="F161" s="84"/>
      <c r="G161" s="92"/>
      <c r="H161" s="92"/>
      <c r="I161" s="92"/>
      <c r="J161" s="93"/>
      <c r="K161" s="93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51"/>
      <c r="C162" s="5"/>
      <c r="D162" s="5"/>
      <c r="E162" s="5"/>
      <c r="F162" s="84"/>
      <c r="G162" s="92"/>
      <c r="H162" s="92"/>
      <c r="I162" s="92"/>
      <c r="J162" s="93"/>
      <c r="K162" s="93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51"/>
      <c r="C163" s="5"/>
      <c r="D163" s="5"/>
      <c r="E163" s="5"/>
      <c r="F163" s="84"/>
      <c r="G163" s="92"/>
      <c r="H163" s="92"/>
      <c r="I163" s="92"/>
      <c r="J163" s="93"/>
      <c r="K163" s="93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51"/>
      <c r="C164" s="5"/>
      <c r="D164" s="5"/>
      <c r="E164" s="5"/>
      <c r="F164" s="84"/>
      <c r="G164" s="92"/>
      <c r="H164" s="92"/>
      <c r="I164" s="92"/>
      <c r="J164" s="93"/>
      <c r="K164" s="93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51"/>
      <c r="C165" s="5"/>
      <c r="D165" s="5"/>
      <c r="E165" s="5"/>
      <c r="F165" s="84"/>
      <c r="G165" s="92"/>
      <c r="H165" s="92"/>
      <c r="I165" s="92"/>
      <c r="J165" s="93"/>
      <c r="K165" s="93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51"/>
      <c r="C166" s="5"/>
      <c r="D166" s="5"/>
      <c r="E166" s="5"/>
      <c r="F166" s="84"/>
      <c r="G166" s="92"/>
      <c r="H166" s="92"/>
      <c r="I166" s="92"/>
      <c r="J166" s="93"/>
      <c r="K166" s="93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51"/>
      <c r="C167" s="5"/>
      <c r="D167" s="5"/>
      <c r="E167" s="5"/>
      <c r="F167" s="84"/>
      <c r="G167" s="92"/>
      <c r="H167" s="92"/>
      <c r="I167" s="92"/>
      <c r="J167" s="93"/>
      <c r="K167" s="93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51"/>
      <c r="C168" s="5"/>
      <c r="D168" s="5"/>
      <c r="E168" s="5"/>
      <c r="F168" s="84"/>
      <c r="G168" s="92"/>
      <c r="H168" s="92"/>
      <c r="I168" s="92"/>
      <c r="J168" s="93"/>
      <c r="K168" s="93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51"/>
      <c r="C169" s="5"/>
      <c r="D169" s="5"/>
      <c r="E169" s="5"/>
      <c r="F169" s="84"/>
      <c r="G169" s="92"/>
      <c r="H169" s="92"/>
      <c r="I169" s="92"/>
      <c r="J169" s="93"/>
      <c r="K169" s="93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51"/>
      <c r="C170" s="5"/>
      <c r="D170" s="5"/>
      <c r="E170" s="5"/>
      <c r="F170" s="84"/>
      <c r="G170" s="92"/>
      <c r="H170" s="92"/>
      <c r="I170" s="92"/>
      <c r="J170" s="93"/>
      <c r="K170" s="93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51"/>
      <c r="C171" s="5"/>
      <c r="D171" s="5"/>
      <c r="E171" s="5"/>
      <c r="F171" s="84"/>
      <c r="G171" s="92"/>
      <c r="H171" s="92"/>
      <c r="I171" s="92"/>
      <c r="J171" s="93"/>
      <c r="K171" s="93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51"/>
      <c r="C172" s="5"/>
      <c r="D172" s="5"/>
      <c r="E172" s="5"/>
      <c r="F172" s="84"/>
      <c r="G172" s="92"/>
      <c r="H172" s="92"/>
      <c r="I172" s="92"/>
      <c r="J172" s="93"/>
      <c r="K172" s="93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51"/>
      <c r="C173" s="5"/>
      <c r="D173" s="5"/>
      <c r="E173" s="5"/>
      <c r="F173" s="84"/>
      <c r="G173" s="92"/>
      <c r="H173" s="92"/>
      <c r="I173" s="92"/>
      <c r="J173" s="93"/>
      <c r="K173" s="93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51"/>
      <c r="C174" s="5"/>
      <c r="D174" s="5"/>
      <c r="E174" s="5"/>
      <c r="F174" s="84"/>
      <c r="G174" s="92"/>
      <c r="H174" s="92"/>
      <c r="I174" s="92"/>
      <c r="J174" s="93"/>
      <c r="K174" s="93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51"/>
      <c r="C175" s="9"/>
      <c r="D175" s="9"/>
      <c r="E175" s="9"/>
      <c r="F175" s="84"/>
      <c r="G175" s="92"/>
      <c r="H175" s="92"/>
      <c r="I175" s="92"/>
      <c r="J175" s="93"/>
      <c r="K175" s="93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51"/>
      <c r="C176" s="9"/>
      <c r="D176" s="9"/>
      <c r="E176" s="9"/>
      <c r="F176" s="84"/>
      <c r="G176" s="92"/>
      <c r="H176" s="92"/>
      <c r="I176" s="92"/>
      <c r="J176" s="93"/>
      <c r="K176" s="93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51"/>
      <c r="C177" s="9"/>
      <c r="D177" s="9"/>
      <c r="E177" s="9"/>
      <c r="F177" s="84"/>
      <c r="G177" s="92"/>
      <c r="H177" s="92"/>
      <c r="I177" s="92"/>
      <c r="J177" s="93"/>
      <c r="K177" s="93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51"/>
      <c r="C178" s="9"/>
      <c r="D178" s="9"/>
      <c r="E178" s="9"/>
      <c r="F178" s="84"/>
      <c r="G178" s="92"/>
      <c r="H178" s="92"/>
      <c r="I178" s="92"/>
      <c r="J178" s="93"/>
      <c r="K178" s="93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51"/>
      <c r="C179" s="9"/>
      <c r="D179" s="9"/>
      <c r="E179" s="9"/>
      <c r="F179" s="84"/>
      <c r="G179" s="92"/>
      <c r="H179" s="92"/>
      <c r="I179" s="92"/>
      <c r="J179" s="93"/>
      <c r="K179" s="93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51"/>
      <c r="C180" s="9"/>
      <c r="D180" s="9"/>
      <c r="E180" s="9"/>
      <c r="F180" s="84"/>
      <c r="G180" s="92"/>
      <c r="H180" s="92"/>
      <c r="I180" s="92"/>
      <c r="J180" s="93"/>
      <c r="K180" s="93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51"/>
      <c r="C181" s="9"/>
      <c r="D181" s="9"/>
      <c r="E181" s="9"/>
      <c r="F181" s="84"/>
      <c r="G181" s="92"/>
      <c r="H181" s="92"/>
      <c r="I181" s="92"/>
      <c r="J181" s="93"/>
      <c r="K181" s="93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51"/>
      <c r="C182" s="9"/>
      <c r="D182" s="9"/>
      <c r="E182" s="9"/>
      <c r="F182" s="84"/>
      <c r="G182" s="92"/>
      <c r="H182" s="92"/>
      <c r="I182" s="92"/>
      <c r="J182" s="93"/>
      <c r="K182" s="93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51"/>
      <c r="C183" s="9"/>
      <c r="D183" s="9"/>
      <c r="E183" s="9"/>
      <c r="F183" s="84"/>
      <c r="G183" s="92"/>
      <c r="H183" s="92"/>
      <c r="I183" s="92"/>
      <c r="J183" s="93"/>
      <c r="K183" s="93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51"/>
      <c r="C184" s="9"/>
      <c r="D184" s="9"/>
      <c r="E184" s="9"/>
      <c r="F184" s="84"/>
      <c r="G184" s="92"/>
      <c r="H184" s="92"/>
      <c r="I184" s="92"/>
      <c r="J184" s="93"/>
      <c r="K184" s="93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51"/>
      <c r="C185" s="9"/>
      <c r="D185" s="9"/>
      <c r="E185" s="9"/>
      <c r="F185" s="84"/>
      <c r="G185" s="92"/>
      <c r="H185" s="92"/>
      <c r="I185" s="92"/>
      <c r="J185" s="93"/>
      <c r="K185" s="93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51"/>
      <c r="C186" s="9"/>
      <c r="D186" s="9"/>
      <c r="E186" s="9"/>
      <c r="F186" s="84"/>
      <c r="G186" s="92"/>
      <c r="H186" s="92"/>
      <c r="I186" s="92"/>
      <c r="J186" s="93"/>
      <c r="K186" s="93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51"/>
      <c r="C187" s="9"/>
      <c r="D187" s="9"/>
      <c r="E187" s="9"/>
      <c r="F187" s="84"/>
      <c r="G187" s="92"/>
      <c r="H187" s="92"/>
      <c r="I187" s="92"/>
      <c r="J187" s="93"/>
      <c r="K187" s="93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51"/>
      <c r="C188" s="9"/>
      <c r="D188" s="9"/>
      <c r="E188" s="9"/>
      <c r="F188" s="84"/>
      <c r="G188" s="92"/>
      <c r="H188" s="92"/>
      <c r="I188" s="92"/>
      <c r="J188" s="93"/>
      <c r="K188" s="93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51"/>
      <c r="C189" s="9"/>
      <c r="D189" s="9"/>
      <c r="E189" s="9"/>
      <c r="F189" s="84"/>
      <c r="G189" s="92"/>
      <c r="H189" s="92"/>
      <c r="I189" s="92"/>
      <c r="J189" s="93"/>
      <c r="K189" s="93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51"/>
      <c r="C190" s="10"/>
      <c r="D190" s="111"/>
      <c r="E190" s="111"/>
      <c r="F190" s="84"/>
      <c r="G190" s="92"/>
      <c r="H190" s="92"/>
      <c r="I190" s="92"/>
      <c r="J190" s="93"/>
      <c r="K190" s="93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65"/>
      <c r="C191" s="14"/>
      <c r="D191" s="14"/>
      <c r="E191" s="14"/>
      <c r="F191" s="84"/>
      <c r="G191" s="92"/>
      <c r="H191" s="92"/>
      <c r="I191" s="92"/>
      <c r="J191" s="93"/>
      <c r="K191" s="93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65"/>
      <c r="C192" s="14"/>
      <c r="D192" s="14"/>
      <c r="E192" s="14"/>
      <c r="F192" s="84"/>
      <c r="G192" s="92"/>
      <c r="H192" s="92"/>
      <c r="I192" s="92"/>
      <c r="J192" s="93"/>
      <c r="K192" s="93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51"/>
      <c r="C193" s="9"/>
      <c r="D193" s="9"/>
      <c r="E193" s="9"/>
      <c r="F193" s="84"/>
      <c r="G193" s="92"/>
      <c r="H193" s="92"/>
      <c r="I193" s="92"/>
      <c r="J193" s="93"/>
      <c r="K193" s="93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51"/>
      <c r="C194" s="9"/>
      <c r="D194" s="9"/>
      <c r="E194" s="9"/>
      <c r="F194" s="84"/>
      <c r="G194" s="92"/>
      <c r="H194" s="92"/>
      <c r="I194" s="92"/>
      <c r="J194" s="93"/>
      <c r="K194" s="93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51"/>
      <c r="C195" s="9"/>
      <c r="D195" s="9"/>
      <c r="E195" s="9"/>
      <c r="F195" s="84"/>
      <c r="G195" s="92"/>
      <c r="H195" s="92"/>
      <c r="I195" s="92"/>
      <c r="J195" s="93"/>
      <c r="K195" s="93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51"/>
      <c r="C196" s="9"/>
      <c r="D196" s="9"/>
      <c r="E196" s="9"/>
      <c r="F196" s="84"/>
      <c r="G196" s="92"/>
      <c r="H196" s="92"/>
      <c r="I196" s="92"/>
      <c r="J196" s="93"/>
      <c r="K196" s="93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51"/>
      <c r="C197" s="9"/>
      <c r="D197" s="9"/>
      <c r="E197" s="9"/>
      <c r="F197" s="84"/>
      <c r="G197" s="92"/>
      <c r="H197" s="92"/>
      <c r="I197" s="92"/>
      <c r="J197" s="93"/>
      <c r="K197" s="93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51"/>
      <c r="C198" s="9"/>
      <c r="D198" s="9"/>
      <c r="E198" s="9"/>
      <c r="F198" s="84"/>
      <c r="G198" s="92"/>
      <c r="H198" s="92"/>
      <c r="I198" s="92"/>
      <c r="J198" s="93"/>
      <c r="K198" s="93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51"/>
      <c r="C199" s="9"/>
      <c r="D199" s="9"/>
      <c r="E199" s="9"/>
      <c r="F199" s="84"/>
      <c r="G199" s="92"/>
      <c r="H199" s="92"/>
      <c r="I199" s="92"/>
      <c r="J199" s="93"/>
      <c r="K199" s="93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51"/>
      <c r="C200" s="9"/>
      <c r="D200" s="9"/>
      <c r="E200" s="9"/>
      <c r="F200" s="84"/>
      <c r="G200" s="92"/>
      <c r="H200" s="92"/>
      <c r="I200" s="92"/>
      <c r="J200" s="93"/>
      <c r="K200" s="93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51"/>
      <c r="C201" s="9"/>
      <c r="D201" s="9"/>
      <c r="E201" s="9"/>
      <c r="F201" s="84"/>
      <c r="G201" s="92"/>
      <c r="H201" s="92"/>
      <c r="I201" s="92"/>
      <c r="J201" s="93"/>
      <c r="K201" s="93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51"/>
      <c r="C202" s="9"/>
      <c r="D202" s="9"/>
      <c r="E202" s="9"/>
      <c r="F202" s="84"/>
      <c r="G202" s="92"/>
      <c r="H202" s="92"/>
      <c r="I202" s="92"/>
      <c r="J202" s="93"/>
      <c r="K202" s="93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51"/>
      <c r="C203" s="9"/>
      <c r="D203" s="9"/>
      <c r="E203" s="9"/>
      <c r="F203" s="84"/>
      <c r="G203" s="92"/>
      <c r="H203" s="92"/>
      <c r="I203" s="92"/>
      <c r="J203" s="93"/>
      <c r="K203" s="93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51"/>
      <c r="C204" s="9"/>
      <c r="D204" s="9"/>
      <c r="E204" s="9"/>
      <c r="F204" s="84"/>
      <c r="G204" s="92"/>
      <c r="H204" s="92"/>
      <c r="I204" s="92"/>
      <c r="J204" s="93"/>
      <c r="K204" s="93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51"/>
      <c r="C205" s="9"/>
      <c r="D205" s="9"/>
      <c r="E205" s="9"/>
      <c r="F205" s="84"/>
      <c r="G205" s="92"/>
      <c r="H205" s="92"/>
      <c r="I205" s="92"/>
      <c r="J205" s="93"/>
      <c r="K205" s="93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51"/>
      <c r="C206" s="9"/>
      <c r="D206" s="9"/>
      <c r="E206" s="9"/>
      <c r="F206" s="84"/>
      <c r="G206" s="92"/>
      <c r="H206" s="92"/>
      <c r="I206" s="92"/>
      <c r="J206" s="93"/>
      <c r="K206" s="93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51"/>
      <c r="C207" s="9"/>
      <c r="D207" s="9"/>
      <c r="E207" s="9"/>
      <c r="F207" s="84"/>
      <c r="G207" s="92"/>
      <c r="H207" s="92"/>
      <c r="I207" s="92"/>
      <c r="J207" s="93"/>
      <c r="K207" s="93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51"/>
      <c r="C208" s="9"/>
      <c r="D208" s="9"/>
      <c r="E208" s="9"/>
      <c r="F208" s="84"/>
      <c r="G208" s="92"/>
      <c r="H208" s="92"/>
      <c r="I208" s="92"/>
      <c r="J208" s="93"/>
      <c r="K208" s="93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51"/>
      <c r="C209" s="9"/>
      <c r="D209" s="9"/>
      <c r="E209" s="9"/>
      <c r="F209" s="84"/>
      <c r="G209" s="92"/>
      <c r="H209" s="92"/>
      <c r="I209" s="92"/>
      <c r="J209" s="93"/>
      <c r="K209" s="93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51"/>
      <c r="C210" s="9"/>
      <c r="D210" s="9"/>
      <c r="E210" s="9"/>
      <c r="F210" s="84"/>
      <c r="G210" s="92"/>
      <c r="H210" s="92"/>
      <c r="I210" s="92"/>
      <c r="J210" s="93"/>
      <c r="K210" s="93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51"/>
      <c r="C211" s="9"/>
      <c r="D211" s="9"/>
      <c r="E211" s="9"/>
      <c r="F211" s="84"/>
      <c r="G211" s="92"/>
      <c r="H211" s="92"/>
      <c r="I211" s="92"/>
      <c r="J211" s="93"/>
      <c r="K211" s="93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51"/>
      <c r="C212" s="9"/>
      <c r="D212" s="9"/>
      <c r="E212" s="9"/>
      <c r="F212" s="84"/>
      <c r="G212" s="92"/>
      <c r="H212" s="92"/>
      <c r="I212" s="92"/>
      <c r="J212" s="93"/>
      <c r="K212" s="93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51"/>
      <c r="C213" s="9"/>
      <c r="D213" s="9"/>
      <c r="E213" s="9"/>
      <c r="F213" s="84"/>
      <c r="G213" s="92"/>
      <c r="H213" s="92"/>
      <c r="I213" s="92"/>
      <c r="J213" s="93"/>
      <c r="K213" s="93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51"/>
      <c r="C214" s="9"/>
      <c r="D214" s="9"/>
      <c r="E214" s="9"/>
      <c r="F214" s="84"/>
      <c r="G214" s="92"/>
      <c r="H214" s="92"/>
      <c r="I214" s="92"/>
      <c r="J214" s="93"/>
      <c r="K214" s="93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51"/>
      <c r="C215" s="9"/>
      <c r="D215" s="9"/>
      <c r="E215" s="9"/>
      <c r="F215" s="84"/>
      <c r="G215" s="92"/>
      <c r="H215" s="92"/>
      <c r="I215" s="92"/>
      <c r="J215" s="93"/>
      <c r="K215" s="93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51"/>
      <c r="C216" s="9"/>
      <c r="D216" s="9"/>
      <c r="E216" s="9"/>
      <c r="F216" s="84"/>
      <c r="G216" s="92"/>
      <c r="H216" s="92"/>
      <c r="I216" s="92"/>
      <c r="J216" s="93"/>
      <c r="K216" s="93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51"/>
      <c r="C217" s="9"/>
      <c r="D217" s="9"/>
      <c r="E217" s="9"/>
      <c r="F217" s="84"/>
      <c r="G217" s="92"/>
      <c r="H217" s="92"/>
      <c r="I217" s="92"/>
      <c r="J217" s="93"/>
      <c r="K217" s="93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51"/>
      <c r="C218" s="9"/>
      <c r="D218" s="9"/>
      <c r="E218" s="9"/>
      <c r="F218" s="84"/>
      <c r="G218" s="92"/>
      <c r="H218" s="92"/>
      <c r="I218" s="92"/>
      <c r="J218" s="93"/>
      <c r="K218" s="93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51"/>
      <c r="C219" s="9"/>
      <c r="D219" s="9"/>
      <c r="E219" s="9"/>
      <c r="F219" s="84"/>
      <c r="G219" s="92"/>
      <c r="H219" s="92"/>
      <c r="I219" s="92"/>
      <c r="J219" s="93"/>
      <c r="K219" s="93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51"/>
      <c r="C220" s="9"/>
      <c r="D220" s="9"/>
      <c r="E220" s="9"/>
      <c r="F220" s="84"/>
      <c r="G220" s="92"/>
      <c r="H220" s="92"/>
      <c r="I220" s="92"/>
      <c r="J220" s="93"/>
      <c r="K220" s="93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51"/>
      <c r="C221" s="9"/>
      <c r="D221" s="9"/>
      <c r="E221" s="9"/>
      <c r="F221" s="84"/>
      <c r="G221" s="92"/>
      <c r="H221" s="92"/>
      <c r="I221" s="92"/>
      <c r="J221" s="93"/>
      <c r="K221" s="93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51"/>
      <c r="C222" s="9"/>
      <c r="D222" s="9"/>
      <c r="E222" s="9"/>
      <c r="F222" s="84"/>
      <c r="G222" s="92"/>
      <c r="H222" s="92"/>
      <c r="I222" s="92"/>
      <c r="J222" s="93"/>
      <c r="K222" s="93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51"/>
      <c r="C223" s="9"/>
      <c r="D223" s="9"/>
      <c r="E223" s="9"/>
      <c r="F223" s="84"/>
      <c r="G223" s="92"/>
      <c r="H223" s="92"/>
      <c r="I223" s="92"/>
      <c r="J223" s="93"/>
      <c r="K223" s="93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78"/>
      <c r="B224" s="112"/>
      <c r="C224" s="77"/>
      <c r="D224" s="77"/>
      <c r="E224" s="77"/>
      <c r="F224" s="84"/>
      <c r="G224" s="92"/>
      <c r="H224" s="92"/>
      <c r="I224" s="92"/>
      <c r="J224" s="93"/>
      <c r="K224" s="93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 spans="1:27" ht="12.75" customHeight="1" x14ac:dyDescent="0.25">
      <c r="A225" s="78"/>
      <c r="B225" s="112"/>
      <c r="C225" s="77"/>
      <c r="D225" s="77"/>
      <c r="E225" s="77"/>
      <c r="F225" s="84"/>
      <c r="G225" s="92"/>
      <c r="H225" s="92"/>
      <c r="I225" s="92"/>
      <c r="J225" s="93"/>
      <c r="K225" s="93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</row>
    <row r="226" spans="1:27" ht="12.75" customHeight="1" x14ac:dyDescent="0.25">
      <c r="A226" s="78"/>
      <c r="B226" s="112"/>
      <c r="C226" s="77"/>
      <c r="D226" s="77"/>
      <c r="E226" s="77"/>
      <c r="F226" s="84"/>
      <c r="G226" s="92"/>
      <c r="H226" s="92"/>
      <c r="I226" s="92"/>
      <c r="J226" s="93"/>
      <c r="K226" s="93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</row>
    <row r="227" spans="1:27" ht="12.75" customHeight="1" x14ac:dyDescent="0.25">
      <c r="A227" s="78"/>
      <c r="B227" s="112"/>
      <c r="C227" s="77"/>
      <c r="D227" s="77"/>
      <c r="E227" s="77"/>
      <c r="F227" s="84"/>
      <c r="G227" s="92"/>
      <c r="H227" s="92"/>
      <c r="I227" s="92"/>
      <c r="J227" s="93"/>
      <c r="K227" s="93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</row>
    <row r="228" spans="1:27" ht="12.75" customHeight="1" x14ac:dyDescent="0.25">
      <c r="A228" s="78"/>
      <c r="B228" s="112"/>
      <c r="C228" s="77"/>
      <c r="D228" s="77"/>
      <c r="E228" s="77"/>
      <c r="F228" s="84"/>
      <c r="G228" s="92"/>
      <c r="H228" s="92"/>
      <c r="I228" s="92"/>
      <c r="J228" s="93"/>
      <c r="K228" s="93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</row>
    <row r="229" spans="1:27" ht="12.75" customHeight="1" x14ac:dyDescent="0.25">
      <c r="A229" s="78"/>
      <c r="B229" s="112"/>
      <c r="C229" s="77"/>
      <c r="D229" s="77"/>
      <c r="E229" s="77"/>
      <c r="F229" s="84"/>
      <c r="G229" s="92"/>
      <c r="H229" s="92"/>
      <c r="I229" s="92"/>
      <c r="J229" s="93"/>
      <c r="K229" s="93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</row>
    <row r="230" spans="1:27" ht="12.75" customHeight="1" x14ac:dyDescent="0.25">
      <c r="A230" s="78"/>
      <c r="B230" s="112"/>
      <c r="C230" s="77"/>
      <c r="D230" s="77"/>
      <c r="E230" s="77"/>
      <c r="F230" s="84"/>
      <c r="G230" s="92"/>
      <c r="H230" s="92"/>
      <c r="I230" s="92"/>
      <c r="J230" s="93"/>
      <c r="K230" s="93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</row>
    <row r="231" spans="1:27" ht="12.75" customHeight="1" x14ac:dyDescent="0.25">
      <c r="A231" s="78"/>
      <c r="B231" s="112"/>
      <c r="C231" s="77"/>
      <c r="D231" s="77"/>
      <c r="E231" s="77"/>
      <c r="F231" s="84"/>
      <c r="G231" s="92"/>
      <c r="H231" s="92"/>
      <c r="I231" s="92"/>
      <c r="J231" s="93"/>
      <c r="K231" s="93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</row>
    <row r="232" spans="1:27" ht="12.75" customHeight="1" x14ac:dyDescent="0.25">
      <c r="A232" s="78"/>
      <c r="B232" s="112"/>
      <c r="C232" s="77"/>
      <c r="D232" s="77"/>
      <c r="E232" s="77"/>
      <c r="F232" s="84"/>
      <c r="G232" s="92"/>
      <c r="H232" s="92"/>
      <c r="I232" s="92"/>
      <c r="J232" s="93"/>
      <c r="K232" s="93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</row>
    <row r="233" spans="1:27" ht="12.75" customHeight="1" x14ac:dyDescent="0.25">
      <c r="A233" s="78"/>
      <c r="B233" s="112"/>
      <c r="C233" s="77"/>
      <c r="D233" s="77"/>
      <c r="E233" s="77"/>
      <c r="F233" s="84"/>
      <c r="G233" s="92"/>
      <c r="H233" s="92"/>
      <c r="I233" s="92"/>
      <c r="J233" s="93"/>
      <c r="K233" s="93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</row>
    <row r="234" spans="1:27" ht="12.75" customHeight="1" x14ac:dyDescent="0.25">
      <c r="A234" s="78"/>
      <c r="B234" s="112"/>
      <c r="C234" s="77"/>
      <c r="D234" s="77"/>
      <c r="E234" s="77"/>
      <c r="F234" s="84"/>
      <c r="G234" s="92"/>
      <c r="H234" s="92"/>
      <c r="I234" s="92"/>
      <c r="J234" s="93"/>
      <c r="K234" s="93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</row>
    <row r="235" spans="1:27" ht="12.75" customHeight="1" x14ac:dyDescent="0.25">
      <c r="A235" s="78"/>
      <c r="B235" s="112"/>
      <c r="C235" s="77"/>
      <c r="D235" s="77"/>
      <c r="E235" s="77"/>
      <c r="F235" s="84"/>
      <c r="G235" s="92"/>
      <c r="H235" s="92"/>
      <c r="I235" s="92"/>
      <c r="J235" s="93"/>
      <c r="K235" s="93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</row>
    <row r="236" spans="1:27" ht="12.75" customHeight="1" x14ac:dyDescent="0.25">
      <c r="A236" s="78"/>
      <c r="B236" s="112"/>
      <c r="C236" s="77"/>
      <c r="D236" s="77"/>
      <c r="E236" s="77"/>
      <c r="F236" s="84"/>
      <c r="G236" s="92"/>
      <c r="H236" s="92"/>
      <c r="I236" s="92"/>
      <c r="J236" s="93"/>
      <c r="K236" s="93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 spans="1:27" ht="12.75" customHeight="1" x14ac:dyDescent="0.25">
      <c r="A237" s="78"/>
      <c r="B237" s="112"/>
      <c r="C237" s="77"/>
      <c r="D237" s="77"/>
      <c r="E237" s="77"/>
      <c r="F237" s="84"/>
      <c r="G237" s="92"/>
      <c r="H237" s="92"/>
      <c r="I237" s="92"/>
      <c r="J237" s="93"/>
      <c r="K237" s="93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</row>
    <row r="238" spans="1:27" ht="12.75" customHeight="1" x14ac:dyDescent="0.25">
      <c r="A238" s="78"/>
      <c r="B238" s="112"/>
      <c r="C238" s="77"/>
      <c r="D238" s="77"/>
      <c r="E238" s="77"/>
      <c r="F238" s="84"/>
      <c r="G238" s="92"/>
      <c r="H238" s="92"/>
      <c r="I238" s="92"/>
      <c r="J238" s="93"/>
      <c r="K238" s="93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</row>
    <row r="239" spans="1:27" ht="12.75" customHeight="1" x14ac:dyDescent="0.25">
      <c r="A239" s="78"/>
      <c r="B239" s="112"/>
      <c r="C239" s="77"/>
      <c r="D239" s="77"/>
      <c r="E239" s="77"/>
      <c r="F239" s="84"/>
      <c r="G239" s="92"/>
      <c r="H239" s="92"/>
      <c r="I239" s="92"/>
      <c r="J239" s="93"/>
      <c r="K239" s="93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</row>
    <row r="240" spans="1:27" ht="12.75" customHeight="1" x14ac:dyDescent="0.25">
      <c r="A240" s="78"/>
      <c r="B240" s="112"/>
      <c r="C240" s="77"/>
      <c r="D240" s="77"/>
      <c r="E240" s="77"/>
      <c r="F240" s="84"/>
      <c r="G240" s="92"/>
      <c r="H240" s="92"/>
      <c r="I240" s="92"/>
      <c r="J240" s="93"/>
      <c r="K240" s="93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</row>
    <row r="241" spans="1:27" ht="12.75" customHeight="1" x14ac:dyDescent="0.25">
      <c r="A241" s="78"/>
      <c r="B241" s="112"/>
      <c r="C241" s="77"/>
      <c r="D241" s="77"/>
      <c r="E241" s="77"/>
      <c r="F241" s="84"/>
      <c r="G241" s="92"/>
      <c r="H241" s="92"/>
      <c r="I241" s="92"/>
      <c r="J241" s="93"/>
      <c r="K241" s="93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</row>
    <row r="242" spans="1:27" ht="12.75" customHeight="1" x14ac:dyDescent="0.25">
      <c r="A242" s="78"/>
      <c r="B242" s="112"/>
      <c r="C242" s="77"/>
      <c r="D242" s="77"/>
      <c r="E242" s="77"/>
      <c r="F242" s="84"/>
      <c r="G242" s="92"/>
      <c r="H242" s="92"/>
      <c r="I242" s="92"/>
      <c r="J242" s="93"/>
      <c r="K242" s="93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</row>
    <row r="243" spans="1:27" ht="12.75" customHeight="1" x14ac:dyDescent="0.25">
      <c r="A243" s="78"/>
      <c r="B243" s="112"/>
      <c r="C243" s="77"/>
      <c r="D243" s="77"/>
      <c r="E243" s="77"/>
      <c r="F243" s="84"/>
      <c r="G243" s="92"/>
      <c r="H243" s="92"/>
      <c r="I243" s="92"/>
      <c r="J243" s="93"/>
      <c r="K243" s="93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</row>
    <row r="244" spans="1:27" ht="12.75" customHeight="1" x14ac:dyDescent="0.25">
      <c r="A244" s="78"/>
      <c r="B244" s="112"/>
      <c r="C244" s="77"/>
      <c r="D244" s="77"/>
      <c r="E244" s="77"/>
      <c r="F244" s="84"/>
      <c r="G244" s="92"/>
      <c r="H244" s="92"/>
      <c r="I244" s="92"/>
      <c r="J244" s="93"/>
      <c r="K244" s="93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</row>
    <row r="245" spans="1:27" ht="12.75" customHeight="1" x14ac:dyDescent="0.25">
      <c r="A245" s="78"/>
      <c r="B245" s="112"/>
      <c r="C245" s="77"/>
      <c r="D245" s="77"/>
      <c r="E245" s="77"/>
      <c r="F245" s="84"/>
      <c r="G245" s="92"/>
      <c r="H245" s="92"/>
      <c r="I245" s="92"/>
      <c r="J245" s="93"/>
      <c r="K245" s="93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</row>
    <row r="246" spans="1:27" ht="12.75" customHeight="1" x14ac:dyDescent="0.25">
      <c r="A246" s="78"/>
      <c r="B246" s="112"/>
      <c r="C246" s="77"/>
      <c r="D246" s="77"/>
      <c r="E246" s="77"/>
      <c r="F246" s="84"/>
      <c r="G246" s="92"/>
      <c r="H246" s="92"/>
      <c r="I246" s="92"/>
      <c r="J246" s="93"/>
      <c r="K246" s="93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</row>
    <row r="247" spans="1:27" ht="12.75" customHeight="1" x14ac:dyDescent="0.25">
      <c r="A247" s="78"/>
      <c r="B247" s="112"/>
      <c r="C247" s="77"/>
      <c r="D247" s="77"/>
      <c r="E247" s="77"/>
      <c r="F247" s="84"/>
      <c r="G247" s="92"/>
      <c r="H247" s="92"/>
      <c r="I247" s="92"/>
      <c r="J247" s="93"/>
      <c r="K247" s="93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</row>
    <row r="248" spans="1:27" ht="12.75" customHeight="1" x14ac:dyDescent="0.25">
      <c r="A248" s="78"/>
      <c r="B248" s="112"/>
      <c r="C248" s="77"/>
      <c r="D248" s="77"/>
      <c r="E248" s="77"/>
      <c r="F248" s="84"/>
      <c r="G248" s="92"/>
      <c r="H248" s="92"/>
      <c r="I248" s="92"/>
      <c r="J248" s="93"/>
      <c r="K248" s="93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</row>
    <row r="249" spans="1:27" ht="12.75" customHeight="1" x14ac:dyDescent="0.25">
      <c r="A249" s="78"/>
      <c r="B249" s="112"/>
      <c r="C249" s="77"/>
      <c r="D249" s="77"/>
      <c r="E249" s="77"/>
      <c r="F249" s="84"/>
      <c r="G249" s="92"/>
      <c r="H249" s="92"/>
      <c r="I249" s="92"/>
      <c r="J249" s="93"/>
      <c r="K249" s="93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</row>
    <row r="250" spans="1:27" ht="12.75" customHeight="1" x14ac:dyDescent="0.25">
      <c r="A250" s="78"/>
      <c r="B250" s="112"/>
      <c r="C250" s="77"/>
      <c r="D250" s="77"/>
      <c r="E250" s="77"/>
      <c r="F250" s="84"/>
      <c r="G250" s="92"/>
      <c r="H250" s="92"/>
      <c r="I250" s="92"/>
      <c r="J250" s="93"/>
      <c r="K250" s="93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</row>
    <row r="251" spans="1:27" ht="12.75" customHeight="1" x14ac:dyDescent="0.25">
      <c r="A251" s="78"/>
      <c r="B251" s="112"/>
      <c r="C251" s="77"/>
      <c r="D251" s="77"/>
      <c r="E251" s="77"/>
      <c r="F251" s="84"/>
      <c r="G251" s="92"/>
      <c r="H251" s="92"/>
      <c r="I251" s="92"/>
      <c r="J251" s="93"/>
      <c r="K251" s="93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</row>
    <row r="252" spans="1:27" ht="12.75" customHeight="1" x14ac:dyDescent="0.25">
      <c r="A252" s="78"/>
      <c r="B252" s="112"/>
      <c r="C252" s="77"/>
      <c r="D252" s="77"/>
      <c r="E252" s="77"/>
      <c r="F252" s="84"/>
      <c r="G252" s="92"/>
      <c r="H252" s="92"/>
      <c r="I252" s="92"/>
      <c r="J252" s="93"/>
      <c r="K252" s="93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</row>
    <row r="253" spans="1:27" ht="12.75" customHeight="1" x14ac:dyDescent="0.25">
      <c r="A253" s="78"/>
      <c r="B253" s="112"/>
      <c r="C253" s="77"/>
      <c r="D253" s="77"/>
      <c r="E253" s="77"/>
      <c r="F253" s="84"/>
      <c r="G253" s="92"/>
      <c r="H253" s="92"/>
      <c r="I253" s="92"/>
      <c r="J253" s="93"/>
      <c r="K253" s="93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</row>
    <row r="254" spans="1:27" ht="12.75" customHeight="1" x14ac:dyDescent="0.25">
      <c r="A254" s="78"/>
      <c r="B254" s="112"/>
      <c r="C254" s="77"/>
      <c r="D254" s="77"/>
      <c r="E254" s="77"/>
      <c r="F254" s="84"/>
      <c r="G254" s="92"/>
      <c r="H254" s="92"/>
      <c r="I254" s="92"/>
      <c r="J254" s="93"/>
      <c r="K254" s="93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</row>
    <row r="255" spans="1:27" ht="12.75" customHeight="1" x14ac:dyDescent="0.25">
      <c r="A255" s="78"/>
      <c r="B255" s="112"/>
      <c r="C255" s="77"/>
      <c r="D255" s="77"/>
      <c r="E255" s="77"/>
      <c r="F255" s="84"/>
      <c r="G255" s="92"/>
      <c r="H255" s="92"/>
      <c r="I255" s="92"/>
      <c r="J255" s="93"/>
      <c r="K255" s="93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</row>
    <row r="256" spans="1:27" ht="12.75" customHeight="1" x14ac:dyDescent="0.25">
      <c r="A256" s="78"/>
      <c r="B256" s="112"/>
      <c r="C256" s="77"/>
      <c r="D256" s="77"/>
      <c r="E256" s="77"/>
      <c r="F256" s="84"/>
      <c r="G256" s="92"/>
      <c r="H256" s="92"/>
      <c r="I256" s="92"/>
      <c r="J256" s="93"/>
      <c r="K256" s="93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</row>
    <row r="257" spans="1:27" ht="12.75" customHeight="1" x14ac:dyDescent="0.25">
      <c r="A257" s="78"/>
      <c r="B257" s="112"/>
      <c r="C257" s="77"/>
      <c r="D257" s="77"/>
      <c r="E257" s="77"/>
      <c r="F257" s="84"/>
      <c r="G257" s="92"/>
      <c r="H257" s="92"/>
      <c r="I257" s="92"/>
      <c r="J257" s="93"/>
      <c r="K257" s="93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</row>
    <row r="258" spans="1:27" ht="12.75" customHeight="1" x14ac:dyDescent="0.25">
      <c r="A258" s="78"/>
      <c r="B258" s="112"/>
      <c r="C258" s="77"/>
      <c r="D258" s="77"/>
      <c r="E258" s="77"/>
      <c r="F258" s="84"/>
      <c r="G258" s="92"/>
      <c r="H258" s="92"/>
      <c r="I258" s="92"/>
      <c r="J258" s="93"/>
      <c r="K258" s="93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</row>
    <row r="259" spans="1:27" ht="12.75" customHeight="1" x14ac:dyDescent="0.25">
      <c r="A259" s="78"/>
      <c r="B259" s="112"/>
      <c r="C259" s="77"/>
      <c r="D259" s="77"/>
      <c r="E259" s="77"/>
      <c r="F259" s="84"/>
      <c r="G259" s="92"/>
      <c r="H259" s="92"/>
      <c r="I259" s="92"/>
      <c r="J259" s="93"/>
      <c r="K259" s="93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</row>
    <row r="260" spans="1:27" ht="12.75" customHeight="1" x14ac:dyDescent="0.25">
      <c r="A260" s="78"/>
      <c r="B260" s="112"/>
      <c r="C260" s="77"/>
      <c r="D260" s="77"/>
      <c r="E260" s="77"/>
      <c r="F260" s="84"/>
      <c r="G260" s="92"/>
      <c r="H260" s="92"/>
      <c r="I260" s="92"/>
      <c r="J260" s="93"/>
      <c r="K260" s="93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</row>
    <row r="261" spans="1:27" ht="12.75" customHeight="1" x14ac:dyDescent="0.25">
      <c r="A261" s="78"/>
      <c r="B261" s="112"/>
      <c r="C261" s="77"/>
      <c r="D261" s="77"/>
      <c r="E261" s="77"/>
      <c r="F261" s="84"/>
      <c r="G261" s="92"/>
      <c r="H261" s="92"/>
      <c r="I261" s="92"/>
      <c r="J261" s="93"/>
      <c r="K261" s="93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</row>
    <row r="262" spans="1:27" ht="12.75" customHeight="1" x14ac:dyDescent="0.25">
      <c r="A262" s="78"/>
      <c r="B262" s="112"/>
      <c r="C262" s="77"/>
      <c r="D262" s="77"/>
      <c r="E262" s="77"/>
      <c r="F262" s="84"/>
      <c r="G262" s="92"/>
      <c r="H262" s="92"/>
      <c r="I262" s="92"/>
      <c r="J262" s="93"/>
      <c r="K262" s="93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</row>
    <row r="263" spans="1:27" ht="12.75" customHeight="1" x14ac:dyDescent="0.25">
      <c r="A263" s="78"/>
      <c r="B263" s="112"/>
      <c r="C263" s="77"/>
      <c r="D263" s="77"/>
      <c r="E263" s="77"/>
      <c r="F263" s="84"/>
      <c r="G263" s="92"/>
      <c r="H263" s="92"/>
      <c r="I263" s="92"/>
      <c r="J263" s="93"/>
      <c r="K263" s="93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</row>
    <row r="264" spans="1:27" ht="12.75" customHeight="1" x14ac:dyDescent="0.25">
      <c r="A264" s="78"/>
      <c r="B264" s="112"/>
      <c r="C264" s="77"/>
      <c r="D264" s="77"/>
      <c r="E264" s="77"/>
      <c r="F264" s="84"/>
      <c r="G264" s="92"/>
      <c r="H264" s="92"/>
      <c r="I264" s="92"/>
      <c r="J264" s="93"/>
      <c r="K264" s="93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</row>
    <row r="265" spans="1:27" ht="12.75" customHeight="1" x14ac:dyDescent="0.25">
      <c r="A265" s="78"/>
      <c r="B265" s="112"/>
      <c r="C265" s="77"/>
      <c r="D265" s="77"/>
      <c r="E265" s="77"/>
      <c r="F265" s="84"/>
      <c r="G265" s="92"/>
      <c r="H265" s="92"/>
      <c r="I265" s="92"/>
      <c r="J265" s="93"/>
      <c r="K265" s="93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</row>
    <row r="266" spans="1:27" ht="12.75" customHeight="1" x14ac:dyDescent="0.25">
      <c r="A266" s="78"/>
      <c r="B266" s="112"/>
      <c r="C266" s="77"/>
      <c r="D266" s="77"/>
      <c r="E266" s="77"/>
      <c r="F266" s="84"/>
      <c r="G266" s="92"/>
      <c r="H266" s="92"/>
      <c r="I266" s="92"/>
      <c r="J266" s="93"/>
      <c r="K266" s="93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</row>
    <row r="267" spans="1:27" ht="12.75" customHeight="1" x14ac:dyDescent="0.25">
      <c r="A267" s="78"/>
      <c r="B267" s="112"/>
      <c r="C267" s="77"/>
      <c r="D267" s="77"/>
      <c r="E267" s="77"/>
      <c r="F267" s="84"/>
      <c r="G267" s="92"/>
      <c r="H267" s="92"/>
      <c r="I267" s="92"/>
      <c r="J267" s="93"/>
      <c r="K267" s="93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</row>
    <row r="268" spans="1:27" ht="12.75" customHeight="1" x14ac:dyDescent="0.25">
      <c r="A268" s="78"/>
      <c r="B268" s="112"/>
      <c r="C268" s="77"/>
      <c r="D268" s="77"/>
      <c r="E268" s="77"/>
      <c r="F268" s="84"/>
      <c r="G268" s="92"/>
      <c r="H268" s="92"/>
      <c r="I268" s="92"/>
      <c r="J268" s="93"/>
      <c r="K268" s="93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</row>
    <row r="269" spans="1:27" ht="12.75" customHeight="1" x14ac:dyDescent="0.25">
      <c r="A269" s="78"/>
      <c r="B269" s="112"/>
      <c r="C269" s="77"/>
      <c r="D269" s="77"/>
      <c r="E269" s="77"/>
      <c r="F269" s="84"/>
      <c r="G269" s="92"/>
      <c r="H269" s="92"/>
      <c r="I269" s="92"/>
      <c r="J269" s="93"/>
      <c r="K269" s="93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</row>
    <row r="270" spans="1:27" ht="12.75" customHeight="1" x14ac:dyDescent="0.25">
      <c r="A270" s="78"/>
      <c r="B270" s="112"/>
      <c r="C270" s="77"/>
      <c r="D270" s="77"/>
      <c r="E270" s="77"/>
      <c r="F270" s="84"/>
      <c r="G270" s="92"/>
      <c r="H270" s="92"/>
      <c r="I270" s="92"/>
      <c r="J270" s="93"/>
      <c r="K270" s="93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</row>
    <row r="271" spans="1:27" ht="12.75" customHeight="1" x14ac:dyDescent="0.25">
      <c r="A271" s="78"/>
      <c r="B271" s="112"/>
      <c r="C271" s="77"/>
      <c r="D271" s="77"/>
      <c r="E271" s="77"/>
      <c r="F271" s="84"/>
      <c r="G271" s="92"/>
      <c r="H271" s="92"/>
      <c r="I271" s="92"/>
      <c r="J271" s="93"/>
      <c r="K271" s="93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</row>
    <row r="272" spans="1:27" ht="12.75" customHeight="1" x14ac:dyDescent="0.25">
      <c r="A272" s="78"/>
      <c r="B272" s="112"/>
      <c r="C272" s="77"/>
      <c r="D272" s="77"/>
      <c r="E272" s="77"/>
      <c r="F272" s="84"/>
      <c r="G272" s="92"/>
      <c r="H272" s="92"/>
      <c r="I272" s="92"/>
      <c r="J272" s="93"/>
      <c r="K272" s="93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</row>
    <row r="273" spans="1:27" ht="12.75" customHeight="1" x14ac:dyDescent="0.25">
      <c r="A273" s="78"/>
      <c r="B273" s="112"/>
      <c r="C273" s="77"/>
      <c r="D273" s="77"/>
      <c r="E273" s="77"/>
      <c r="F273" s="84"/>
      <c r="G273" s="92"/>
      <c r="H273" s="92"/>
      <c r="I273" s="92"/>
      <c r="J273" s="93"/>
      <c r="K273" s="93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</row>
    <row r="274" spans="1:27" ht="12.75" customHeight="1" x14ac:dyDescent="0.25">
      <c r="A274" s="78"/>
      <c r="B274" s="112"/>
      <c r="C274" s="77"/>
      <c r="D274" s="77"/>
      <c r="E274" s="77"/>
      <c r="F274" s="84"/>
      <c r="G274" s="92"/>
      <c r="H274" s="92"/>
      <c r="I274" s="92"/>
      <c r="J274" s="93"/>
      <c r="K274" s="93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</row>
    <row r="275" spans="1:27" ht="12.75" customHeight="1" x14ac:dyDescent="0.25">
      <c r="A275" s="78"/>
      <c r="B275" s="112"/>
      <c r="C275" s="77"/>
      <c r="D275" s="77"/>
      <c r="E275" s="77"/>
      <c r="F275" s="84"/>
      <c r="G275" s="92"/>
      <c r="H275" s="92"/>
      <c r="I275" s="92"/>
      <c r="J275" s="93"/>
      <c r="K275" s="93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</row>
    <row r="276" spans="1:27" ht="12.75" customHeight="1" x14ac:dyDescent="0.25">
      <c r="A276" s="78"/>
      <c r="B276" s="112"/>
      <c r="C276" s="77"/>
      <c r="D276" s="77"/>
      <c r="E276" s="77"/>
      <c r="F276" s="84"/>
      <c r="G276" s="92"/>
      <c r="H276" s="92"/>
      <c r="I276" s="92"/>
      <c r="J276" s="93"/>
      <c r="K276" s="93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</row>
    <row r="277" spans="1:27" ht="12.75" customHeight="1" x14ac:dyDescent="0.25">
      <c r="A277" s="78"/>
      <c r="B277" s="112"/>
      <c r="C277" s="77"/>
      <c r="D277" s="77"/>
      <c r="E277" s="77"/>
      <c r="F277" s="84"/>
      <c r="G277" s="92"/>
      <c r="H277" s="92"/>
      <c r="I277" s="92"/>
      <c r="J277" s="93"/>
      <c r="K277" s="93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</row>
    <row r="278" spans="1:27" ht="12.75" customHeight="1" x14ac:dyDescent="0.25">
      <c r="A278" s="78"/>
      <c r="B278" s="112"/>
      <c r="C278" s="77"/>
      <c r="D278" s="77"/>
      <c r="E278" s="77"/>
      <c r="F278" s="84"/>
      <c r="G278" s="92"/>
      <c r="H278" s="92"/>
      <c r="I278" s="92"/>
      <c r="J278" s="93"/>
      <c r="K278" s="93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</row>
    <row r="279" spans="1:27" ht="12.75" customHeight="1" x14ac:dyDescent="0.25">
      <c r="A279" s="78"/>
      <c r="B279" s="112"/>
      <c r="C279" s="77"/>
      <c r="D279" s="77"/>
      <c r="E279" s="77"/>
      <c r="F279" s="84"/>
      <c r="G279" s="92"/>
      <c r="H279" s="92"/>
      <c r="I279" s="92"/>
      <c r="J279" s="93"/>
      <c r="K279" s="93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</row>
    <row r="280" spans="1:27" ht="12.75" customHeight="1" x14ac:dyDescent="0.25">
      <c r="A280" s="78"/>
      <c r="B280" s="112"/>
      <c r="C280" s="77"/>
      <c r="D280" s="77"/>
      <c r="E280" s="77"/>
      <c r="F280" s="84"/>
      <c r="G280" s="92"/>
      <c r="H280" s="92"/>
      <c r="I280" s="92"/>
      <c r="J280" s="93"/>
      <c r="K280" s="93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</row>
    <row r="281" spans="1:27" ht="12.75" customHeight="1" x14ac:dyDescent="0.25">
      <c r="A281" s="78"/>
      <c r="B281" s="112"/>
      <c r="C281" s="77"/>
      <c r="D281" s="77"/>
      <c r="E281" s="77"/>
      <c r="F281" s="84"/>
      <c r="G281" s="92"/>
      <c r="H281" s="92"/>
      <c r="I281" s="92"/>
      <c r="J281" s="93"/>
      <c r="K281" s="93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</row>
    <row r="282" spans="1:27" ht="12.75" customHeight="1" x14ac:dyDescent="0.25">
      <c r="A282" s="78"/>
      <c r="B282" s="112"/>
      <c r="C282" s="77"/>
      <c r="D282" s="77"/>
      <c r="E282" s="77"/>
      <c r="F282" s="84"/>
      <c r="G282" s="92"/>
      <c r="H282" s="92"/>
      <c r="I282" s="92"/>
      <c r="J282" s="93"/>
      <c r="K282" s="93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</row>
    <row r="283" spans="1:27" ht="12.75" customHeight="1" x14ac:dyDescent="0.25">
      <c r="A283" s="78"/>
      <c r="B283" s="112"/>
      <c r="C283" s="77"/>
      <c r="D283" s="77"/>
      <c r="E283" s="77"/>
      <c r="F283" s="84"/>
      <c r="G283" s="92"/>
      <c r="H283" s="92"/>
      <c r="I283" s="92"/>
      <c r="J283" s="93"/>
      <c r="K283" s="93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</row>
    <row r="284" spans="1:27" ht="12.75" customHeight="1" x14ac:dyDescent="0.25">
      <c r="A284" s="78"/>
      <c r="B284" s="112"/>
      <c r="C284" s="77"/>
      <c r="D284" s="77"/>
      <c r="E284" s="77"/>
      <c r="F284" s="84"/>
      <c r="G284" s="92"/>
      <c r="H284" s="92"/>
      <c r="I284" s="92"/>
      <c r="J284" s="93"/>
      <c r="K284" s="93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</row>
    <row r="285" spans="1:27" ht="12.75" customHeight="1" x14ac:dyDescent="0.25">
      <c r="A285" s="78"/>
      <c r="B285" s="112"/>
      <c r="C285" s="77"/>
      <c r="D285" s="77"/>
      <c r="E285" s="77"/>
      <c r="F285" s="84"/>
      <c r="G285" s="92"/>
      <c r="H285" s="92"/>
      <c r="I285" s="92"/>
      <c r="J285" s="93"/>
      <c r="K285" s="93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</row>
    <row r="286" spans="1:27" ht="12.75" customHeight="1" x14ac:dyDescent="0.25">
      <c r="A286" s="78"/>
      <c r="B286" s="112"/>
      <c r="C286" s="77"/>
      <c r="D286" s="77"/>
      <c r="E286" s="77"/>
      <c r="F286" s="84"/>
      <c r="G286" s="92"/>
      <c r="H286" s="92"/>
      <c r="I286" s="92"/>
      <c r="J286" s="93"/>
      <c r="K286" s="93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</row>
    <row r="287" spans="1:27" ht="12.75" customHeight="1" x14ac:dyDescent="0.25">
      <c r="A287" s="78"/>
      <c r="B287" s="112"/>
      <c r="C287" s="77"/>
      <c r="D287" s="77"/>
      <c r="E287" s="77"/>
      <c r="F287" s="84"/>
      <c r="G287" s="92"/>
      <c r="H287" s="92"/>
      <c r="I287" s="92"/>
      <c r="J287" s="93"/>
      <c r="K287" s="93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</row>
    <row r="288" spans="1:27" ht="12.75" customHeight="1" x14ac:dyDescent="0.25">
      <c r="A288" s="78"/>
      <c r="B288" s="112"/>
      <c r="C288" s="77"/>
      <c r="D288" s="77"/>
      <c r="E288" s="77"/>
      <c r="F288" s="84"/>
      <c r="G288" s="92"/>
      <c r="H288" s="92"/>
      <c r="I288" s="92"/>
      <c r="J288" s="93"/>
      <c r="K288" s="93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</row>
    <row r="289" spans="1:27" ht="12.75" customHeight="1" x14ac:dyDescent="0.25">
      <c r="A289" s="78"/>
      <c r="B289" s="112"/>
      <c r="C289" s="77"/>
      <c r="D289" s="77"/>
      <c r="E289" s="77"/>
      <c r="F289" s="84"/>
      <c r="G289" s="92"/>
      <c r="H289" s="92"/>
      <c r="I289" s="92"/>
      <c r="J289" s="93"/>
      <c r="K289" s="93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</row>
    <row r="290" spans="1:27" ht="12.75" customHeight="1" x14ac:dyDescent="0.25">
      <c r="A290" s="78"/>
      <c r="B290" s="112"/>
      <c r="C290" s="77"/>
      <c r="D290" s="77"/>
      <c r="E290" s="77"/>
      <c r="F290" s="84"/>
      <c r="G290" s="92"/>
      <c r="H290" s="92"/>
      <c r="I290" s="92"/>
      <c r="J290" s="93"/>
      <c r="K290" s="93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</row>
    <row r="291" spans="1:27" ht="12.75" customHeight="1" x14ac:dyDescent="0.25">
      <c r="A291" s="78"/>
      <c r="B291" s="112"/>
      <c r="C291" s="77"/>
      <c r="D291" s="77"/>
      <c r="E291" s="77"/>
      <c r="F291" s="84"/>
      <c r="G291" s="92"/>
      <c r="H291" s="92"/>
      <c r="I291" s="92"/>
      <c r="J291" s="93"/>
      <c r="K291" s="93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</row>
    <row r="292" spans="1:27" ht="12.75" customHeight="1" x14ac:dyDescent="0.25">
      <c r="A292" s="78"/>
      <c r="B292" s="112"/>
      <c r="C292" s="77"/>
      <c r="D292" s="77"/>
      <c r="E292" s="77"/>
      <c r="F292" s="84"/>
      <c r="G292" s="92"/>
      <c r="H292" s="92"/>
      <c r="I292" s="92"/>
      <c r="J292" s="93"/>
      <c r="K292" s="93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</row>
    <row r="293" spans="1:27" ht="12.75" customHeight="1" x14ac:dyDescent="0.25">
      <c r="A293" s="78"/>
      <c r="B293" s="112"/>
      <c r="C293" s="77"/>
      <c r="D293" s="77"/>
      <c r="E293" s="77"/>
      <c r="F293" s="84"/>
      <c r="G293" s="92"/>
      <c r="H293" s="92"/>
      <c r="I293" s="92"/>
      <c r="J293" s="93"/>
      <c r="K293" s="93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</row>
    <row r="294" spans="1:27" ht="12.75" customHeight="1" x14ac:dyDescent="0.25">
      <c r="A294" s="78"/>
      <c r="B294" s="112"/>
      <c r="C294" s="77"/>
      <c r="D294" s="77"/>
      <c r="E294" s="77"/>
      <c r="F294" s="84"/>
      <c r="G294" s="92"/>
      <c r="H294" s="92"/>
      <c r="I294" s="92"/>
      <c r="J294" s="93"/>
      <c r="K294" s="93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</row>
    <row r="295" spans="1:27" ht="12.75" customHeight="1" x14ac:dyDescent="0.25">
      <c r="A295" s="78"/>
      <c r="B295" s="112"/>
      <c r="C295" s="77"/>
      <c r="D295" s="77"/>
      <c r="E295" s="77"/>
      <c r="F295" s="84"/>
      <c r="G295" s="92"/>
      <c r="H295" s="92"/>
      <c r="I295" s="92"/>
      <c r="J295" s="93"/>
      <c r="K295" s="93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</row>
    <row r="296" spans="1:27" ht="12.75" customHeight="1" x14ac:dyDescent="0.25">
      <c r="A296" s="78"/>
      <c r="B296" s="112"/>
      <c r="C296" s="77"/>
      <c r="D296" s="77"/>
      <c r="E296" s="77"/>
      <c r="F296" s="84"/>
      <c r="G296" s="92"/>
      <c r="H296" s="92"/>
      <c r="I296" s="92"/>
      <c r="J296" s="93"/>
      <c r="K296" s="93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</row>
    <row r="297" spans="1:27" ht="12.75" customHeight="1" x14ac:dyDescent="0.25">
      <c r="A297" s="78"/>
      <c r="B297" s="112"/>
      <c r="C297" s="77"/>
      <c r="D297" s="77"/>
      <c r="E297" s="77"/>
      <c r="F297" s="84"/>
      <c r="G297" s="92"/>
      <c r="H297" s="92"/>
      <c r="I297" s="92"/>
      <c r="J297" s="93"/>
      <c r="K297" s="93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</row>
    <row r="298" spans="1:27" ht="12.75" customHeight="1" x14ac:dyDescent="0.25">
      <c r="A298" s="78"/>
      <c r="B298" s="112"/>
      <c r="C298" s="77"/>
      <c r="D298" s="77"/>
      <c r="E298" s="77"/>
      <c r="F298" s="84"/>
      <c r="G298" s="92"/>
      <c r="H298" s="92"/>
      <c r="I298" s="92"/>
      <c r="J298" s="93"/>
      <c r="K298" s="93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</row>
    <row r="299" spans="1:27" ht="12.75" customHeight="1" x14ac:dyDescent="0.25">
      <c r="A299" s="78"/>
      <c r="B299" s="112"/>
      <c r="C299" s="77"/>
      <c r="D299" s="77"/>
      <c r="E299" s="77"/>
      <c r="F299" s="84"/>
      <c r="G299" s="92"/>
      <c r="H299" s="92"/>
      <c r="I299" s="92"/>
      <c r="J299" s="93"/>
      <c r="K299" s="93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</row>
    <row r="300" spans="1:27" ht="12.75" customHeight="1" x14ac:dyDescent="0.25">
      <c r="A300" s="78"/>
      <c r="B300" s="112"/>
      <c r="C300" s="77"/>
      <c r="D300" s="77"/>
      <c r="E300" s="77"/>
      <c r="F300" s="84"/>
      <c r="G300" s="92"/>
      <c r="H300" s="92"/>
      <c r="I300" s="92"/>
      <c r="J300" s="93"/>
      <c r="K300" s="93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</row>
    <row r="301" spans="1:27" ht="12.75" customHeight="1" x14ac:dyDescent="0.25">
      <c r="A301" s="78"/>
      <c r="B301" s="112"/>
      <c r="C301" s="77"/>
      <c r="D301" s="77"/>
      <c r="E301" s="77"/>
      <c r="F301" s="84"/>
      <c r="G301" s="92"/>
      <c r="H301" s="92"/>
      <c r="I301" s="92"/>
      <c r="J301" s="93"/>
      <c r="K301" s="93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</row>
    <row r="302" spans="1:27" ht="12.75" customHeight="1" x14ac:dyDescent="0.25">
      <c r="A302" s="78"/>
      <c r="B302" s="112"/>
      <c r="C302" s="77"/>
      <c r="D302" s="77"/>
      <c r="E302" s="77"/>
      <c r="F302" s="84"/>
      <c r="G302" s="92"/>
      <c r="H302" s="92"/>
      <c r="I302" s="92"/>
      <c r="J302" s="93"/>
      <c r="K302" s="93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</row>
    <row r="303" spans="1:27" ht="12.75" customHeight="1" x14ac:dyDescent="0.25">
      <c r="A303" s="78"/>
      <c r="B303" s="112"/>
      <c r="C303" s="77"/>
      <c r="D303" s="77"/>
      <c r="E303" s="77"/>
      <c r="F303" s="84"/>
      <c r="G303" s="92"/>
      <c r="H303" s="92"/>
      <c r="I303" s="92"/>
      <c r="J303" s="93"/>
      <c r="K303" s="93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</row>
    <row r="304" spans="1:27" ht="12.75" customHeight="1" x14ac:dyDescent="0.25">
      <c r="A304" s="78"/>
      <c r="B304" s="112"/>
      <c r="C304" s="77"/>
      <c r="D304" s="77"/>
      <c r="E304" s="77"/>
      <c r="F304" s="84"/>
      <c r="G304" s="92"/>
      <c r="H304" s="92"/>
      <c r="I304" s="92"/>
      <c r="J304" s="93"/>
      <c r="K304" s="93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</row>
    <row r="305" spans="1:27" ht="12.75" customHeight="1" x14ac:dyDescent="0.25">
      <c r="A305" s="78"/>
      <c r="B305" s="112"/>
      <c r="C305" s="77"/>
      <c r="D305" s="77"/>
      <c r="E305" s="77"/>
      <c r="F305" s="84"/>
      <c r="G305" s="92"/>
      <c r="H305" s="92"/>
      <c r="I305" s="92"/>
      <c r="J305" s="93"/>
      <c r="K305" s="93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</row>
    <row r="306" spans="1:27" ht="12.75" customHeight="1" x14ac:dyDescent="0.25">
      <c r="A306" s="78"/>
      <c r="B306" s="112"/>
      <c r="C306" s="77"/>
      <c r="D306" s="77"/>
      <c r="E306" s="77"/>
      <c r="F306" s="84"/>
      <c r="G306" s="92"/>
      <c r="H306" s="92"/>
      <c r="I306" s="92"/>
      <c r="J306" s="93"/>
      <c r="K306" s="93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</row>
    <row r="307" spans="1:27" ht="12.75" customHeight="1" x14ac:dyDescent="0.25">
      <c r="A307" s="78"/>
      <c r="B307" s="112"/>
      <c r="C307" s="77"/>
      <c r="D307" s="77"/>
      <c r="E307" s="77"/>
      <c r="F307" s="84"/>
      <c r="G307" s="92"/>
      <c r="H307" s="92"/>
      <c r="I307" s="92"/>
      <c r="J307" s="93"/>
      <c r="K307" s="93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</row>
    <row r="308" spans="1:27" ht="12.75" customHeight="1" x14ac:dyDescent="0.25">
      <c r="A308" s="78"/>
      <c r="B308" s="112"/>
      <c r="C308" s="77"/>
      <c r="D308" s="77"/>
      <c r="E308" s="77"/>
      <c r="F308" s="84"/>
      <c r="G308" s="92"/>
      <c r="H308" s="92"/>
      <c r="I308" s="92"/>
      <c r="J308" s="93"/>
      <c r="K308" s="93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</row>
    <row r="309" spans="1:27" ht="12.75" customHeight="1" x14ac:dyDescent="0.25">
      <c r="A309" s="78"/>
      <c r="B309" s="112"/>
      <c r="C309" s="77"/>
      <c r="D309" s="77"/>
      <c r="E309" s="77"/>
      <c r="F309" s="84"/>
      <c r="G309" s="92"/>
      <c r="H309" s="92"/>
      <c r="I309" s="92"/>
      <c r="J309" s="93"/>
      <c r="K309" s="93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</row>
    <row r="310" spans="1:27" ht="12.75" customHeight="1" x14ac:dyDescent="0.25">
      <c r="A310" s="78"/>
      <c r="B310" s="112"/>
      <c r="C310" s="77"/>
      <c r="D310" s="77"/>
      <c r="E310" s="77"/>
      <c r="F310" s="84"/>
      <c r="G310" s="92"/>
      <c r="H310" s="92"/>
      <c r="I310" s="92"/>
      <c r="J310" s="93"/>
      <c r="K310" s="93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</row>
    <row r="311" spans="1:27" ht="12.75" customHeight="1" x14ac:dyDescent="0.25">
      <c r="A311" s="78"/>
      <c r="B311" s="112"/>
      <c r="C311" s="77"/>
      <c r="D311" s="77"/>
      <c r="E311" s="77"/>
      <c r="F311" s="84"/>
      <c r="G311" s="92"/>
      <c r="H311" s="92"/>
      <c r="I311" s="92"/>
      <c r="J311" s="93"/>
      <c r="K311" s="93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</row>
    <row r="312" spans="1:27" ht="12.75" customHeight="1" x14ac:dyDescent="0.25">
      <c r="A312" s="78"/>
      <c r="B312" s="112"/>
      <c r="C312" s="77"/>
      <c r="D312" s="77"/>
      <c r="E312" s="77"/>
      <c r="F312" s="84"/>
      <c r="G312" s="92"/>
      <c r="H312" s="92"/>
      <c r="I312" s="92"/>
      <c r="J312" s="93"/>
      <c r="K312" s="93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</row>
    <row r="313" spans="1:27" ht="12.75" customHeight="1" x14ac:dyDescent="0.25">
      <c r="A313" s="78"/>
      <c r="B313" s="112"/>
      <c r="C313" s="77"/>
      <c r="D313" s="77"/>
      <c r="E313" s="77"/>
      <c r="F313" s="84"/>
      <c r="G313" s="92"/>
      <c r="H313" s="92"/>
      <c r="I313" s="92"/>
      <c r="J313" s="93"/>
      <c r="K313" s="93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</row>
    <row r="314" spans="1:27" ht="12.75" customHeight="1" x14ac:dyDescent="0.25">
      <c r="A314" s="78"/>
      <c r="B314" s="112"/>
      <c r="C314" s="77"/>
      <c r="D314" s="77"/>
      <c r="E314" s="77"/>
      <c r="F314" s="84"/>
      <c r="G314" s="92"/>
      <c r="H314" s="92"/>
      <c r="I314" s="92"/>
      <c r="J314" s="93"/>
      <c r="K314" s="93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</row>
    <row r="315" spans="1:27" ht="12.75" customHeight="1" x14ac:dyDescent="0.25">
      <c r="A315" s="78"/>
      <c r="B315" s="112"/>
      <c r="C315" s="77"/>
      <c r="D315" s="77"/>
      <c r="E315" s="77"/>
      <c r="F315" s="84"/>
      <c r="G315" s="92"/>
      <c r="H315" s="92"/>
      <c r="I315" s="92"/>
      <c r="J315" s="93"/>
      <c r="K315" s="93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</row>
    <row r="316" spans="1:27" ht="12.75" customHeight="1" x14ac:dyDescent="0.25">
      <c r="A316" s="78"/>
      <c r="B316" s="112"/>
      <c r="C316" s="77"/>
      <c r="D316" s="77"/>
      <c r="E316" s="77"/>
      <c r="F316" s="84"/>
      <c r="G316" s="92"/>
      <c r="H316" s="92"/>
      <c r="I316" s="92"/>
      <c r="J316" s="93"/>
      <c r="K316" s="93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</row>
    <row r="317" spans="1:27" ht="12.75" customHeight="1" x14ac:dyDescent="0.25">
      <c r="A317" s="78"/>
      <c r="B317" s="112"/>
      <c r="C317" s="77"/>
      <c r="D317" s="77"/>
      <c r="E317" s="77"/>
      <c r="F317" s="84"/>
      <c r="G317" s="92"/>
      <c r="H317" s="92"/>
      <c r="I317" s="92"/>
      <c r="J317" s="93"/>
      <c r="K317" s="93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</row>
    <row r="318" spans="1:27" ht="12.75" customHeight="1" x14ac:dyDescent="0.25">
      <c r="A318" s="78"/>
      <c r="B318" s="112"/>
      <c r="C318" s="77"/>
      <c r="D318" s="77"/>
      <c r="E318" s="77"/>
      <c r="F318" s="84"/>
      <c r="G318" s="92"/>
      <c r="H318" s="92"/>
      <c r="I318" s="92"/>
      <c r="J318" s="93"/>
      <c r="K318" s="93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</row>
    <row r="319" spans="1:27" ht="12.75" customHeight="1" x14ac:dyDescent="0.25">
      <c r="A319" s="78"/>
      <c r="B319" s="112"/>
      <c r="C319" s="77"/>
      <c r="D319" s="77"/>
      <c r="E319" s="77"/>
      <c r="F319" s="84"/>
      <c r="G319" s="92"/>
      <c r="H319" s="92"/>
      <c r="I319" s="92"/>
      <c r="J319" s="93"/>
      <c r="K319" s="93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</row>
    <row r="320" spans="1:27" ht="12.75" customHeight="1" x14ac:dyDescent="0.25">
      <c r="A320" s="78"/>
      <c r="B320" s="112"/>
      <c r="C320" s="77"/>
      <c r="D320" s="77"/>
      <c r="E320" s="77"/>
      <c r="F320" s="84"/>
      <c r="G320" s="92"/>
      <c r="H320" s="92"/>
      <c r="I320" s="92"/>
      <c r="J320" s="93"/>
      <c r="K320" s="93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</row>
    <row r="321" spans="1:27" ht="12.75" customHeight="1" x14ac:dyDescent="0.25">
      <c r="A321" s="78"/>
      <c r="B321" s="112"/>
      <c r="C321" s="77"/>
      <c r="D321" s="77"/>
      <c r="E321" s="77"/>
      <c r="F321" s="84"/>
      <c r="G321" s="92"/>
      <c r="H321" s="92"/>
      <c r="I321" s="92"/>
      <c r="J321" s="93"/>
      <c r="K321" s="93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</row>
    <row r="322" spans="1:27" ht="12.75" customHeight="1" x14ac:dyDescent="0.25">
      <c r="A322" s="78"/>
      <c r="B322" s="112"/>
      <c r="C322" s="77"/>
      <c r="D322" s="77"/>
      <c r="E322" s="77"/>
      <c r="F322" s="84"/>
      <c r="G322" s="92"/>
      <c r="H322" s="92"/>
      <c r="I322" s="92"/>
      <c r="J322" s="93"/>
      <c r="K322" s="93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</row>
    <row r="323" spans="1:27" ht="12.75" customHeight="1" x14ac:dyDescent="0.25">
      <c r="A323" s="78"/>
      <c r="B323" s="112"/>
      <c r="C323" s="77"/>
      <c r="D323" s="77"/>
      <c r="E323" s="77"/>
      <c r="F323" s="84"/>
      <c r="G323" s="92"/>
      <c r="H323" s="92"/>
      <c r="I323" s="92"/>
      <c r="J323" s="93"/>
      <c r="K323" s="93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</row>
    <row r="324" spans="1:27" ht="12.75" customHeight="1" x14ac:dyDescent="0.25">
      <c r="A324" s="78"/>
      <c r="B324" s="112"/>
      <c r="C324" s="77"/>
      <c r="D324" s="77"/>
      <c r="E324" s="77"/>
      <c r="F324" s="84"/>
      <c r="G324" s="92"/>
      <c r="H324" s="92"/>
      <c r="I324" s="92"/>
      <c r="J324" s="93"/>
      <c r="K324" s="93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</row>
    <row r="325" spans="1:27" ht="12.75" customHeight="1" x14ac:dyDescent="0.25">
      <c r="A325" s="78"/>
      <c r="B325" s="112"/>
      <c r="C325" s="77"/>
      <c r="D325" s="77"/>
      <c r="E325" s="77"/>
      <c r="F325" s="84"/>
      <c r="G325" s="92"/>
      <c r="H325" s="92"/>
      <c r="I325" s="92"/>
      <c r="J325" s="93"/>
      <c r="K325" s="93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</row>
    <row r="326" spans="1:27" ht="12.75" customHeight="1" x14ac:dyDescent="0.25">
      <c r="A326" s="78"/>
      <c r="B326" s="112"/>
      <c r="C326" s="77"/>
      <c r="D326" s="77"/>
      <c r="E326" s="77"/>
      <c r="F326" s="84"/>
      <c r="G326" s="92"/>
      <c r="H326" s="92"/>
      <c r="I326" s="92"/>
      <c r="J326" s="93"/>
      <c r="K326" s="93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</row>
    <row r="327" spans="1:27" ht="12.75" customHeight="1" x14ac:dyDescent="0.25">
      <c r="A327" s="78"/>
      <c r="B327" s="112"/>
      <c r="C327" s="77"/>
      <c r="D327" s="77"/>
      <c r="E327" s="77"/>
      <c r="F327" s="84"/>
      <c r="G327" s="92"/>
      <c r="H327" s="92"/>
      <c r="I327" s="92"/>
      <c r="J327" s="93"/>
      <c r="K327" s="93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</row>
    <row r="328" spans="1:27" ht="12.75" customHeight="1" x14ac:dyDescent="0.25">
      <c r="A328" s="78"/>
      <c r="B328" s="112"/>
      <c r="C328" s="77"/>
      <c r="D328" s="77"/>
      <c r="E328" s="77"/>
      <c r="F328" s="84"/>
      <c r="G328" s="92"/>
      <c r="H328" s="92"/>
      <c r="I328" s="92"/>
      <c r="J328" s="93"/>
      <c r="K328" s="93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</row>
    <row r="329" spans="1:27" ht="12.75" customHeight="1" x14ac:dyDescent="0.25">
      <c r="A329" s="78"/>
      <c r="B329" s="112"/>
      <c r="C329" s="77"/>
      <c r="D329" s="77"/>
      <c r="E329" s="77"/>
      <c r="F329" s="84"/>
      <c r="G329" s="92"/>
      <c r="H329" s="92"/>
      <c r="I329" s="92"/>
      <c r="J329" s="93"/>
      <c r="K329" s="93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</row>
    <row r="330" spans="1:27" ht="12.75" customHeight="1" x14ac:dyDescent="0.25">
      <c r="A330" s="78"/>
      <c r="B330" s="112"/>
      <c r="C330" s="77"/>
      <c r="D330" s="77"/>
      <c r="E330" s="77"/>
      <c r="F330" s="84"/>
      <c r="G330" s="92"/>
      <c r="H330" s="92"/>
      <c r="I330" s="92"/>
      <c r="J330" s="93"/>
      <c r="K330" s="93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</row>
    <row r="331" spans="1:27" ht="12.75" customHeight="1" x14ac:dyDescent="0.25">
      <c r="A331" s="78"/>
      <c r="B331" s="112"/>
      <c r="C331" s="77"/>
      <c r="D331" s="77"/>
      <c r="E331" s="77"/>
      <c r="F331" s="84"/>
      <c r="G331" s="92"/>
      <c r="H331" s="92"/>
      <c r="I331" s="92"/>
      <c r="J331" s="93"/>
      <c r="K331" s="93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</row>
    <row r="332" spans="1:27" ht="12.75" customHeight="1" x14ac:dyDescent="0.25">
      <c r="A332" s="78"/>
      <c r="B332" s="112"/>
      <c r="C332" s="77"/>
      <c r="D332" s="77"/>
      <c r="E332" s="77"/>
      <c r="F332" s="84"/>
      <c r="G332" s="92"/>
      <c r="H332" s="92"/>
      <c r="I332" s="92"/>
      <c r="J332" s="93"/>
      <c r="K332" s="93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</row>
    <row r="333" spans="1:27" ht="12.75" customHeight="1" x14ac:dyDescent="0.25">
      <c r="A333" s="78"/>
      <c r="B333" s="112"/>
      <c r="C333" s="77"/>
      <c r="D333" s="77"/>
      <c r="E333" s="77"/>
      <c r="F333" s="84"/>
      <c r="G333" s="92"/>
      <c r="H333" s="92"/>
      <c r="I333" s="92"/>
      <c r="J333" s="93"/>
      <c r="K333" s="93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</row>
    <row r="334" spans="1:27" ht="12.75" customHeight="1" x14ac:dyDescent="0.25">
      <c r="A334" s="78"/>
      <c r="B334" s="112"/>
      <c r="C334" s="77"/>
      <c r="D334" s="77"/>
      <c r="E334" s="77"/>
      <c r="F334" s="84"/>
      <c r="G334" s="92"/>
      <c r="H334" s="92"/>
      <c r="I334" s="92"/>
      <c r="J334" s="93"/>
      <c r="K334" s="93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</row>
    <row r="335" spans="1:27" ht="12.75" customHeight="1" x14ac:dyDescent="0.25">
      <c r="A335" s="78"/>
      <c r="B335" s="112"/>
      <c r="C335" s="77"/>
      <c r="D335" s="77"/>
      <c r="E335" s="77"/>
      <c r="F335" s="84"/>
      <c r="G335" s="92"/>
      <c r="H335" s="92"/>
      <c r="I335" s="92"/>
      <c r="J335" s="93"/>
      <c r="K335" s="93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</row>
    <row r="336" spans="1:27" ht="12.75" customHeight="1" x14ac:dyDescent="0.25">
      <c r="A336" s="78"/>
      <c r="B336" s="112"/>
      <c r="C336" s="77"/>
      <c r="D336" s="77"/>
      <c r="E336" s="77"/>
      <c r="F336" s="84"/>
      <c r="G336" s="92"/>
      <c r="H336" s="92"/>
      <c r="I336" s="92"/>
      <c r="J336" s="93"/>
      <c r="K336" s="93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</row>
    <row r="337" spans="1:27" ht="12.75" customHeight="1" x14ac:dyDescent="0.25">
      <c r="A337" s="78"/>
      <c r="B337" s="112"/>
      <c r="C337" s="77"/>
      <c r="D337" s="77"/>
      <c r="E337" s="77"/>
      <c r="F337" s="84"/>
      <c r="G337" s="92"/>
      <c r="H337" s="92"/>
      <c r="I337" s="92"/>
      <c r="J337" s="93"/>
      <c r="K337" s="93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</row>
    <row r="338" spans="1:27" ht="12.75" customHeight="1" x14ac:dyDescent="0.25">
      <c r="A338" s="78"/>
      <c r="B338" s="112"/>
      <c r="C338" s="77"/>
      <c r="D338" s="77"/>
      <c r="E338" s="77"/>
      <c r="F338" s="84"/>
      <c r="G338" s="92"/>
      <c r="H338" s="92"/>
      <c r="I338" s="92"/>
      <c r="J338" s="93"/>
      <c r="K338" s="93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</row>
    <row r="339" spans="1:27" ht="12.75" customHeight="1" x14ac:dyDescent="0.25">
      <c r="A339" s="78"/>
      <c r="B339" s="112"/>
      <c r="C339" s="77"/>
      <c r="D339" s="77"/>
      <c r="E339" s="77"/>
      <c r="F339" s="84"/>
      <c r="G339" s="92"/>
      <c r="H339" s="92"/>
      <c r="I339" s="92"/>
      <c r="J339" s="93"/>
      <c r="K339" s="93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</row>
    <row r="340" spans="1:27" ht="12.75" customHeight="1" x14ac:dyDescent="0.25">
      <c r="A340" s="78"/>
      <c r="B340" s="112"/>
      <c r="C340" s="77"/>
      <c r="D340" s="77"/>
      <c r="E340" s="77"/>
      <c r="F340" s="84"/>
      <c r="G340" s="92"/>
      <c r="H340" s="92"/>
      <c r="I340" s="92"/>
      <c r="J340" s="93"/>
      <c r="K340" s="93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</row>
    <row r="341" spans="1:27" ht="12.75" customHeight="1" x14ac:dyDescent="0.25">
      <c r="A341" s="78"/>
      <c r="B341" s="112"/>
      <c r="C341" s="77"/>
      <c r="D341" s="77"/>
      <c r="E341" s="77"/>
      <c r="F341" s="84"/>
      <c r="G341" s="92"/>
      <c r="H341" s="92"/>
      <c r="I341" s="92"/>
      <c r="J341" s="93"/>
      <c r="K341" s="93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</row>
    <row r="342" spans="1:27" ht="12.75" customHeight="1" x14ac:dyDescent="0.25">
      <c r="A342" s="78"/>
      <c r="B342" s="112"/>
      <c r="C342" s="77"/>
      <c r="D342" s="77"/>
      <c r="E342" s="77"/>
      <c r="F342" s="84"/>
      <c r="G342" s="92"/>
      <c r="H342" s="92"/>
      <c r="I342" s="92"/>
      <c r="J342" s="93"/>
      <c r="K342" s="93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</row>
    <row r="343" spans="1:27" ht="12.75" customHeight="1" x14ac:dyDescent="0.25">
      <c r="A343" s="78"/>
      <c r="B343" s="112"/>
      <c r="C343" s="77"/>
      <c r="D343" s="77"/>
      <c r="E343" s="77"/>
      <c r="F343" s="84"/>
      <c r="G343" s="92"/>
      <c r="H343" s="92"/>
      <c r="I343" s="92"/>
      <c r="J343" s="93"/>
      <c r="K343" s="93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</row>
    <row r="344" spans="1:27" ht="12.75" customHeight="1" x14ac:dyDescent="0.25">
      <c r="A344" s="78"/>
      <c r="B344" s="112"/>
      <c r="C344" s="77"/>
      <c r="D344" s="77"/>
      <c r="E344" s="77"/>
      <c r="F344" s="84"/>
      <c r="G344" s="92"/>
      <c r="H344" s="92"/>
      <c r="I344" s="92"/>
      <c r="J344" s="93"/>
      <c r="K344" s="93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</row>
    <row r="345" spans="1:27" ht="12.75" customHeight="1" x14ac:dyDescent="0.25">
      <c r="A345" s="78"/>
      <c r="B345" s="112"/>
      <c r="C345" s="77"/>
      <c r="D345" s="77"/>
      <c r="E345" s="77"/>
      <c r="F345" s="84"/>
      <c r="G345" s="92"/>
      <c r="H345" s="92"/>
      <c r="I345" s="92"/>
      <c r="J345" s="93"/>
      <c r="K345" s="93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</row>
    <row r="346" spans="1:27" ht="12.75" customHeight="1" x14ac:dyDescent="0.25">
      <c r="A346" s="78"/>
      <c r="B346" s="112"/>
      <c r="C346" s="77"/>
      <c r="D346" s="77"/>
      <c r="E346" s="77"/>
      <c r="F346" s="84"/>
      <c r="G346" s="92"/>
      <c r="H346" s="92"/>
      <c r="I346" s="92"/>
      <c r="J346" s="93"/>
      <c r="K346" s="93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</row>
    <row r="347" spans="1:27" ht="12.75" customHeight="1" x14ac:dyDescent="0.25">
      <c r="A347" s="78"/>
      <c r="B347" s="112"/>
      <c r="C347" s="77"/>
      <c r="D347" s="77"/>
      <c r="E347" s="77"/>
      <c r="F347" s="84"/>
      <c r="G347" s="92"/>
      <c r="H347" s="92"/>
      <c r="I347" s="92"/>
      <c r="J347" s="93"/>
      <c r="K347" s="93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</row>
    <row r="348" spans="1:27" ht="12.75" customHeight="1" x14ac:dyDescent="0.25">
      <c r="A348" s="78"/>
      <c r="B348" s="112"/>
      <c r="C348" s="77"/>
      <c r="D348" s="77"/>
      <c r="E348" s="77"/>
      <c r="F348" s="84"/>
      <c r="G348" s="92"/>
      <c r="H348" s="92"/>
      <c r="I348" s="92"/>
      <c r="J348" s="93"/>
      <c r="K348" s="93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</row>
    <row r="349" spans="1:27" ht="12.75" customHeight="1" x14ac:dyDescent="0.25">
      <c r="A349" s="78"/>
      <c r="B349" s="112"/>
      <c r="C349" s="77"/>
      <c r="D349" s="77"/>
      <c r="E349" s="77"/>
      <c r="F349" s="84"/>
      <c r="G349" s="92"/>
      <c r="H349" s="92"/>
      <c r="I349" s="92"/>
      <c r="J349" s="93"/>
      <c r="K349" s="93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</row>
    <row r="350" spans="1:27" ht="12.75" customHeight="1" x14ac:dyDescent="0.25">
      <c r="A350" s="78"/>
      <c r="B350" s="112"/>
      <c r="C350" s="77"/>
      <c r="D350" s="77"/>
      <c r="E350" s="77"/>
      <c r="F350" s="84"/>
      <c r="G350" s="92"/>
      <c r="H350" s="92"/>
      <c r="I350" s="92"/>
      <c r="J350" s="93"/>
      <c r="K350" s="93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</row>
    <row r="351" spans="1:27" ht="12.75" customHeight="1" x14ac:dyDescent="0.25">
      <c r="A351" s="78"/>
      <c r="B351" s="112"/>
      <c r="C351" s="77"/>
      <c r="D351" s="77"/>
      <c r="E351" s="77"/>
      <c r="F351" s="84"/>
      <c r="G351" s="92"/>
      <c r="H351" s="92"/>
      <c r="I351" s="92"/>
      <c r="J351" s="93"/>
      <c r="K351" s="93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</row>
    <row r="352" spans="1:27" ht="12.75" customHeight="1" x14ac:dyDescent="0.25">
      <c r="A352" s="78"/>
      <c r="B352" s="112"/>
      <c r="C352" s="77"/>
      <c r="D352" s="77"/>
      <c r="E352" s="77"/>
      <c r="F352" s="84"/>
      <c r="G352" s="92"/>
      <c r="H352" s="92"/>
      <c r="I352" s="92"/>
      <c r="J352" s="93"/>
      <c r="K352" s="93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</row>
    <row r="353" spans="1:27" ht="12.75" customHeight="1" x14ac:dyDescent="0.25">
      <c r="A353" s="78"/>
      <c r="B353" s="112"/>
      <c r="C353" s="77"/>
      <c r="D353" s="77"/>
      <c r="E353" s="77"/>
      <c r="F353" s="84"/>
      <c r="G353" s="92"/>
      <c r="H353" s="92"/>
      <c r="I353" s="92"/>
      <c r="J353" s="93"/>
      <c r="K353" s="93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</row>
    <row r="354" spans="1:27" ht="12.75" customHeight="1" x14ac:dyDescent="0.25">
      <c r="A354" s="78"/>
      <c r="B354" s="112"/>
      <c r="C354" s="77"/>
      <c r="D354" s="77"/>
      <c r="E354" s="77"/>
      <c r="F354" s="84"/>
      <c r="G354" s="92"/>
      <c r="H354" s="92"/>
      <c r="I354" s="92"/>
      <c r="J354" s="93"/>
      <c r="K354" s="93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</row>
    <row r="355" spans="1:27" ht="12.75" customHeight="1" x14ac:dyDescent="0.25">
      <c r="A355" s="78"/>
      <c r="B355" s="112"/>
      <c r="C355" s="77"/>
      <c r="D355" s="77"/>
      <c r="E355" s="77"/>
      <c r="F355" s="84"/>
      <c r="G355" s="92"/>
      <c r="H355" s="92"/>
      <c r="I355" s="92"/>
      <c r="J355" s="93"/>
      <c r="K355" s="93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</row>
    <row r="356" spans="1:27" ht="12.75" customHeight="1" x14ac:dyDescent="0.25">
      <c r="A356" s="78"/>
      <c r="B356" s="112"/>
      <c r="C356" s="77"/>
      <c r="D356" s="77"/>
      <c r="E356" s="77"/>
      <c r="F356" s="84"/>
      <c r="G356" s="92"/>
      <c r="H356" s="92"/>
      <c r="I356" s="92"/>
      <c r="J356" s="93"/>
      <c r="K356" s="93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</row>
    <row r="357" spans="1:27" ht="12.75" customHeight="1" x14ac:dyDescent="0.25">
      <c r="A357" s="78"/>
      <c r="B357" s="112"/>
      <c r="C357" s="77"/>
      <c r="D357" s="77"/>
      <c r="E357" s="77"/>
      <c r="F357" s="84"/>
      <c r="G357" s="92"/>
      <c r="H357" s="92"/>
      <c r="I357" s="92"/>
      <c r="J357" s="93"/>
      <c r="K357" s="93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</row>
    <row r="358" spans="1:27" ht="12.75" customHeight="1" x14ac:dyDescent="0.25">
      <c r="A358" s="78"/>
      <c r="B358" s="112"/>
      <c r="C358" s="77"/>
      <c r="D358" s="77"/>
      <c r="E358" s="77"/>
      <c r="F358" s="84"/>
      <c r="G358" s="92"/>
      <c r="H358" s="92"/>
      <c r="I358" s="92"/>
      <c r="J358" s="93"/>
      <c r="K358" s="93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</row>
    <row r="359" spans="1:27" ht="12.75" customHeight="1" x14ac:dyDescent="0.25">
      <c r="A359" s="78"/>
      <c r="B359" s="112"/>
      <c r="C359" s="77"/>
      <c r="D359" s="77"/>
      <c r="E359" s="77"/>
      <c r="F359" s="84"/>
      <c r="G359" s="92"/>
      <c r="H359" s="92"/>
      <c r="I359" s="92"/>
      <c r="J359" s="93"/>
      <c r="K359" s="93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</row>
    <row r="360" spans="1:27" ht="12.75" customHeight="1" x14ac:dyDescent="0.25">
      <c r="A360" s="78"/>
      <c r="B360" s="112"/>
      <c r="C360" s="77"/>
      <c r="D360" s="77"/>
      <c r="E360" s="77"/>
      <c r="F360" s="84"/>
      <c r="G360" s="92"/>
      <c r="H360" s="92"/>
      <c r="I360" s="92"/>
      <c r="J360" s="93"/>
      <c r="K360" s="93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</row>
    <row r="361" spans="1:27" ht="12.75" customHeight="1" x14ac:dyDescent="0.25">
      <c r="A361" s="78"/>
      <c r="B361" s="112"/>
      <c r="C361" s="77"/>
      <c r="D361" s="77"/>
      <c r="E361" s="77"/>
      <c r="F361" s="84"/>
      <c r="G361" s="92"/>
      <c r="H361" s="92"/>
      <c r="I361" s="92"/>
      <c r="J361" s="93"/>
      <c r="K361" s="93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</row>
    <row r="362" spans="1:27" ht="12.75" customHeight="1" x14ac:dyDescent="0.25">
      <c r="A362" s="78"/>
      <c r="B362" s="112"/>
      <c r="C362" s="77"/>
      <c r="D362" s="77"/>
      <c r="E362" s="77"/>
      <c r="F362" s="84"/>
      <c r="G362" s="92"/>
      <c r="H362" s="92"/>
      <c r="I362" s="92"/>
      <c r="J362" s="93"/>
      <c r="K362" s="93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</row>
    <row r="363" spans="1:27" ht="12.75" customHeight="1" x14ac:dyDescent="0.25">
      <c r="A363" s="78"/>
      <c r="B363" s="112"/>
      <c r="C363" s="77"/>
      <c r="D363" s="77"/>
      <c r="E363" s="77"/>
      <c r="F363" s="84"/>
      <c r="G363" s="92"/>
      <c r="H363" s="92"/>
      <c r="I363" s="92"/>
      <c r="J363" s="93"/>
      <c r="K363" s="93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</row>
    <row r="364" spans="1:27" ht="12.75" customHeight="1" x14ac:dyDescent="0.25">
      <c r="A364" s="78"/>
      <c r="B364" s="112"/>
      <c r="C364" s="77"/>
      <c r="D364" s="77"/>
      <c r="E364" s="77"/>
      <c r="F364" s="84"/>
      <c r="G364" s="92"/>
      <c r="H364" s="92"/>
      <c r="I364" s="92"/>
      <c r="J364" s="93"/>
      <c r="K364" s="93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</row>
    <row r="365" spans="1:27" ht="12.75" customHeight="1" x14ac:dyDescent="0.25">
      <c r="A365" s="78"/>
      <c r="B365" s="112"/>
      <c r="C365" s="77"/>
      <c r="D365" s="77"/>
      <c r="E365" s="77"/>
      <c r="F365" s="84"/>
      <c r="G365" s="92"/>
      <c r="H365" s="92"/>
      <c r="I365" s="92"/>
      <c r="J365" s="93"/>
      <c r="K365" s="93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</row>
    <row r="366" spans="1:27" ht="12.75" customHeight="1" x14ac:dyDescent="0.25">
      <c r="A366" s="78"/>
      <c r="B366" s="112"/>
      <c r="C366" s="77"/>
      <c r="D366" s="77"/>
      <c r="E366" s="77"/>
      <c r="F366" s="84"/>
      <c r="G366" s="92"/>
      <c r="H366" s="92"/>
      <c r="I366" s="92"/>
      <c r="J366" s="93"/>
      <c r="K366" s="93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</row>
    <row r="367" spans="1:27" ht="12.75" customHeight="1" x14ac:dyDescent="0.25">
      <c r="A367" s="78"/>
      <c r="B367" s="112"/>
      <c r="C367" s="77"/>
      <c r="D367" s="77"/>
      <c r="E367" s="77"/>
      <c r="F367" s="84"/>
      <c r="G367" s="92"/>
      <c r="H367" s="92"/>
      <c r="I367" s="92"/>
      <c r="J367" s="93"/>
      <c r="K367" s="93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</row>
    <row r="368" spans="1:27" ht="12.75" customHeight="1" x14ac:dyDescent="0.25">
      <c r="A368" s="78"/>
      <c r="B368" s="112"/>
      <c r="C368" s="77"/>
      <c r="D368" s="77"/>
      <c r="E368" s="77"/>
      <c r="F368" s="84"/>
      <c r="G368" s="92"/>
      <c r="H368" s="92"/>
      <c r="I368" s="92"/>
      <c r="J368" s="93"/>
      <c r="K368" s="93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</row>
    <row r="369" spans="1:27" ht="12.75" customHeight="1" x14ac:dyDescent="0.25">
      <c r="A369" s="78"/>
      <c r="B369" s="112"/>
      <c r="C369" s="77"/>
      <c r="D369" s="77"/>
      <c r="E369" s="77"/>
      <c r="F369" s="84"/>
      <c r="G369" s="92"/>
      <c r="H369" s="92"/>
      <c r="I369" s="92"/>
      <c r="J369" s="93"/>
      <c r="K369" s="93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</row>
    <row r="370" spans="1:27" ht="12.75" customHeight="1" x14ac:dyDescent="0.25">
      <c r="A370" s="78"/>
      <c r="B370" s="112"/>
      <c r="C370" s="77"/>
      <c r="D370" s="77"/>
      <c r="E370" s="77"/>
      <c r="F370" s="84"/>
      <c r="G370" s="92"/>
      <c r="H370" s="92"/>
      <c r="I370" s="92"/>
      <c r="J370" s="93"/>
      <c r="K370" s="93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</row>
    <row r="371" spans="1:27" ht="12.75" customHeight="1" x14ac:dyDescent="0.25">
      <c r="A371" s="78"/>
      <c r="B371" s="112"/>
      <c r="C371" s="77"/>
      <c r="D371" s="77"/>
      <c r="E371" s="77"/>
      <c r="F371" s="84"/>
      <c r="G371" s="92"/>
      <c r="H371" s="92"/>
      <c r="I371" s="92"/>
      <c r="J371" s="93"/>
      <c r="K371" s="93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</row>
    <row r="372" spans="1:27" ht="12.75" customHeight="1" x14ac:dyDescent="0.25">
      <c r="A372" s="78"/>
      <c r="B372" s="112"/>
      <c r="C372" s="77"/>
      <c r="D372" s="77"/>
      <c r="E372" s="77"/>
      <c r="F372" s="84"/>
      <c r="G372" s="92"/>
      <c r="H372" s="92"/>
      <c r="I372" s="92"/>
      <c r="J372" s="93"/>
      <c r="K372" s="93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</row>
    <row r="373" spans="1:27" ht="12.75" customHeight="1" x14ac:dyDescent="0.25">
      <c r="A373" s="78"/>
      <c r="B373" s="112"/>
      <c r="C373" s="77"/>
      <c r="D373" s="77"/>
      <c r="E373" s="77"/>
      <c r="F373" s="84"/>
      <c r="G373" s="92"/>
      <c r="H373" s="92"/>
      <c r="I373" s="92"/>
      <c r="J373" s="93"/>
      <c r="K373" s="93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</row>
    <row r="374" spans="1:27" ht="12.75" customHeight="1" x14ac:dyDescent="0.25">
      <c r="A374" s="78"/>
      <c r="B374" s="112"/>
      <c r="C374" s="77"/>
      <c r="D374" s="77"/>
      <c r="E374" s="77"/>
      <c r="F374" s="84"/>
      <c r="G374" s="92"/>
      <c r="H374" s="92"/>
      <c r="I374" s="92"/>
      <c r="J374" s="93"/>
      <c r="K374" s="93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</row>
    <row r="375" spans="1:27" ht="12.75" customHeight="1" x14ac:dyDescent="0.25">
      <c r="A375" s="78"/>
      <c r="B375" s="112"/>
      <c r="C375" s="77"/>
      <c r="D375" s="77"/>
      <c r="E375" s="77"/>
      <c r="F375" s="84"/>
      <c r="G375" s="92"/>
      <c r="H375" s="92"/>
      <c r="I375" s="92"/>
      <c r="J375" s="93"/>
      <c r="K375" s="93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</row>
    <row r="376" spans="1:27" ht="12.75" customHeight="1" x14ac:dyDescent="0.25">
      <c r="A376" s="78"/>
      <c r="B376" s="112"/>
      <c r="C376" s="77"/>
      <c r="D376" s="77"/>
      <c r="E376" s="77"/>
      <c r="F376" s="84"/>
      <c r="G376" s="92"/>
      <c r="H376" s="92"/>
      <c r="I376" s="92"/>
      <c r="J376" s="93"/>
      <c r="K376" s="93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</row>
    <row r="377" spans="1:27" ht="12.75" customHeight="1" x14ac:dyDescent="0.25">
      <c r="A377" s="78"/>
      <c r="B377" s="112"/>
      <c r="C377" s="77"/>
      <c r="D377" s="77"/>
      <c r="E377" s="77"/>
      <c r="F377" s="84"/>
      <c r="G377" s="92"/>
      <c r="H377" s="92"/>
      <c r="I377" s="92"/>
      <c r="J377" s="93"/>
      <c r="K377" s="93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</row>
    <row r="378" spans="1:27" ht="12.75" customHeight="1" x14ac:dyDescent="0.25">
      <c r="A378" s="78"/>
      <c r="B378" s="112"/>
      <c r="C378" s="77"/>
      <c r="D378" s="77"/>
      <c r="E378" s="77"/>
      <c r="F378" s="84"/>
      <c r="G378" s="92"/>
      <c r="H378" s="92"/>
      <c r="I378" s="92"/>
      <c r="J378" s="93"/>
      <c r="K378" s="93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</row>
    <row r="379" spans="1:27" ht="12.75" customHeight="1" x14ac:dyDescent="0.25">
      <c r="A379" s="78"/>
      <c r="B379" s="112"/>
      <c r="C379" s="77"/>
      <c r="D379" s="77"/>
      <c r="E379" s="77"/>
      <c r="F379" s="84"/>
      <c r="G379" s="92"/>
      <c r="H379" s="92"/>
      <c r="I379" s="92"/>
      <c r="J379" s="93"/>
      <c r="K379" s="93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</row>
    <row r="380" spans="1:27" ht="12.75" customHeight="1" x14ac:dyDescent="0.25">
      <c r="A380" s="78"/>
      <c r="B380" s="112"/>
      <c r="C380" s="77"/>
      <c r="D380" s="77"/>
      <c r="E380" s="77"/>
      <c r="F380" s="84"/>
      <c r="G380" s="92"/>
      <c r="H380" s="92"/>
      <c r="I380" s="92"/>
      <c r="J380" s="93"/>
      <c r="K380" s="93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</row>
    <row r="381" spans="1:27" ht="12.75" customHeight="1" x14ac:dyDescent="0.25">
      <c r="A381" s="78"/>
      <c r="B381" s="112"/>
      <c r="C381" s="77"/>
      <c r="D381" s="77"/>
      <c r="E381" s="77"/>
      <c r="F381" s="84"/>
      <c r="G381" s="92"/>
      <c r="H381" s="92"/>
      <c r="I381" s="92"/>
      <c r="J381" s="93"/>
      <c r="K381" s="93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</row>
    <row r="382" spans="1:27" ht="12.75" customHeight="1" x14ac:dyDescent="0.25">
      <c r="A382" s="78"/>
      <c r="B382" s="112"/>
      <c r="C382" s="77"/>
      <c r="D382" s="77"/>
      <c r="E382" s="77"/>
      <c r="F382" s="84"/>
      <c r="G382" s="92"/>
      <c r="H382" s="92"/>
      <c r="I382" s="92"/>
      <c r="J382" s="93"/>
      <c r="K382" s="93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</row>
    <row r="383" spans="1:27" ht="12.75" customHeight="1" x14ac:dyDescent="0.25">
      <c r="A383" s="78"/>
      <c r="B383" s="112"/>
      <c r="C383" s="77"/>
      <c r="D383" s="77"/>
      <c r="E383" s="77"/>
      <c r="F383" s="84"/>
      <c r="G383" s="92"/>
      <c r="H383" s="92"/>
      <c r="I383" s="92"/>
      <c r="J383" s="93"/>
      <c r="K383" s="93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</row>
    <row r="384" spans="1:27" ht="12.75" customHeight="1" x14ac:dyDescent="0.25">
      <c r="A384" s="78"/>
      <c r="B384" s="112"/>
      <c r="C384" s="77"/>
      <c r="D384" s="77"/>
      <c r="E384" s="77"/>
      <c r="F384" s="84"/>
      <c r="G384" s="92"/>
      <c r="H384" s="92"/>
      <c r="I384" s="92"/>
      <c r="J384" s="93"/>
      <c r="K384" s="93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</row>
    <row r="385" spans="1:27" ht="12.75" customHeight="1" x14ac:dyDescent="0.25">
      <c r="A385" s="78"/>
      <c r="B385" s="112"/>
      <c r="C385" s="77"/>
      <c r="D385" s="77"/>
      <c r="E385" s="77"/>
      <c r="F385" s="84"/>
      <c r="G385" s="92"/>
      <c r="H385" s="92"/>
      <c r="I385" s="92"/>
      <c r="J385" s="93"/>
      <c r="K385" s="93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</row>
    <row r="386" spans="1:27" ht="12.75" customHeight="1" x14ac:dyDescent="0.25">
      <c r="A386" s="78"/>
      <c r="B386" s="112"/>
      <c r="C386" s="77"/>
      <c r="D386" s="77"/>
      <c r="E386" s="77"/>
      <c r="F386" s="84"/>
      <c r="G386" s="92"/>
      <c r="H386" s="92"/>
      <c r="I386" s="92"/>
      <c r="J386" s="93"/>
      <c r="K386" s="93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</row>
    <row r="387" spans="1:27" ht="12.75" customHeight="1" x14ac:dyDescent="0.25">
      <c r="A387" s="78"/>
      <c r="B387" s="112"/>
      <c r="C387" s="77"/>
      <c r="D387" s="77"/>
      <c r="E387" s="77"/>
      <c r="F387" s="84"/>
      <c r="G387" s="92"/>
      <c r="H387" s="92"/>
      <c r="I387" s="92"/>
      <c r="J387" s="93"/>
      <c r="K387" s="93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</row>
    <row r="388" spans="1:27" ht="12.75" customHeight="1" x14ac:dyDescent="0.25">
      <c r="A388" s="78"/>
      <c r="B388" s="112"/>
      <c r="C388" s="77"/>
      <c r="D388" s="77"/>
      <c r="E388" s="77"/>
      <c r="F388" s="84"/>
      <c r="G388" s="92"/>
      <c r="H388" s="92"/>
      <c r="I388" s="92"/>
      <c r="J388" s="93"/>
      <c r="K388" s="93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</row>
    <row r="389" spans="1:27" ht="12.75" customHeight="1" x14ac:dyDescent="0.25">
      <c r="A389" s="78"/>
      <c r="B389" s="112"/>
      <c r="C389" s="77"/>
      <c r="D389" s="77"/>
      <c r="E389" s="77"/>
      <c r="F389" s="84"/>
      <c r="G389" s="92"/>
      <c r="H389" s="92"/>
      <c r="I389" s="92"/>
      <c r="J389" s="93"/>
      <c r="K389" s="93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</row>
    <row r="390" spans="1:27" ht="12.75" customHeight="1" x14ac:dyDescent="0.25">
      <c r="A390" s="78"/>
      <c r="B390" s="112"/>
      <c r="C390" s="77"/>
      <c r="D390" s="77"/>
      <c r="E390" s="77"/>
      <c r="F390" s="84"/>
      <c r="G390" s="92"/>
      <c r="H390" s="92"/>
      <c r="I390" s="92"/>
      <c r="J390" s="93"/>
      <c r="K390" s="93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</row>
    <row r="391" spans="1:27" ht="12.75" customHeight="1" x14ac:dyDescent="0.25">
      <c r="A391" s="78"/>
      <c r="B391" s="112"/>
      <c r="C391" s="77"/>
      <c r="D391" s="77"/>
      <c r="E391" s="77"/>
      <c r="F391" s="84"/>
      <c r="G391" s="92"/>
      <c r="H391" s="92"/>
      <c r="I391" s="92"/>
      <c r="J391" s="93"/>
      <c r="K391" s="93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</row>
    <row r="392" spans="1:27" ht="12.75" customHeight="1" x14ac:dyDescent="0.25">
      <c r="A392" s="78"/>
      <c r="B392" s="112"/>
      <c r="C392" s="77"/>
      <c r="D392" s="77"/>
      <c r="E392" s="77"/>
      <c r="F392" s="84"/>
      <c r="G392" s="92"/>
      <c r="H392" s="92"/>
      <c r="I392" s="92"/>
      <c r="J392" s="93"/>
      <c r="K392" s="93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</row>
    <row r="393" spans="1:27" ht="12.75" customHeight="1" x14ac:dyDescent="0.25">
      <c r="A393" s="78"/>
      <c r="B393" s="112"/>
      <c r="C393" s="77"/>
      <c r="D393" s="77"/>
      <c r="E393" s="77"/>
      <c r="F393" s="84"/>
      <c r="G393" s="92"/>
      <c r="H393" s="92"/>
      <c r="I393" s="92"/>
      <c r="J393" s="93"/>
      <c r="K393" s="93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</row>
    <row r="394" spans="1:27" ht="12.75" customHeight="1" x14ac:dyDescent="0.25">
      <c r="A394" s="78"/>
      <c r="B394" s="112"/>
      <c r="C394" s="77"/>
      <c r="D394" s="77"/>
      <c r="E394" s="77"/>
      <c r="F394" s="84"/>
      <c r="G394" s="92"/>
      <c r="H394" s="92"/>
      <c r="I394" s="92"/>
      <c r="J394" s="93"/>
      <c r="K394" s="93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</row>
    <row r="395" spans="1:27" ht="12.75" customHeight="1" x14ac:dyDescent="0.25">
      <c r="A395" s="78"/>
      <c r="B395" s="112"/>
      <c r="C395" s="77"/>
      <c r="D395" s="77"/>
      <c r="E395" s="77"/>
      <c r="F395" s="84"/>
      <c r="G395" s="92"/>
      <c r="H395" s="92"/>
      <c r="I395" s="92"/>
      <c r="J395" s="93"/>
      <c r="K395" s="93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</row>
    <row r="396" spans="1:27" ht="12.75" customHeight="1" x14ac:dyDescent="0.25">
      <c r="A396" s="78"/>
      <c r="B396" s="112"/>
      <c r="C396" s="77"/>
      <c r="D396" s="77"/>
      <c r="E396" s="77"/>
      <c r="F396" s="84"/>
      <c r="G396" s="92"/>
      <c r="H396" s="92"/>
      <c r="I396" s="92"/>
      <c r="J396" s="93"/>
      <c r="K396" s="93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</row>
    <row r="397" spans="1:27" ht="12.75" customHeight="1" x14ac:dyDescent="0.25">
      <c r="A397" s="78"/>
      <c r="B397" s="112"/>
      <c r="C397" s="77"/>
      <c r="D397" s="77"/>
      <c r="E397" s="77"/>
      <c r="F397" s="84"/>
      <c r="G397" s="92"/>
      <c r="H397" s="92"/>
      <c r="I397" s="92"/>
      <c r="J397" s="93"/>
      <c r="K397" s="93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</row>
    <row r="398" spans="1:27" ht="12.75" customHeight="1" x14ac:dyDescent="0.25">
      <c r="A398" s="78"/>
      <c r="B398" s="112"/>
      <c r="C398" s="77"/>
      <c r="D398" s="77"/>
      <c r="E398" s="77"/>
      <c r="F398" s="84"/>
      <c r="G398" s="92"/>
      <c r="H398" s="92"/>
      <c r="I398" s="92"/>
      <c r="J398" s="93"/>
      <c r="K398" s="93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</row>
    <row r="399" spans="1:27" ht="12.75" customHeight="1" x14ac:dyDescent="0.25">
      <c r="A399" s="78"/>
      <c r="B399" s="112"/>
      <c r="C399" s="77"/>
      <c r="D399" s="77"/>
      <c r="E399" s="77"/>
      <c r="F399" s="84"/>
      <c r="G399" s="92"/>
      <c r="H399" s="92"/>
      <c r="I399" s="92"/>
      <c r="J399" s="93"/>
      <c r="K399" s="93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</row>
    <row r="400" spans="1:27" ht="12.75" customHeight="1" x14ac:dyDescent="0.25">
      <c r="A400" s="78"/>
      <c r="B400" s="112"/>
      <c r="C400" s="77"/>
      <c r="D400" s="77"/>
      <c r="E400" s="77"/>
      <c r="F400" s="84"/>
      <c r="G400" s="92"/>
      <c r="H400" s="92"/>
      <c r="I400" s="92"/>
      <c r="J400" s="93"/>
      <c r="K400" s="93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</row>
    <row r="401" spans="1:27" ht="12.75" customHeight="1" x14ac:dyDescent="0.25">
      <c r="A401" s="78"/>
      <c r="B401" s="112"/>
      <c r="C401" s="77"/>
      <c r="D401" s="77"/>
      <c r="E401" s="77"/>
      <c r="F401" s="84"/>
      <c r="G401" s="92"/>
      <c r="H401" s="92"/>
      <c r="I401" s="92"/>
      <c r="J401" s="93"/>
      <c r="K401" s="93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</row>
    <row r="402" spans="1:27" ht="12.75" customHeight="1" x14ac:dyDescent="0.25">
      <c r="A402" s="78"/>
      <c r="B402" s="112"/>
      <c r="C402" s="77"/>
      <c r="D402" s="77"/>
      <c r="E402" s="77"/>
      <c r="F402" s="84"/>
      <c r="G402" s="92"/>
      <c r="H402" s="92"/>
      <c r="I402" s="92"/>
      <c r="J402" s="93"/>
      <c r="K402" s="93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</row>
    <row r="403" spans="1:27" ht="12.75" customHeight="1" x14ac:dyDescent="0.25">
      <c r="A403" s="78"/>
      <c r="B403" s="112"/>
      <c r="C403" s="77"/>
      <c r="D403" s="77"/>
      <c r="E403" s="77"/>
      <c r="F403" s="84"/>
      <c r="G403" s="92"/>
      <c r="H403" s="92"/>
      <c r="I403" s="92"/>
      <c r="J403" s="93"/>
      <c r="K403" s="93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</row>
    <row r="404" spans="1:27" ht="12.75" customHeight="1" x14ac:dyDescent="0.25">
      <c r="A404" s="78"/>
      <c r="B404" s="112"/>
      <c r="C404" s="77"/>
      <c r="D404" s="77"/>
      <c r="E404" s="77"/>
      <c r="F404" s="84"/>
      <c r="G404" s="92"/>
      <c r="H404" s="92"/>
      <c r="I404" s="92"/>
      <c r="J404" s="93"/>
      <c r="K404" s="93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</row>
    <row r="405" spans="1:27" ht="12.75" customHeight="1" x14ac:dyDescent="0.25">
      <c r="A405" s="78"/>
      <c r="B405" s="112"/>
      <c r="C405" s="77"/>
      <c r="D405" s="77"/>
      <c r="E405" s="77"/>
      <c r="F405" s="84"/>
      <c r="G405" s="92"/>
      <c r="H405" s="92"/>
      <c r="I405" s="92"/>
      <c r="J405" s="93"/>
      <c r="K405" s="93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</row>
    <row r="406" spans="1:27" ht="12.75" customHeight="1" x14ac:dyDescent="0.25">
      <c r="A406" s="78"/>
      <c r="B406" s="112"/>
      <c r="C406" s="77"/>
      <c r="D406" s="77"/>
      <c r="E406" s="77"/>
      <c r="F406" s="84"/>
      <c r="G406" s="92"/>
      <c r="H406" s="92"/>
      <c r="I406" s="92"/>
      <c r="J406" s="93"/>
      <c r="K406" s="93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</row>
    <row r="407" spans="1:27" ht="12.75" customHeight="1" x14ac:dyDescent="0.25">
      <c r="A407" s="78"/>
      <c r="B407" s="112"/>
      <c r="C407" s="77"/>
      <c r="D407" s="77"/>
      <c r="E407" s="77"/>
      <c r="F407" s="84"/>
      <c r="G407" s="92"/>
      <c r="H407" s="92"/>
      <c r="I407" s="92"/>
      <c r="J407" s="93"/>
      <c r="K407" s="93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</row>
    <row r="408" spans="1:27" ht="12.75" customHeight="1" x14ac:dyDescent="0.25">
      <c r="A408" s="78"/>
      <c r="B408" s="112"/>
      <c r="C408" s="77"/>
      <c r="D408" s="77"/>
      <c r="E408" s="77"/>
      <c r="F408" s="84"/>
      <c r="G408" s="92"/>
      <c r="H408" s="92"/>
      <c r="I408" s="92"/>
      <c r="J408" s="93"/>
      <c r="K408" s="93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</row>
    <row r="409" spans="1:27" ht="12.75" customHeight="1" x14ac:dyDescent="0.25">
      <c r="A409" s="78"/>
      <c r="B409" s="112"/>
      <c r="C409" s="77"/>
      <c r="D409" s="77"/>
      <c r="E409" s="77"/>
      <c r="F409" s="84"/>
      <c r="G409" s="92"/>
      <c r="H409" s="92"/>
      <c r="I409" s="92"/>
      <c r="J409" s="93"/>
      <c r="K409" s="93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</row>
    <row r="410" spans="1:27" ht="12.75" customHeight="1" x14ac:dyDescent="0.25">
      <c r="A410" s="78"/>
      <c r="B410" s="112"/>
      <c r="C410" s="77"/>
      <c r="D410" s="77"/>
      <c r="E410" s="77"/>
      <c r="F410" s="84"/>
      <c r="G410" s="92"/>
      <c r="H410" s="92"/>
      <c r="I410" s="92"/>
      <c r="J410" s="93"/>
      <c r="K410" s="93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</row>
    <row r="411" spans="1:27" ht="12.75" customHeight="1" x14ac:dyDescent="0.25">
      <c r="A411" s="78"/>
      <c r="B411" s="112"/>
      <c r="C411" s="77"/>
      <c r="D411" s="77"/>
      <c r="E411" s="77"/>
      <c r="F411" s="84"/>
      <c r="G411" s="92"/>
      <c r="H411" s="92"/>
      <c r="I411" s="92"/>
      <c r="J411" s="93"/>
      <c r="K411" s="93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</row>
    <row r="412" spans="1:27" ht="12.75" customHeight="1" x14ac:dyDescent="0.25">
      <c r="A412" s="78"/>
      <c r="B412" s="112"/>
      <c r="C412" s="77"/>
      <c r="D412" s="77"/>
      <c r="E412" s="77"/>
      <c r="F412" s="84"/>
      <c r="G412" s="92"/>
      <c r="H412" s="92"/>
      <c r="I412" s="92"/>
      <c r="J412" s="93"/>
      <c r="K412" s="93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</row>
    <row r="413" spans="1:27" ht="12.75" customHeight="1" x14ac:dyDescent="0.25">
      <c r="A413" s="78"/>
      <c r="B413" s="112"/>
      <c r="C413" s="77"/>
      <c r="D413" s="77"/>
      <c r="E413" s="77"/>
      <c r="F413" s="84"/>
      <c r="G413" s="92"/>
      <c r="H413" s="92"/>
      <c r="I413" s="92"/>
      <c r="J413" s="93"/>
      <c r="K413" s="93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</row>
    <row r="414" spans="1:27" ht="12.75" customHeight="1" x14ac:dyDescent="0.25">
      <c r="A414" s="78"/>
      <c r="B414" s="112"/>
      <c r="C414" s="77"/>
      <c r="D414" s="77"/>
      <c r="E414" s="77"/>
      <c r="F414" s="84"/>
      <c r="G414" s="92"/>
      <c r="H414" s="92"/>
      <c r="I414" s="92"/>
      <c r="J414" s="93"/>
      <c r="K414" s="93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</row>
    <row r="415" spans="1:27" ht="12.75" customHeight="1" x14ac:dyDescent="0.25">
      <c r="A415" s="78"/>
      <c r="B415" s="112"/>
      <c r="C415" s="77"/>
      <c r="D415" s="77"/>
      <c r="E415" s="77"/>
      <c r="F415" s="84"/>
      <c r="G415" s="92"/>
      <c r="H415" s="92"/>
      <c r="I415" s="92"/>
      <c r="J415" s="93"/>
      <c r="K415" s="93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</row>
    <row r="416" spans="1:27" ht="12.75" customHeight="1" x14ac:dyDescent="0.25">
      <c r="A416" s="78"/>
      <c r="B416" s="112"/>
      <c r="C416" s="77"/>
      <c r="D416" s="77"/>
      <c r="E416" s="77"/>
      <c r="F416" s="84"/>
      <c r="G416" s="92"/>
      <c r="H416" s="92"/>
      <c r="I416" s="92"/>
      <c r="J416" s="93"/>
      <c r="K416" s="93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</row>
    <row r="417" spans="1:27" ht="12.75" customHeight="1" x14ac:dyDescent="0.25">
      <c r="A417" s="78"/>
      <c r="B417" s="112"/>
      <c r="C417" s="77"/>
      <c r="D417" s="77"/>
      <c r="E417" s="77"/>
      <c r="F417" s="84"/>
      <c r="G417" s="92"/>
      <c r="H417" s="92"/>
      <c r="I417" s="92"/>
      <c r="J417" s="93"/>
      <c r="K417" s="93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</row>
    <row r="418" spans="1:27" ht="12.75" customHeight="1" x14ac:dyDescent="0.25">
      <c r="A418" s="78"/>
      <c r="B418" s="112"/>
      <c r="C418" s="77"/>
      <c r="D418" s="77"/>
      <c r="E418" s="77"/>
      <c r="F418" s="84"/>
      <c r="G418" s="92"/>
      <c r="H418" s="92"/>
      <c r="I418" s="92"/>
      <c r="J418" s="93"/>
      <c r="K418" s="93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</row>
    <row r="419" spans="1:27" ht="12.75" customHeight="1" x14ac:dyDescent="0.25">
      <c r="A419" s="78"/>
      <c r="B419" s="112"/>
      <c r="C419" s="77"/>
      <c r="D419" s="77"/>
      <c r="E419" s="77"/>
      <c r="F419" s="84"/>
      <c r="G419" s="92"/>
      <c r="H419" s="92"/>
      <c r="I419" s="92"/>
      <c r="J419" s="93"/>
      <c r="K419" s="93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</row>
    <row r="420" spans="1:27" ht="12.75" customHeight="1" x14ac:dyDescent="0.25">
      <c r="A420" s="78"/>
      <c r="B420" s="112"/>
      <c r="C420" s="77"/>
      <c r="D420" s="77"/>
      <c r="E420" s="77"/>
      <c r="F420" s="84"/>
      <c r="G420" s="92"/>
      <c r="H420" s="92"/>
      <c r="I420" s="92"/>
      <c r="J420" s="93"/>
      <c r="K420" s="93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</row>
    <row r="421" spans="1:27" ht="12.75" customHeight="1" x14ac:dyDescent="0.25">
      <c r="A421" s="78"/>
      <c r="B421" s="112"/>
      <c r="C421" s="77"/>
      <c r="D421" s="77"/>
      <c r="E421" s="77"/>
      <c r="F421" s="84"/>
      <c r="G421" s="92"/>
      <c r="H421" s="92"/>
      <c r="I421" s="92"/>
      <c r="J421" s="93"/>
      <c r="K421" s="93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</row>
    <row r="422" spans="1:27" ht="12.75" customHeight="1" x14ac:dyDescent="0.25">
      <c r="A422" s="78"/>
      <c r="B422" s="112"/>
      <c r="C422" s="77"/>
      <c r="D422" s="77"/>
      <c r="E422" s="77"/>
      <c r="F422" s="84"/>
      <c r="G422" s="92"/>
      <c r="H422" s="92"/>
      <c r="I422" s="92"/>
      <c r="J422" s="93"/>
      <c r="K422" s="93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</row>
    <row r="423" spans="1:27" ht="12.75" customHeight="1" x14ac:dyDescent="0.25">
      <c r="A423" s="78"/>
      <c r="B423" s="112"/>
      <c r="C423" s="77"/>
      <c r="D423" s="77"/>
      <c r="E423" s="77"/>
      <c r="F423" s="84"/>
      <c r="G423" s="92"/>
      <c r="H423" s="92"/>
      <c r="I423" s="92"/>
      <c r="J423" s="93"/>
      <c r="K423" s="93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</row>
    <row r="424" spans="1:27" ht="12.75" customHeight="1" x14ac:dyDescent="0.25">
      <c r="A424" s="78"/>
      <c r="B424" s="112"/>
      <c r="C424" s="77"/>
      <c r="D424" s="77"/>
      <c r="E424" s="77"/>
      <c r="F424" s="84"/>
      <c r="G424" s="92"/>
      <c r="H424" s="92"/>
      <c r="I424" s="92"/>
      <c r="J424" s="93"/>
      <c r="K424" s="93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</row>
    <row r="425" spans="1:27" ht="12.75" customHeight="1" x14ac:dyDescent="0.25">
      <c r="A425" s="78"/>
      <c r="B425" s="112"/>
      <c r="C425" s="77"/>
      <c r="D425" s="77"/>
      <c r="E425" s="77"/>
      <c r="F425" s="84"/>
      <c r="G425" s="92"/>
      <c r="H425" s="92"/>
      <c r="I425" s="92"/>
      <c r="J425" s="93"/>
      <c r="K425" s="93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</row>
    <row r="426" spans="1:27" ht="12.75" customHeight="1" x14ac:dyDescent="0.25">
      <c r="A426" s="78"/>
      <c r="B426" s="112"/>
      <c r="C426" s="77"/>
      <c r="D426" s="77"/>
      <c r="E426" s="77"/>
      <c r="F426" s="84"/>
      <c r="G426" s="92"/>
      <c r="H426" s="92"/>
      <c r="I426" s="92"/>
      <c r="J426" s="93"/>
      <c r="K426" s="93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</row>
    <row r="427" spans="1:27" ht="12.75" customHeight="1" x14ac:dyDescent="0.25">
      <c r="A427" s="78"/>
      <c r="B427" s="112"/>
      <c r="C427" s="77"/>
      <c r="D427" s="77"/>
      <c r="E427" s="77"/>
      <c r="F427" s="84"/>
      <c r="G427" s="92"/>
      <c r="H427" s="92"/>
      <c r="I427" s="92"/>
      <c r="J427" s="93"/>
      <c r="K427" s="93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</row>
    <row r="428" spans="1:27" ht="12.75" customHeight="1" x14ac:dyDescent="0.25">
      <c r="A428" s="78"/>
      <c r="B428" s="112"/>
      <c r="C428" s="77"/>
      <c r="D428" s="77"/>
      <c r="E428" s="77"/>
      <c r="F428" s="84"/>
      <c r="G428" s="92"/>
      <c r="H428" s="92"/>
      <c r="I428" s="92"/>
      <c r="J428" s="93"/>
      <c r="K428" s="93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</row>
    <row r="429" spans="1:27" ht="12.75" customHeight="1" x14ac:dyDescent="0.25">
      <c r="A429" s="78"/>
      <c r="B429" s="112"/>
      <c r="C429" s="77"/>
      <c r="D429" s="77"/>
      <c r="E429" s="77"/>
      <c r="F429" s="84"/>
      <c r="G429" s="92"/>
      <c r="H429" s="92"/>
      <c r="I429" s="92"/>
      <c r="J429" s="93"/>
      <c r="K429" s="93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</row>
    <row r="430" spans="1:27" ht="12.75" customHeight="1" x14ac:dyDescent="0.25">
      <c r="A430" s="78"/>
      <c r="B430" s="112"/>
      <c r="C430" s="77"/>
      <c r="D430" s="77"/>
      <c r="E430" s="77"/>
      <c r="F430" s="84"/>
      <c r="G430" s="92"/>
      <c r="H430" s="92"/>
      <c r="I430" s="92"/>
      <c r="J430" s="93"/>
      <c r="K430" s="93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</row>
    <row r="431" spans="1:27" ht="12.75" customHeight="1" x14ac:dyDescent="0.25">
      <c r="A431" s="78"/>
      <c r="B431" s="112"/>
      <c r="C431" s="77"/>
      <c r="D431" s="77"/>
      <c r="E431" s="77"/>
      <c r="F431" s="84"/>
      <c r="G431" s="92"/>
      <c r="H431" s="92"/>
      <c r="I431" s="92"/>
      <c r="J431" s="93"/>
      <c r="K431" s="93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</row>
    <row r="432" spans="1:27" ht="12.75" customHeight="1" x14ac:dyDescent="0.25">
      <c r="A432" s="78"/>
      <c r="B432" s="112"/>
      <c r="C432" s="77"/>
      <c r="D432" s="77"/>
      <c r="E432" s="77"/>
      <c r="F432" s="84"/>
      <c r="G432" s="92"/>
      <c r="H432" s="92"/>
      <c r="I432" s="92"/>
      <c r="J432" s="93"/>
      <c r="K432" s="93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</row>
    <row r="433" spans="1:27" ht="12.75" customHeight="1" x14ac:dyDescent="0.25">
      <c r="A433" s="78"/>
      <c r="B433" s="112"/>
      <c r="C433" s="77"/>
      <c r="D433" s="77"/>
      <c r="E433" s="77"/>
      <c r="F433" s="84"/>
      <c r="G433" s="92"/>
      <c r="H433" s="92"/>
      <c r="I433" s="92"/>
      <c r="J433" s="93"/>
      <c r="K433" s="93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</row>
    <row r="434" spans="1:27" ht="12.75" customHeight="1" x14ac:dyDescent="0.25">
      <c r="A434" s="78"/>
      <c r="B434" s="112"/>
      <c r="C434" s="77"/>
      <c r="D434" s="77"/>
      <c r="E434" s="77"/>
      <c r="F434" s="84"/>
      <c r="G434" s="92"/>
      <c r="H434" s="92"/>
      <c r="I434" s="92"/>
      <c r="J434" s="93"/>
      <c r="K434" s="93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</row>
    <row r="435" spans="1:27" ht="12.75" customHeight="1" x14ac:dyDescent="0.25">
      <c r="A435" s="78"/>
      <c r="B435" s="112"/>
      <c r="C435" s="77"/>
      <c r="D435" s="77"/>
      <c r="E435" s="77"/>
      <c r="F435" s="84"/>
      <c r="G435" s="92"/>
      <c r="H435" s="92"/>
      <c r="I435" s="92"/>
      <c r="J435" s="93"/>
      <c r="K435" s="93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</row>
    <row r="436" spans="1:27" ht="12.75" customHeight="1" x14ac:dyDescent="0.25">
      <c r="A436" s="78"/>
      <c r="B436" s="112"/>
      <c r="C436" s="77"/>
      <c r="D436" s="77"/>
      <c r="E436" s="77"/>
      <c r="F436" s="84"/>
      <c r="G436" s="92"/>
      <c r="H436" s="92"/>
      <c r="I436" s="92"/>
      <c r="J436" s="93"/>
      <c r="K436" s="93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</row>
    <row r="437" spans="1:27" ht="12.75" customHeight="1" x14ac:dyDescent="0.25">
      <c r="A437" s="78"/>
      <c r="B437" s="112"/>
      <c r="C437" s="77"/>
      <c r="D437" s="77"/>
      <c r="E437" s="77"/>
      <c r="F437" s="84"/>
      <c r="G437" s="92"/>
      <c r="H437" s="92"/>
      <c r="I437" s="92"/>
      <c r="J437" s="93"/>
      <c r="K437" s="93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</row>
    <row r="438" spans="1:27" ht="12.75" customHeight="1" x14ac:dyDescent="0.25">
      <c r="A438" s="78"/>
      <c r="B438" s="112"/>
      <c r="C438" s="77"/>
      <c r="D438" s="77"/>
      <c r="E438" s="77"/>
      <c r="F438" s="84"/>
      <c r="G438" s="92"/>
      <c r="H438" s="92"/>
      <c r="I438" s="92"/>
      <c r="J438" s="93"/>
      <c r="K438" s="93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</row>
    <row r="439" spans="1:27" ht="12.75" customHeight="1" x14ac:dyDescent="0.25">
      <c r="A439" s="78"/>
      <c r="B439" s="112"/>
      <c r="C439" s="77"/>
      <c r="D439" s="77"/>
      <c r="E439" s="77"/>
      <c r="F439" s="84"/>
      <c r="G439" s="92"/>
      <c r="H439" s="92"/>
      <c r="I439" s="92"/>
      <c r="J439" s="93"/>
      <c r="K439" s="93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</row>
    <row r="440" spans="1:27" ht="12.75" customHeight="1" x14ac:dyDescent="0.25">
      <c r="A440" s="78"/>
      <c r="B440" s="112"/>
      <c r="C440" s="77"/>
      <c r="D440" s="77"/>
      <c r="E440" s="77"/>
      <c r="F440" s="84"/>
      <c r="G440" s="92"/>
      <c r="H440" s="92"/>
      <c r="I440" s="92"/>
      <c r="J440" s="93"/>
      <c r="K440" s="93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</row>
    <row r="441" spans="1:27" ht="12.75" customHeight="1" x14ac:dyDescent="0.25">
      <c r="A441" s="78"/>
      <c r="B441" s="112"/>
      <c r="C441" s="77"/>
      <c r="D441" s="77"/>
      <c r="E441" s="77"/>
      <c r="F441" s="84"/>
      <c r="G441" s="92"/>
      <c r="H441" s="92"/>
      <c r="I441" s="92"/>
      <c r="J441" s="93"/>
      <c r="K441" s="93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</row>
    <row r="442" spans="1:27" ht="12.75" customHeight="1" x14ac:dyDescent="0.25">
      <c r="A442" s="78"/>
      <c r="B442" s="112"/>
      <c r="C442" s="77"/>
      <c r="D442" s="77"/>
      <c r="E442" s="77"/>
      <c r="F442" s="84"/>
      <c r="G442" s="92"/>
      <c r="H442" s="92"/>
      <c r="I442" s="92"/>
      <c r="J442" s="93"/>
      <c r="K442" s="93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</row>
    <row r="443" spans="1:27" ht="12.75" customHeight="1" x14ac:dyDescent="0.25">
      <c r="A443" s="78"/>
      <c r="B443" s="112"/>
      <c r="C443" s="77"/>
      <c r="D443" s="77"/>
      <c r="E443" s="77"/>
      <c r="F443" s="84"/>
      <c r="G443" s="92"/>
      <c r="H443" s="92"/>
      <c r="I443" s="92"/>
      <c r="J443" s="93"/>
      <c r="K443" s="93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</row>
    <row r="444" spans="1:27" ht="12.75" customHeight="1" x14ac:dyDescent="0.25">
      <c r="A444" s="78"/>
      <c r="B444" s="112"/>
      <c r="C444" s="77"/>
      <c r="D444" s="77"/>
      <c r="E444" s="77"/>
      <c r="F444" s="84"/>
      <c r="G444" s="92"/>
      <c r="H444" s="92"/>
      <c r="I444" s="92"/>
      <c r="J444" s="93"/>
      <c r="K444" s="93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</row>
    <row r="445" spans="1:27" ht="12.75" customHeight="1" x14ac:dyDescent="0.25">
      <c r="A445" s="78"/>
      <c r="B445" s="112"/>
      <c r="C445" s="77"/>
      <c r="D445" s="77"/>
      <c r="E445" s="77"/>
      <c r="F445" s="84"/>
      <c r="G445" s="92"/>
      <c r="H445" s="92"/>
      <c r="I445" s="92"/>
      <c r="J445" s="93"/>
      <c r="K445" s="93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</row>
    <row r="446" spans="1:27" ht="12.75" customHeight="1" x14ac:dyDescent="0.25">
      <c r="A446" s="78"/>
      <c r="B446" s="112"/>
      <c r="C446" s="77"/>
      <c r="D446" s="77"/>
      <c r="E446" s="77"/>
      <c r="F446" s="84"/>
      <c r="G446" s="92"/>
      <c r="H446" s="92"/>
      <c r="I446" s="92"/>
      <c r="J446" s="93"/>
      <c r="K446" s="93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</row>
    <row r="447" spans="1:27" ht="12.75" customHeight="1" x14ac:dyDescent="0.25">
      <c r="A447" s="78"/>
      <c r="B447" s="112"/>
      <c r="C447" s="77"/>
      <c r="D447" s="77"/>
      <c r="E447" s="77"/>
      <c r="F447" s="84"/>
      <c r="G447" s="92"/>
      <c r="H447" s="92"/>
      <c r="I447" s="92"/>
      <c r="J447" s="93"/>
      <c r="K447" s="93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</row>
    <row r="448" spans="1:27" ht="12.75" customHeight="1" x14ac:dyDescent="0.25">
      <c r="A448" s="78"/>
      <c r="B448" s="112"/>
      <c r="C448" s="77"/>
      <c r="D448" s="77"/>
      <c r="E448" s="77"/>
      <c r="F448" s="84"/>
      <c r="G448" s="92"/>
      <c r="H448" s="92"/>
      <c r="I448" s="92"/>
      <c r="J448" s="93"/>
      <c r="K448" s="93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</row>
    <row r="449" spans="1:27" ht="12.75" customHeight="1" x14ac:dyDescent="0.25">
      <c r="A449" s="78"/>
      <c r="B449" s="112"/>
      <c r="C449" s="77"/>
      <c r="D449" s="77"/>
      <c r="E449" s="77"/>
      <c r="F449" s="84"/>
      <c r="G449" s="92"/>
      <c r="H449" s="92"/>
      <c r="I449" s="92"/>
      <c r="J449" s="93"/>
      <c r="K449" s="93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</row>
    <row r="450" spans="1:27" ht="12.75" customHeight="1" x14ac:dyDescent="0.25">
      <c r="A450" s="78"/>
      <c r="B450" s="112"/>
      <c r="C450" s="77"/>
      <c r="D450" s="77"/>
      <c r="E450" s="77"/>
      <c r="F450" s="84"/>
      <c r="G450" s="92"/>
      <c r="H450" s="92"/>
      <c r="I450" s="92"/>
      <c r="J450" s="93"/>
      <c r="K450" s="93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</row>
    <row r="451" spans="1:27" ht="12.75" customHeight="1" x14ac:dyDescent="0.25">
      <c r="A451" s="78"/>
      <c r="B451" s="112"/>
      <c r="C451" s="77"/>
      <c r="D451" s="77"/>
      <c r="E451" s="77"/>
      <c r="F451" s="84"/>
      <c r="G451" s="92"/>
      <c r="H451" s="92"/>
      <c r="I451" s="92"/>
      <c r="J451" s="93"/>
      <c r="K451" s="93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</row>
    <row r="452" spans="1:27" ht="12.75" customHeight="1" x14ac:dyDescent="0.25">
      <c r="A452" s="78"/>
      <c r="B452" s="112"/>
      <c r="C452" s="77"/>
      <c r="D452" s="77"/>
      <c r="E452" s="77"/>
      <c r="F452" s="84"/>
      <c r="G452" s="92"/>
      <c r="H452" s="92"/>
      <c r="I452" s="92"/>
      <c r="J452" s="93"/>
      <c r="K452" s="93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</row>
    <row r="453" spans="1:27" ht="12.75" customHeight="1" x14ac:dyDescent="0.25">
      <c r="A453" s="78"/>
      <c r="B453" s="112"/>
      <c r="C453" s="77"/>
      <c r="D453" s="77"/>
      <c r="E453" s="77"/>
      <c r="F453" s="84"/>
      <c r="G453" s="92"/>
      <c r="H453" s="92"/>
      <c r="I453" s="92"/>
      <c r="J453" s="93"/>
      <c r="K453" s="93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</row>
    <row r="454" spans="1:27" ht="12.75" customHeight="1" x14ac:dyDescent="0.25">
      <c r="A454" s="78"/>
      <c r="B454" s="112"/>
      <c r="C454" s="77"/>
      <c r="D454" s="77"/>
      <c r="E454" s="77"/>
      <c r="F454" s="84"/>
      <c r="G454" s="92"/>
      <c r="H454" s="92"/>
      <c r="I454" s="92"/>
      <c r="J454" s="93"/>
      <c r="K454" s="93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</row>
    <row r="455" spans="1:27" ht="12.75" customHeight="1" x14ac:dyDescent="0.25">
      <c r="A455" s="78"/>
      <c r="B455" s="112"/>
      <c r="C455" s="77"/>
      <c r="D455" s="77"/>
      <c r="E455" s="77"/>
      <c r="F455" s="84"/>
      <c r="G455" s="92"/>
      <c r="H455" s="92"/>
      <c r="I455" s="92"/>
      <c r="J455" s="93"/>
      <c r="K455" s="93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</row>
    <row r="456" spans="1:27" ht="12.75" customHeight="1" x14ac:dyDescent="0.25">
      <c r="A456" s="78"/>
      <c r="B456" s="112"/>
      <c r="C456" s="77"/>
      <c r="D456" s="77"/>
      <c r="E456" s="77"/>
      <c r="F456" s="84"/>
      <c r="G456" s="92"/>
      <c r="H456" s="92"/>
      <c r="I456" s="92"/>
      <c r="J456" s="93"/>
      <c r="K456" s="93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</row>
    <row r="457" spans="1:27" ht="12.75" customHeight="1" x14ac:dyDescent="0.25">
      <c r="A457" s="78"/>
      <c r="B457" s="112"/>
      <c r="C457" s="77"/>
      <c r="D457" s="77"/>
      <c r="E457" s="77"/>
      <c r="F457" s="84"/>
      <c r="G457" s="92"/>
      <c r="H457" s="92"/>
      <c r="I457" s="92"/>
      <c r="J457" s="93"/>
      <c r="K457" s="93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</row>
    <row r="458" spans="1:27" ht="12.75" customHeight="1" x14ac:dyDescent="0.25">
      <c r="A458" s="78"/>
      <c r="B458" s="112"/>
      <c r="C458" s="77"/>
      <c r="D458" s="77"/>
      <c r="E458" s="77"/>
      <c r="F458" s="84"/>
      <c r="G458" s="92"/>
      <c r="H458" s="92"/>
      <c r="I458" s="92"/>
      <c r="J458" s="93"/>
      <c r="K458" s="93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</row>
    <row r="459" spans="1:27" ht="12.75" customHeight="1" x14ac:dyDescent="0.25">
      <c r="A459" s="78"/>
      <c r="B459" s="112"/>
      <c r="C459" s="77"/>
      <c r="D459" s="77"/>
      <c r="E459" s="77"/>
      <c r="F459" s="84"/>
      <c r="G459" s="92"/>
      <c r="H459" s="92"/>
      <c r="I459" s="92"/>
      <c r="J459" s="93"/>
      <c r="K459" s="93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</row>
    <row r="460" spans="1:27" ht="12.75" customHeight="1" x14ac:dyDescent="0.25">
      <c r="A460" s="78"/>
      <c r="B460" s="112"/>
      <c r="C460" s="77"/>
      <c r="D460" s="77"/>
      <c r="E460" s="77"/>
      <c r="F460" s="84"/>
      <c r="G460" s="92"/>
      <c r="H460" s="92"/>
      <c r="I460" s="92"/>
      <c r="J460" s="93"/>
      <c r="K460" s="93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</row>
    <row r="461" spans="1:27" ht="12.75" customHeight="1" x14ac:dyDescent="0.25">
      <c r="A461" s="78"/>
      <c r="B461" s="112"/>
      <c r="C461" s="77"/>
      <c r="D461" s="77"/>
      <c r="E461" s="77"/>
      <c r="F461" s="84"/>
      <c r="G461" s="92"/>
      <c r="H461" s="92"/>
      <c r="I461" s="92"/>
      <c r="J461" s="93"/>
      <c r="K461" s="93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</row>
    <row r="462" spans="1:27" ht="12.75" customHeight="1" x14ac:dyDescent="0.25">
      <c r="A462" s="78"/>
      <c r="B462" s="112"/>
      <c r="C462" s="77"/>
      <c r="D462" s="77"/>
      <c r="E462" s="77"/>
      <c r="F462" s="84"/>
      <c r="G462" s="92"/>
      <c r="H462" s="92"/>
      <c r="I462" s="92"/>
      <c r="J462" s="93"/>
      <c r="K462" s="93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</row>
    <row r="463" spans="1:27" ht="12.75" customHeight="1" x14ac:dyDescent="0.25">
      <c r="A463" s="78"/>
      <c r="B463" s="112"/>
      <c r="C463" s="77"/>
      <c r="D463" s="77"/>
      <c r="E463" s="77"/>
      <c r="F463" s="84"/>
      <c r="G463" s="92"/>
      <c r="H463" s="92"/>
      <c r="I463" s="92"/>
      <c r="J463" s="93"/>
      <c r="K463" s="93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</row>
    <row r="464" spans="1:27" ht="12.75" customHeight="1" x14ac:dyDescent="0.25">
      <c r="A464" s="78"/>
      <c r="B464" s="112"/>
      <c r="C464" s="77"/>
      <c r="D464" s="77"/>
      <c r="E464" s="77"/>
      <c r="F464" s="84"/>
      <c r="G464" s="92"/>
      <c r="H464" s="92"/>
      <c r="I464" s="92"/>
      <c r="J464" s="93"/>
      <c r="K464" s="93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</row>
    <row r="465" spans="1:27" ht="12.75" customHeight="1" x14ac:dyDescent="0.25">
      <c r="A465" s="78"/>
      <c r="B465" s="112"/>
      <c r="C465" s="77"/>
      <c r="D465" s="77"/>
      <c r="E465" s="77"/>
      <c r="F465" s="84"/>
      <c r="G465" s="92"/>
      <c r="H465" s="92"/>
      <c r="I465" s="92"/>
      <c r="J465" s="93"/>
      <c r="K465" s="93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</row>
    <row r="466" spans="1:27" ht="12.75" customHeight="1" x14ac:dyDescent="0.25">
      <c r="A466" s="78"/>
      <c r="B466" s="112"/>
      <c r="C466" s="77"/>
      <c r="D466" s="77"/>
      <c r="E466" s="77"/>
      <c r="F466" s="84"/>
      <c r="G466" s="92"/>
      <c r="H466" s="92"/>
      <c r="I466" s="92"/>
      <c r="J466" s="93"/>
      <c r="K466" s="93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</row>
    <row r="467" spans="1:27" ht="12.75" customHeight="1" x14ac:dyDescent="0.25">
      <c r="A467" s="78"/>
      <c r="B467" s="112"/>
      <c r="C467" s="77"/>
      <c r="D467" s="77"/>
      <c r="E467" s="77"/>
      <c r="F467" s="84"/>
      <c r="G467" s="92"/>
      <c r="H467" s="92"/>
      <c r="I467" s="92"/>
      <c r="J467" s="93"/>
      <c r="K467" s="93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</row>
    <row r="468" spans="1:27" ht="12.75" customHeight="1" x14ac:dyDescent="0.25">
      <c r="A468" s="78"/>
      <c r="B468" s="112"/>
      <c r="C468" s="77"/>
      <c r="D468" s="77"/>
      <c r="E468" s="77"/>
      <c r="F468" s="84"/>
      <c r="G468" s="92"/>
      <c r="H468" s="92"/>
      <c r="I468" s="92"/>
      <c r="J468" s="93"/>
      <c r="K468" s="93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</row>
    <row r="469" spans="1:27" ht="12.75" customHeight="1" x14ac:dyDescent="0.25">
      <c r="A469" s="78"/>
      <c r="B469" s="112"/>
      <c r="C469" s="77"/>
      <c r="D469" s="77"/>
      <c r="E469" s="77"/>
      <c r="F469" s="84"/>
      <c r="G469" s="92"/>
      <c r="H469" s="92"/>
      <c r="I469" s="92"/>
      <c r="J469" s="93"/>
      <c r="K469" s="93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</row>
    <row r="470" spans="1:27" ht="12.75" customHeight="1" x14ac:dyDescent="0.25">
      <c r="A470" s="78"/>
      <c r="B470" s="112"/>
      <c r="C470" s="77"/>
      <c r="D470" s="77"/>
      <c r="E470" s="77"/>
      <c r="F470" s="84"/>
      <c r="G470" s="92"/>
      <c r="H470" s="92"/>
      <c r="I470" s="92"/>
      <c r="J470" s="93"/>
      <c r="K470" s="93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</row>
    <row r="471" spans="1:27" ht="12.75" customHeight="1" x14ac:dyDescent="0.25">
      <c r="A471" s="78"/>
      <c r="B471" s="112"/>
      <c r="C471" s="77"/>
      <c r="D471" s="77"/>
      <c r="E471" s="77"/>
      <c r="F471" s="84"/>
      <c r="G471" s="92"/>
      <c r="H471" s="92"/>
      <c r="I471" s="92"/>
      <c r="J471" s="93"/>
      <c r="K471" s="93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</row>
    <row r="472" spans="1:27" ht="12.75" customHeight="1" x14ac:dyDescent="0.25">
      <c r="A472" s="78"/>
      <c r="B472" s="112"/>
      <c r="C472" s="77"/>
      <c r="D472" s="77"/>
      <c r="E472" s="77"/>
      <c r="F472" s="84"/>
      <c r="G472" s="92"/>
      <c r="H472" s="92"/>
      <c r="I472" s="92"/>
      <c r="J472" s="93"/>
      <c r="K472" s="93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</row>
    <row r="473" spans="1:27" ht="12.75" customHeight="1" x14ac:dyDescent="0.25">
      <c r="A473" s="78"/>
      <c r="B473" s="112"/>
      <c r="C473" s="77"/>
      <c r="D473" s="77"/>
      <c r="E473" s="77"/>
      <c r="F473" s="84"/>
      <c r="G473" s="92"/>
      <c r="H473" s="92"/>
      <c r="I473" s="92"/>
      <c r="J473" s="93"/>
      <c r="K473" s="93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</row>
    <row r="474" spans="1:27" ht="12.75" customHeight="1" x14ac:dyDescent="0.25">
      <c r="A474" s="78"/>
      <c r="B474" s="112"/>
      <c r="C474" s="77"/>
      <c r="D474" s="77"/>
      <c r="E474" s="77"/>
      <c r="F474" s="84"/>
      <c r="G474" s="92"/>
      <c r="H474" s="92"/>
      <c r="I474" s="92"/>
      <c r="J474" s="93"/>
      <c r="K474" s="93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</row>
    <row r="475" spans="1:27" ht="12.75" customHeight="1" x14ac:dyDescent="0.25">
      <c r="A475" s="78"/>
      <c r="B475" s="112"/>
      <c r="C475" s="77"/>
      <c r="D475" s="77"/>
      <c r="E475" s="77"/>
      <c r="F475" s="84"/>
      <c r="G475" s="92"/>
      <c r="H475" s="92"/>
      <c r="I475" s="92"/>
      <c r="J475" s="93"/>
      <c r="K475" s="93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</row>
    <row r="476" spans="1:27" ht="12.75" customHeight="1" x14ac:dyDescent="0.25">
      <c r="A476" s="78"/>
      <c r="B476" s="112"/>
      <c r="C476" s="77"/>
      <c r="D476" s="77"/>
      <c r="E476" s="77"/>
      <c r="F476" s="84"/>
      <c r="G476" s="92"/>
      <c r="H476" s="92"/>
      <c r="I476" s="92"/>
      <c r="J476" s="93"/>
      <c r="K476" s="93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</row>
    <row r="477" spans="1:27" ht="12.75" customHeight="1" x14ac:dyDescent="0.25">
      <c r="A477" s="78"/>
      <c r="B477" s="112"/>
      <c r="C477" s="77"/>
      <c r="D477" s="77"/>
      <c r="E477" s="77"/>
      <c r="F477" s="84"/>
      <c r="G477" s="92"/>
      <c r="H477" s="92"/>
      <c r="I477" s="92"/>
      <c r="J477" s="93"/>
      <c r="K477" s="93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</row>
    <row r="478" spans="1:27" ht="12.75" customHeight="1" x14ac:dyDescent="0.25">
      <c r="A478" s="78"/>
      <c r="B478" s="112"/>
      <c r="C478" s="77"/>
      <c r="D478" s="77"/>
      <c r="E478" s="77"/>
      <c r="F478" s="84"/>
      <c r="G478" s="92"/>
      <c r="H478" s="92"/>
      <c r="I478" s="92"/>
      <c r="J478" s="93"/>
      <c r="K478" s="93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</row>
    <row r="479" spans="1:27" ht="12.75" customHeight="1" x14ac:dyDescent="0.25">
      <c r="A479" s="78"/>
      <c r="B479" s="112"/>
      <c r="C479" s="77"/>
      <c r="D479" s="77"/>
      <c r="E479" s="77"/>
      <c r="F479" s="84"/>
      <c r="G479" s="92"/>
      <c r="H479" s="92"/>
      <c r="I479" s="92"/>
      <c r="J479" s="93"/>
      <c r="K479" s="93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</row>
    <row r="480" spans="1:27" ht="12.75" customHeight="1" x14ac:dyDescent="0.25">
      <c r="A480" s="78"/>
      <c r="B480" s="112"/>
      <c r="C480" s="77"/>
      <c r="D480" s="77"/>
      <c r="E480" s="77"/>
      <c r="F480" s="84"/>
      <c r="G480" s="92"/>
      <c r="H480" s="92"/>
      <c r="I480" s="92"/>
      <c r="J480" s="93"/>
      <c r="K480" s="93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</row>
    <row r="481" spans="1:27" ht="12.75" customHeight="1" x14ac:dyDescent="0.25">
      <c r="A481" s="78"/>
      <c r="B481" s="112"/>
      <c r="C481" s="77"/>
      <c r="D481" s="77"/>
      <c r="E481" s="77"/>
      <c r="F481" s="84"/>
      <c r="G481" s="92"/>
      <c r="H481" s="92"/>
      <c r="I481" s="92"/>
      <c r="J481" s="93"/>
      <c r="K481" s="93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</row>
    <row r="482" spans="1:27" ht="12.75" customHeight="1" x14ac:dyDescent="0.25">
      <c r="A482" s="78"/>
      <c r="B482" s="112"/>
      <c r="C482" s="77"/>
      <c r="D482" s="77"/>
      <c r="E482" s="77"/>
      <c r="F482" s="84"/>
      <c r="G482" s="92"/>
      <c r="H482" s="92"/>
      <c r="I482" s="92"/>
      <c r="J482" s="93"/>
      <c r="K482" s="93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</row>
    <row r="483" spans="1:27" ht="12.75" customHeight="1" x14ac:dyDescent="0.25">
      <c r="A483" s="78"/>
      <c r="B483" s="112"/>
      <c r="C483" s="77"/>
      <c r="D483" s="77"/>
      <c r="E483" s="77"/>
      <c r="F483" s="84"/>
      <c r="G483" s="92"/>
      <c r="H483" s="92"/>
      <c r="I483" s="92"/>
      <c r="J483" s="93"/>
      <c r="K483" s="93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</row>
    <row r="484" spans="1:27" ht="12.75" customHeight="1" x14ac:dyDescent="0.25">
      <c r="A484" s="78"/>
      <c r="B484" s="112"/>
      <c r="C484" s="77"/>
      <c r="D484" s="77"/>
      <c r="E484" s="77"/>
      <c r="F484" s="84"/>
      <c r="G484" s="92"/>
      <c r="H484" s="92"/>
      <c r="I484" s="92"/>
      <c r="J484" s="93"/>
      <c r="K484" s="93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</row>
    <row r="485" spans="1:27" ht="12.75" customHeight="1" x14ac:dyDescent="0.25">
      <c r="A485" s="78"/>
      <c r="B485" s="112"/>
      <c r="C485" s="77"/>
      <c r="D485" s="77"/>
      <c r="E485" s="77"/>
      <c r="F485" s="84"/>
      <c r="G485" s="92"/>
      <c r="H485" s="92"/>
      <c r="I485" s="92"/>
      <c r="J485" s="93"/>
      <c r="K485" s="93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</row>
    <row r="486" spans="1:27" ht="12.75" customHeight="1" x14ac:dyDescent="0.25">
      <c r="A486" s="78"/>
      <c r="B486" s="112"/>
      <c r="C486" s="77"/>
      <c r="D486" s="77"/>
      <c r="E486" s="77"/>
      <c r="F486" s="84"/>
      <c r="G486" s="92"/>
      <c r="H486" s="92"/>
      <c r="I486" s="92"/>
      <c r="J486" s="93"/>
      <c r="K486" s="93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</row>
    <row r="487" spans="1:27" ht="12.75" customHeight="1" x14ac:dyDescent="0.25">
      <c r="A487" s="78"/>
      <c r="B487" s="112"/>
      <c r="C487" s="77"/>
      <c r="D487" s="77"/>
      <c r="E487" s="77"/>
      <c r="F487" s="84"/>
      <c r="G487" s="92"/>
      <c r="H487" s="92"/>
      <c r="I487" s="92"/>
      <c r="J487" s="93"/>
      <c r="K487" s="93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</row>
    <row r="488" spans="1:27" ht="12.75" customHeight="1" x14ac:dyDescent="0.25">
      <c r="A488" s="78"/>
      <c r="B488" s="112"/>
      <c r="C488" s="77"/>
      <c r="D488" s="77"/>
      <c r="E488" s="77"/>
      <c r="F488" s="84"/>
      <c r="G488" s="92"/>
      <c r="H488" s="92"/>
      <c r="I488" s="92"/>
      <c r="J488" s="93"/>
      <c r="K488" s="93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</row>
    <row r="489" spans="1:27" ht="12.75" customHeight="1" x14ac:dyDescent="0.25">
      <c r="A489" s="78"/>
      <c r="B489" s="112"/>
      <c r="C489" s="77"/>
      <c r="D489" s="77"/>
      <c r="E489" s="77"/>
      <c r="F489" s="84"/>
      <c r="G489" s="92"/>
      <c r="H489" s="92"/>
      <c r="I489" s="92"/>
      <c r="J489" s="93"/>
      <c r="K489" s="93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</row>
    <row r="490" spans="1:27" ht="12.75" customHeight="1" x14ac:dyDescent="0.25">
      <c r="A490" s="78"/>
      <c r="B490" s="112"/>
      <c r="C490" s="77"/>
      <c r="D490" s="77"/>
      <c r="E490" s="77"/>
      <c r="F490" s="84"/>
      <c r="G490" s="92"/>
      <c r="H490" s="92"/>
      <c r="I490" s="92"/>
      <c r="J490" s="93"/>
      <c r="K490" s="93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</row>
    <row r="491" spans="1:27" ht="12.75" customHeight="1" x14ac:dyDescent="0.25">
      <c r="A491" s="78"/>
      <c r="B491" s="112"/>
      <c r="C491" s="77"/>
      <c r="D491" s="77"/>
      <c r="E491" s="77"/>
      <c r="F491" s="84"/>
      <c r="G491" s="92"/>
      <c r="H491" s="92"/>
      <c r="I491" s="92"/>
      <c r="J491" s="93"/>
      <c r="K491" s="93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</row>
    <row r="492" spans="1:27" ht="12.75" customHeight="1" x14ac:dyDescent="0.25">
      <c r="A492" s="78"/>
      <c r="B492" s="112"/>
      <c r="C492" s="77"/>
      <c r="D492" s="77"/>
      <c r="E492" s="77"/>
      <c r="F492" s="84"/>
      <c r="G492" s="92"/>
      <c r="H492" s="92"/>
      <c r="I492" s="92"/>
      <c r="J492" s="93"/>
      <c r="K492" s="93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</row>
    <row r="493" spans="1:27" ht="12.75" customHeight="1" x14ac:dyDescent="0.25">
      <c r="A493" s="78"/>
      <c r="B493" s="112"/>
      <c r="C493" s="77"/>
      <c r="D493" s="77"/>
      <c r="E493" s="77"/>
      <c r="F493" s="84"/>
      <c r="G493" s="92"/>
      <c r="H493" s="92"/>
      <c r="I493" s="92"/>
      <c r="J493" s="93"/>
      <c r="K493" s="93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</row>
    <row r="494" spans="1:27" ht="12.75" customHeight="1" x14ac:dyDescent="0.25">
      <c r="A494" s="78"/>
      <c r="B494" s="112"/>
      <c r="C494" s="77"/>
      <c r="D494" s="77"/>
      <c r="E494" s="77"/>
      <c r="F494" s="84"/>
      <c r="G494" s="92"/>
      <c r="H494" s="92"/>
      <c r="I494" s="92"/>
      <c r="J494" s="93"/>
      <c r="K494" s="93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</row>
    <row r="495" spans="1:27" ht="12.75" customHeight="1" x14ac:dyDescent="0.25">
      <c r="A495" s="78"/>
      <c r="B495" s="112"/>
      <c r="C495" s="77"/>
      <c r="D495" s="77"/>
      <c r="E495" s="77"/>
      <c r="F495" s="84"/>
      <c r="G495" s="92"/>
      <c r="H495" s="92"/>
      <c r="I495" s="92"/>
      <c r="J495" s="93"/>
      <c r="K495" s="93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</row>
    <row r="496" spans="1:27" ht="12.75" customHeight="1" x14ac:dyDescent="0.25">
      <c r="A496" s="78"/>
      <c r="B496" s="112"/>
      <c r="C496" s="77"/>
      <c r="D496" s="77"/>
      <c r="E496" s="77"/>
      <c r="F496" s="84"/>
      <c r="G496" s="92"/>
      <c r="H496" s="92"/>
      <c r="I496" s="92"/>
      <c r="J496" s="93"/>
      <c r="K496" s="93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</row>
    <row r="497" spans="1:27" ht="12.75" customHeight="1" x14ac:dyDescent="0.25">
      <c r="A497" s="78"/>
      <c r="B497" s="112"/>
      <c r="C497" s="77"/>
      <c r="D497" s="77"/>
      <c r="E497" s="77"/>
      <c r="F497" s="84"/>
      <c r="G497" s="92"/>
      <c r="H497" s="92"/>
      <c r="I497" s="92"/>
      <c r="J497" s="93"/>
      <c r="K497" s="93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</row>
    <row r="498" spans="1:27" ht="12.75" customHeight="1" x14ac:dyDescent="0.25">
      <c r="A498" s="78"/>
      <c r="B498" s="112"/>
      <c r="C498" s="77"/>
      <c r="D498" s="77"/>
      <c r="E498" s="77"/>
      <c r="F498" s="84"/>
      <c r="G498" s="92"/>
      <c r="H498" s="92"/>
      <c r="I498" s="92"/>
      <c r="J498" s="93"/>
      <c r="K498" s="93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</row>
    <row r="499" spans="1:27" ht="12.75" customHeight="1" x14ac:dyDescent="0.25">
      <c r="A499" s="78"/>
      <c r="B499" s="112"/>
      <c r="C499" s="77"/>
      <c r="D499" s="77"/>
      <c r="E499" s="77"/>
      <c r="F499" s="84"/>
      <c r="G499" s="92"/>
      <c r="H499" s="92"/>
      <c r="I499" s="92"/>
      <c r="J499" s="93"/>
      <c r="K499" s="93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</row>
    <row r="500" spans="1:27" ht="12.75" customHeight="1" x14ac:dyDescent="0.25">
      <c r="A500" s="78"/>
      <c r="B500" s="112"/>
      <c r="C500" s="77"/>
      <c r="D500" s="77"/>
      <c r="E500" s="77"/>
      <c r="F500" s="84"/>
      <c r="G500" s="92"/>
      <c r="H500" s="92"/>
      <c r="I500" s="92"/>
      <c r="J500" s="93"/>
      <c r="K500" s="93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</row>
    <row r="501" spans="1:27" ht="12.75" customHeight="1" x14ac:dyDescent="0.25">
      <c r="A501" s="78"/>
      <c r="B501" s="112"/>
      <c r="C501" s="77"/>
      <c r="D501" s="77"/>
      <c r="E501" s="77"/>
      <c r="F501" s="84"/>
      <c r="G501" s="92"/>
      <c r="H501" s="92"/>
      <c r="I501" s="92"/>
      <c r="J501" s="93"/>
      <c r="K501" s="93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</row>
    <row r="502" spans="1:27" ht="12.75" customHeight="1" x14ac:dyDescent="0.25">
      <c r="A502" s="78"/>
      <c r="B502" s="112"/>
      <c r="C502" s="77"/>
      <c r="D502" s="77"/>
      <c r="E502" s="77"/>
      <c r="F502" s="84"/>
      <c r="G502" s="92"/>
      <c r="H502" s="92"/>
      <c r="I502" s="92"/>
      <c r="J502" s="93"/>
      <c r="K502" s="93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</row>
    <row r="503" spans="1:27" ht="12.75" customHeight="1" x14ac:dyDescent="0.25">
      <c r="A503" s="78"/>
      <c r="B503" s="112"/>
      <c r="C503" s="77"/>
      <c r="D503" s="77"/>
      <c r="E503" s="77"/>
      <c r="F503" s="84"/>
      <c r="G503" s="92"/>
      <c r="H503" s="92"/>
      <c r="I503" s="92"/>
      <c r="J503" s="93"/>
      <c r="K503" s="93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</row>
    <row r="504" spans="1:27" ht="12.75" customHeight="1" x14ac:dyDescent="0.25">
      <c r="A504" s="78"/>
      <c r="B504" s="112"/>
      <c r="C504" s="77"/>
      <c r="D504" s="77"/>
      <c r="E504" s="77"/>
      <c r="F504" s="84"/>
      <c r="G504" s="92"/>
      <c r="H504" s="92"/>
      <c r="I504" s="92"/>
      <c r="J504" s="93"/>
      <c r="K504" s="93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</row>
    <row r="505" spans="1:27" ht="12.75" customHeight="1" x14ac:dyDescent="0.25">
      <c r="A505" s="78"/>
      <c r="B505" s="112"/>
      <c r="C505" s="77"/>
      <c r="D505" s="77"/>
      <c r="E505" s="77"/>
      <c r="F505" s="84"/>
      <c r="G505" s="92"/>
      <c r="H505" s="92"/>
      <c r="I505" s="92"/>
      <c r="J505" s="93"/>
      <c r="K505" s="93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</row>
    <row r="506" spans="1:27" ht="12.75" customHeight="1" x14ac:dyDescent="0.25">
      <c r="A506" s="78"/>
      <c r="B506" s="112"/>
      <c r="C506" s="77"/>
      <c r="D506" s="77"/>
      <c r="E506" s="77"/>
      <c r="F506" s="84"/>
      <c r="G506" s="92"/>
      <c r="H506" s="92"/>
      <c r="I506" s="92"/>
      <c r="J506" s="93"/>
      <c r="K506" s="93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</row>
    <row r="507" spans="1:27" ht="12.75" customHeight="1" x14ac:dyDescent="0.25">
      <c r="A507" s="78"/>
      <c r="B507" s="112"/>
      <c r="C507" s="77"/>
      <c r="D507" s="77"/>
      <c r="E507" s="77"/>
      <c r="F507" s="84"/>
      <c r="G507" s="92"/>
      <c r="H507" s="92"/>
      <c r="I507" s="92"/>
      <c r="J507" s="93"/>
      <c r="K507" s="93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</row>
    <row r="508" spans="1:27" ht="12.75" customHeight="1" x14ac:dyDescent="0.25">
      <c r="A508" s="78"/>
      <c r="B508" s="112"/>
      <c r="C508" s="77"/>
      <c r="D508" s="77"/>
      <c r="E508" s="77"/>
      <c r="F508" s="84"/>
      <c r="G508" s="92"/>
      <c r="H508" s="92"/>
      <c r="I508" s="92"/>
      <c r="J508" s="93"/>
      <c r="K508" s="93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</row>
    <row r="509" spans="1:27" ht="12.75" customHeight="1" x14ac:dyDescent="0.25">
      <c r="A509" s="78"/>
      <c r="B509" s="112"/>
      <c r="C509" s="77"/>
      <c r="D509" s="77"/>
      <c r="E509" s="77"/>
      <c r="F509" s="84"/>
      <c r="G509" s="92"/>
      <c r="H509" s="92"/>
      <c r="I509" s="92"/>
      <c r="J509" s="93"/>
      <c r="K509" s="93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</row>
    <row r="510" spans="1:27" ht="12.75" customHeight="1" x14ac:dyDescent="0.25">
      <c r="A510" s="78"/>
      <c r="B510" s="112"/>
      <c r="C510" s="77"/>
      <c r="D510" s="77"/>
      <c r="E510" s="77"/>
      <c r="F510" s="84"/>
      <c r="G510" s="92"/>
      <c r="H510" s="92"/>
      <c r="I510" s="92"/>
      <c r="J510" s="93"/>
      <c r="K510" s="93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</row>
    <row r="511" spans="1:27" ht="12.75" customHeight="1" x14ac:dyDescent="0.25">
      <c r="A511" s="78"/>
      <c r="B511" s="112"/>
      <c r="C511" s="77"/>
      <c r="D511" s="77"/>
      <c r="E511" s="77"/>
      <c r="F511" s="84"/>
      <c r="G511" s="92"/>
      <c r="H511" s="92"/>
      <c r="I511" s="92"/>
      <c r="J511" s="93"/>
      <c r="K511" s="93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</row>
    <row r="512" spans="1:27" ht="12.75" customHeight="1" x14ac:dyDescent="0.25">
      <c r="A512" s="78"/>
      <c r="B512" s="112"/>
      <c r="C512" s="77"/>
      <c r="D512" s="77"/>
      <c r="E512" s="77"/>
      <c r="F512" s="84"/>
      <c r="G512" s="92"/>
      <c r="H512" s="92"/>
      <c r="I512" s="92"/>
      <c r="J512" s="93"/>
      <c r="K512" s="93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</row>
    <row r="513" spans="1:27" ht="12.75" customHeight="1" x14ac:dyDescent="0.25">
      <c r="A513" s="78"/>
      <c r="B513" s="112"/>
      <c r="C513" s="77"/>
      <c r="D513" s="77"/>
      <c r="E513" s="77"/>
      <c r="F513" s="84"/>
      <c r="G513" s="92"/>
      <c r="H513" s="92"/>
      <c r="I513" s="92"/>
      <c r="J513" s="93"/>
      <c r="K513" s="93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</row>
    <row r="514" spans="1:27" ht="12.75" customHeight="1" x14ac:dyDescent="0.25">
      <c r="A514" s="78"/>
      <c r="B514" s="112"/>
      <c r="C514" s="77"/>
      <c r="D514" s="77"/>
      <c r="E514" s="77"/>
      <c r="F514" s="84"/>
      <c r="G514" s="92"/>
      <c r="H514" s="92"/>
      <c r="I514" s="92"/>
      <c r="J514" s="93"/>
      <c r="K514" s="93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</row>
    <row r="515" spans="1:27" ht="12.75" customHeight="1" x14ac:dyDescent="0.25">
      <c r="A515" s="78"/>
      <c r="B515" s="112"/>
      <c r="C515" s="77"/>
      <c r="D515" s="77"/>
      <c r="E515" s="77"/>
      <c r="F515" s="84"/>
      <c r="G515" s="92"/>
      <c r="H515" s="92"/>
      <c r="I515" s="92"/>
      <c r="J515" s="93"/>
      <c r="K515" s="93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</row>
    <row r="516" spans="1:27" ht="12.75" customHeight="1" x14ac:dyDescent="0.25">
      <c r="A516" s="78"/>
      <c r="B516" s="112"/>
      <c r="C516" s="77"/>
      <c r="D516" s="77"/>
      <c r="E516" s="77"/>
      <c r="F516" s="84"/>
      <c r="G516" s="92"/>
      <c r="H516" s="92"/>
      <c r="I516" s="92"/>
      <c r="J516" s="93"/>
      <c r="K516" s="93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</row>
    <row r="517" spans="1:27" ht="12.75" customHeight="1" x14ac:dyDescent="0.25">
      <c r="A517" s="78"/>
      <c r="B517" s="112"/>
      <c r="C517" s="77"/>
      <c r="D517" s="77"/>
      <c r="E517" s="77"/>
      <c r="F517" s="84"/>
      <c r="G517" s="92"/>
      <c r="H517" s="92"/>
      <c r="I517" s="92"/>
      <c r="J517" s="93"/>
      <c r="K517" s="93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</row>
    <row r="518" spans="1:27" ht="12.75" customHeight="1" x14ac:dyDescent="0.25">
      <c r="A518" s="78"/>
      <c r="B518" s="112"/>
      <c r="C518" s="77"/>
      <c r="D518" s="77"/>
      <c r="E518" s="77"/>
      <c r="F518" s="84"/>
      <c r="G518" s="92"/>
      <c r="H518" s="92"/>
      <c r="I518" s="92"/>
      <c r="J518" s="93"/>
      <c r="K518" s="93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</row>
    <row r="519" spans="1:27" ht="12.75" customHeight="1" x14ac:dyDescent="0.25">
      <c r="A519" s="78"/>
      <c r="B519" s="112"/>
      <c r="C519" s="77"/>
      <c r="D519" s="77"/>
      <c r="E519" s="77"/>
      <c r="F519" s="84"/>
      <c r="G519" s="92"/>
      <c r="H519" s="92"/>
      <c r="I519" s="92"/>
      <c r="J519" s="93"/>
      <c r="K519" s="93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</row>
    <row r="520" spans="1:27" ht="12.75" customHeight="1" x14ac:dyDescent="0.25">
      <c r="A520" s="78"/>
      <c r="B520" s="112"/>
      <c r="C520" s="77"/>
      <c r="D520" s="77"/>
      <c r="E520" s="77"/>
      <c r="F520" s="84"/>
      <c r="G520" s="92"/>
      <c r="H520" s="92"/>
      <c r="I520" s="92"/>
      <c r="J520" s="93"/>
      <c r="K520" s="93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</row>
    <row r="521" spans="1:27" ht="12.75" customHeight="1" x14ac:dyDescent="0.25">
      <c r="A521" s="78"/>
      <c r="B521" s="112"/>
      <c r="C521" s="77"/>
      <c r="D521" s="77"/>
      <c r="E521" s="77"/>
      <c r="F521" s="84"/>
      <c r="G521" s="92"/>
      <c r="H521" s="92"/>
      <c r="I521" s="92"/>
      <c r="J521" s="93"/>
      <c r="K521" s="93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</row>
    <row r="522" spans="1:27" ht="12.75" customHeight="1" x14ac:dyDescent="0.25">
      <c r="A522" s="78"/>
      <c r="B522" s="112"/>
      <c r="C522" s="77"/>
      <c r="D522" s="77"/>
      <c r="E522" s="77"/>
      <c r="F522" s="84"/>
      <c r="G522" s="92"/>
      <c r="H522" s="92"/>
      <c r="I522" s="92"/>
      <c r="J522" s="93"/>
      <c r="K522" s="93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</row>
    <row r="523" spans="1:27" ht="12.75" customHeight="1" x14ac:dyDescent="0.25">
      <c r="A523" s="78"/>
      <c r="B523" s="112"/>
      <c r="C523" s="77"/>
      <c r="D523" s="77"/>
      <c r="E523" s="77"/>
      <c r="F523" s="84"/>
      <c r="G523" s="92"/>
      <c r="H523" s="92"/>
      <c r="I523" s="92"/>
      <c r="J523" s="93"/>
      <c r="K523" s="93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</row>
    <row r="524" spans="1:27" ht="12.75" customHeight="1" x14ac:dyDescent="0.25">
      <c r="A524" s="78"/>
      <c r="B524" s="112"/>
      <c r="C524" s="77"/>
      <c r="D524" s="77"/>
      <c r="E524" s="77"/>
      <c r="F524" s="84"/>
      <c r="G524" s="92"/>
      <c r="H524" s="92"/>
      <c r="I524" s="92"/>
      <c r="J524" s="93"/>
      <c r="K524" s="93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</row>
    <row r="525" spans="1:27" ht="12.75" customHeight="1" x14ac:dyDescent="0.25">
      <c r="A525" s="78"/>
      <c r="B525" s="112"/>
      <c r="C525" s="77"/>
      <c r="D525" s="77"/>
      <c r="E525" s="77"/>
      <c r="F525" s="84"/>
      <c r="G525" s="92"/>
      <c r="H525" s="92"/>
      <c r="I525" s="92"/>
      <c r="J525" s="93"/>
      <c r="K525" s="93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</row>
    <row r="526" spans="1:27" ht="12.75" customHeight="1" x14ac:dyDescent="0.25">
      <c r="A526" s="78"/>
      <c r="B526" s="112"/>
      <c r="C526" s="77"/>
      <c r="D526" s="77"/>
      <c r="E526" s="77"/>
      <c r="F526" s="84"/>
      <c r="G526" s="92"/>
      <c r="H526" s="92"/>
      <c r="I526" s="92"/>
      <c r="J526" s="93"/>
      <c r="K526" s="93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</row>
    <row r="527" spans="1:27" ht="12.75" customHeight="1" x14ac:dyDescent="0.25">
      <c r="A527" s="78"/>
      <c r="B527" s="112"/>
      <c r="C527" s="77"/>
      <c r="D527" s="77"/>
      <c r="E527" s="77"/>
      <c r="F527" s="84"/>
      <c r="G527" s="92"/>
      <c r="H527" s="92"/>
      <c r="I527" s="92"/>
      <c r="J527" s="93"/>
      <c r="K527" s="93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</row>
    <row r="528" spans="1:27" ht="12.75" customHeight="1" x14ac:dyDescent="0.25">
      <c r="A528" s="78"/>
      <c r="B528" s="112"/>
      <c r="C528" s="77"/>
      <c r="D528" s="77"/>
      <c r="E528" s="77"/>
      <c r="F528" s="84"/>
      <c r="G528" s="92"/>
      <c r="H528" s="92"/>
      <c r="I528" s="92"/>
      <c r="J528" s="93"/>
      <c r="K528" s="93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</row>
    <row r="529" spans="1:27" ht="12.75" customHeight="1" x14ac:dyDescent="0.25">
      <c r="A529" s="78"/>
      <c r="B529" s="112"/>
      <c r="C529" s="77"/>
      <c r="D529" s="77"/>
      <c r="E529" s="77"/>
      <c r="F529" s="84"/>
      <c r="G529" s="92"/>
      <c r="H529" s="92"/>
      <c r="I529" s="92"/>
      <c r="J529" s="93"/>
      <c r="K529" s="93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</row>
    <row r="530" spans="1:27" ht="12.75" customHeight="1" x14ac:dyDescent="0.25">
      <c r="A530" s="78"/>
      <c r="B530" s="112"/>
      <c r="C530" s="77"/>
      <c r="D530" s="77"/>
      <c r="E530" s="77"/>
      <c r="F530" s="84"/>
      <c r="G530" s="92"/>
      <c r="H530" s="92"/>
      <c r="I530" s="92"/>
      <c r="J530" s="93"/>
      <c r="K530" s="93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</row>
    <row r="531" spans="1:27" ht="12.75" customHeight="1" x14ac:dyDescent="0.25">
      <c r="A531" s="78"/>
      <c r="B531" s="112"/>
      <c r="C531" s="77"/>
      <c r="D531" s="77"/>
      <c r="E531" s="77"/>
      <c r="F531" s="84"/>
      <c r="G531" s="92"/>
      <c r="H531" s="92"/>
      <c r="I531" s="92"/>
      <c r="J531" s="93"/>
      <c r="K531" s="93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</row>
    <row r="532" spans="1:27" ht="12.75" customHeight="1" x14ac:dyDescent="0.25">
      <c r="A532" s="78"/>
      <c r="B532" s="112"/>
      <c r="C532" s="77"/>
      <c r="D532" s="77"/>
      <c r="E532" s="77"/>
      <c r="F532" s="84"/>
      <c r="G532" s="92"/>
      <c r="H532" s="92"/>
      <c r="I532" s="92"/>
      <c r="J532" s="93"/>
      <c r="K532" s="93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</row>
    <row r="533" spans="1:27" ht="12.75" customHeight="1" x14ac:dyDescent="0.25">
      <c r="A533" s="78"/>
      <c r="B533" s="112"/>
      <c r="C533" s="77"/>
      <c r="D533" s="77"/>
      <c r="E533" s="77"/>
      <c r="F533" s="84"/>
      <c r="G533" s="92"/>
      <c r="H533" s="92"/>
      <c r="I533" s="92"/>
      <c r="J533" s="93"/>
      <c r="K533" s="93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</row>
    <row r="534" spans="1:27" ht="12.75" customHeight="1" x14ac:dyDescent="0.25">
      <c r="A534" s="78"/>
      <c r="B534" s="112"/>
      <c r="C534" s="77"/>
      <c r="D534" s="77"/>
      <c r="E534" s="77"/>
      <c r="F534" s="84"/>
      <c r="G534" s="92"/>
      <c r="H534" s="92"/>
      <c r="I534" s="92"/>
      <c r="J534" s="93"/>
      <c r="K534" s="93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</row>
    <row r="535" spans="1:27" ht="12.75" customHeight="1" x14ac:dyDescent="0.25">
      <c r="A535" s="78"/>
      <c r="B535" s="112"/>
      <c r="C535" s="77"/>
      <c r="D535" s="77"/>
      <c r="E535" s="77"/>
      <c r="F535" s="84"/>
      <c r="G535" s="92"/>
      <c r="H535" s="92"/>
      <c r="I535" s="92"/>
      <c r="J535" s="93"/>
      <c r="K535" s="93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</row>
    <row r="536" spans="1:27" ht="12.75" customHeight="1" x14ac:dyDescent="0.25">
      <c r="A536" s="78"/>
      <c r="B536" s="112"/>
      <c r="C536" s="77"/>
      <c r="D536" s="77"/>
      <c r="E536" s="77"/>
      <c r="F536" s="84"/>
      <c r="G536" s="92"/>
      <c r="H536" s="92"/>
      <c r="I536" s="92"/>
      <c r="J536" s="93"/>
      <c r="K536" s="93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</row>
    <row r="537" spans="1:27" ht="12.75" customHeight="1" x14ac:dyDescent="0.25">
      <c r="A537" s="78"/>
      <c r="B537" s="112"/>
      <c r="C537" s="77"/>
      <c r="D537" s="77"/>
      <c r="E537" s="77"/>
      <c r="F537" s="84"/>
      <c r="G537" s="92"/>
      <c r="H537" s="92"/>
      <c r="I537" s="92"/>
      <c r="J537" s="93"/>
      <c r="K537" s="93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</row>
    <row r="538" spans="1:27" ht="12.75" customHeight="1" x14ac:dyDescent="0.25">
      <c r="A538" s="78"/>
      <c r="B538" s="112"/>
      <c r="C538" s="77"/>
      <c r="D538" s="77"/>
      <c r="E538" s="77"/>
      <c r="F538" s="84"/>
      <c r="G538" s="92"/>
      <c r="H538" s="92"/>
      <c r="I538" s="92"/>
      <c r="J538" s="93"/>
      <c r="K538" s="93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</row>
    <row r="539" spans="1:27" ht="12.75" customHeight="1" x14ac:dyDescent="0.25">
      <c r="A539" s="78"/>
      <c r="B539" s="112"/>
      <c r="C539" s="77"/>
      <c r="D539" s="77"/>
      <c r="E539" s="77"/>
      <c r="F539" s="84"/>
      <c r="G539" s="92"/>
      <c r="H539" s="92"/>
      <c r="I539" s="92"/>
      <c r="J539" s="93"/>
      <c r="K539" s="93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</row>
    <row r="540" spans="1:27" ht="12.75" customHeight="1" x14ac:dyDescent="0.25">
      <c r="A540" s="78"/>
      <c r="B540" s="112"/>
      <c r="C540" s="77"/>
      <c r="D540" s="77"/>
      <c r="E540" s="77"/>
      <c r="F540" s="84"/>
      <c r="G540" s="92"/>
      <c r="H540" s="92"/>
      <c r="I540" s="92"/>
      <c r="J540" s="93"/>
      <c r="K540" s="93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</row>
    <row r="541" spans="1:27" ht="12.75" customHeight="1" x14ac:dyDescent="0.25">
      <c r="A541" s="78"/>
      <c r="B541" s="112"/>
      <c r="C541" s="77"/>
      <c r="D541" s="77"/>
      <c r="E541" s="77"/>
      <c r="F541" s="84"/>
      <c r="G541" s="92"/>
      <c r="H541" s="92"/>
      <c r="I541" s="92"/>
      <c r="J541" s="93"/>
      <c r="K541" s="93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</row>
    <row r="542" spans="1:27" ht="12.75" customHeight="1" x14ac:dyDescent="0.25">
      <c r="A542" s="78"/>
      <c r="B542" s="112"/>
      <c r="C542" s="77"/>
      <c r="D542" s="77"/>
      <c r="E542" s="77"/>
      <c r="F542" s="84"/>
      <c r="G542" s="92"/>
      <c r="H542" s="92"/>
      <c r="I542" s="92"/>
      <c r="J542" s="93"/>
      <c r="K542" s="93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</row>
    <row r="543" spans="1:27" ht="12.75" customHeight="1" x14ac:dyDescent="0.25">
      <c r="A543" s="78"/>
      <c r="B543" s="112"/>
      <c r="C543" s="77"/>
      <c r="D543" s="77"/>
      <c r="E543" s="77"/>
      <c r="F543" s="84"/>
      <c r="G543" s="92"/>
      <c r="H543" s="92"/>
      <c r="I543" s="92"/>
      <c r="J543" s="93"/>
      <c r="K543" s="93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</row>
    <row r="544" spans="1:27" ht="12.75" customHeight="1" x14ac:dyDescent="0.25">
      <c r="A544" s="78"/>
      <c r="B544" s="112"/>
      <c r="C544" s="77"/>
      <c r="D544" s="77"/>
      <c r="E544" s="77"/>
      <c r="F544" s="84"/>
      <c r="G544" s="92"/>
      <c r="H544" s="92"/>
      <c r="I544" s="92"/>
      <c r="J544" s="93"/>
      <c r="K544" s="93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</row>
    <row r="545" spans="1:27" ht="12.75" customHeight="1" x14ac:dyDescent="0.25">
      <c r="A545" s="78"/>
      <c r="B545" s="112"/>
      <c r="C545" s="77"/>
      <c r="D545" s="77"/>
      <c r="E545" s="77"/>
      <c r="F545" s="84"/>
      <c r="G545" s="92"/>
      <c r="H545" s="92"/>
      <c r="I545" s="92"/>
      <c r="J545" s="93"/>
      <c r="K545" s="93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</row>
    <row r="546" spans="1:27" ht="12.75" customHeight="1" x14ac:dyDescent="0.25">
      <c r="A546" s="78"/>
      <c r="B546" s="112"/>
      <c r="C546" s="77"/>
      <c r="D546" s="77"/>
      <c r="E546" s="77"/>
      <c r="F546" s="84"/>
      <c r="G546" s="92"/>
      <c r="H546" s="92"/>
      <c r="I546" s="92"/>
      <c r="J546" s="93"/>
      <c r="K546" s="93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</row>
    <row r="547" spans="1:27" ht="12.75" customHeight="1" x14ac:dyDescent="0.25">
      <c r="A547" s="78"/>
      <c r="B547" s="112"/>
      <c r="C547" s="77"/>
      <c r="D547" s="77"/>
      <c r="E547" s="77"/>
      <c r="F547" s="84"/>
      <c r="G547" s="92"/>
      <c r="H547" s="92"/>
      <c r="I547" s="92"/>
      <c r="J547" s="93"/>
      <c r="K547" s="93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</row>
    <row r="548" spans="1:27" ht="12.75" customHeight="1" x14ac:dyDescent="0.25">
      <c r="A548" s="78"/>
      <c r="B548" s="112"/>
      <c r="C548" s="77"/>
      <c r="D548" s="77"/>
      <c r="E548" s="77"/>
      <c r="F548" s="84"/>
      <c r="G548" s="92"/>
      <c r="H548" s="92"/>
      <c r="I548" s="92"/>
      <c r="J548" s="93"/>
      <c r="K548" s="93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</row>
    <row r="549" spans="1:27" ht="12.75" customHeight="1" x14ac:dyDescent="0.25">
      <c r="A549" s="78"/>
      <c r="B549" s="112"/>
      <c r="C549" s="77"/>
      <c r="D549" s="77"/>
      <c r="E549" s="77"/>
      <c r="F549" s="84"/>
      <c r="G549" s="92"/>
      <c r="H549" s="92"/>
      <c r="I549" s="92"/>
      <c r="J549" s="93"/>
      <c r="K549" s="93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</row>
    <row r="550" spans="1:27" ht="12.75" customHeight="1" x14ac:dyDescent="0.25">
      <c r="A550" s="78"/>
      <c r="B550" s="112"/>
      <c r="C550" s="77"/>
      <c r="D550" s="77"/>
      <c r="E550" s="77"/>
      <c r="F550" s="84"/>
      <c r="G550" s="92"/>
      <c r="H550" s="92"/>
      <c r="I550" s="92"/>
      <c r="J550" s="93"/>
      <c r="K550" s="93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</row>
    <row r="551" spans="1:27" ht="12.75" customHeight="1" x14ac:dyDescent="0.25">
      <c r="A551" s="78"/>
      <c r="B551" s="112"/>
      <c r="C551" s="77"/>
      <c r="D551" s="77"/>
      <c r="E551" s="77"/>
      <c r="F551" s="84"/>
      <c r="G551" s="92"/>
      <c r="H551" s="92"/>
      <c r="I551" s="92"/>
      <c r="J551" s="93"/>
      <c r="K551" s="93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</row>
    <row r="552" spans="1:27" ht="12.75" customHeight="1" x14ac:dyDescent="0.25">
      <c r="A552" s="78"/>
      <c r="B552" s="112"/>
      <c r="C552" s="77"/>
      <c r="D552" s="77"/>
      <c r="E552" s="77"/>
      <c r="F552" s="84"/>
      <c r="G552" s="92"/>
      <c r="H552" s="92"/>
      <c r="I552" s="92"/>
      <c r="J552" s="93"/>
      <c r="K552" s="93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</row>
    <row r="553" spans="1:27" ht="12.75" customHeight="1" x14ac:dyDescent="0.25">
      <c r="A553" s="78"/>
      <c r="B553" s="112"/>
      <c r="C553" s="77"/>
      <c r="D553" s="77"/>
      <c r="E553" s="77"/>
      <c r="F553" s="84"/>
      <c r="G553" s="92"/>
      <c r="H553" s="92"/>
      <c r="I553" s="92"/>
      <c r="J553" s="93"/>
      <c r="K553" s="93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</row>
    <row r="554" spans="1:27" ht="12.75" customHeight="1" x14ac:dyDescent="0.25">
      <c r="A554" s="78"/>
      <c r="B554" s="112"/>
      <c r="C554" s="77"/>
      <c r="D554" s="77"/>
      <c r="E554" s="77"/>
      <c r="F554" s="84"/>
      <c r="G554" s="92"/>
      <c r="H554" s="92"/>
      <c r="I554" s="92"/>
      <c r="J554" s="93"/>
      <c r="K554" s="93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</row>
    <row r="555" spans="1:27" ht="12.75" customHeight="1" x14ac:dyDescent="0.25">
      <c r="A555" s="78"/>
      <c r="B555" s="112"/>
      <c r="C555" s="77"/>
      <c r="D555" s="77"/>
      <c r="E555" s="77"/>
      <c r="F555" s="84"/>
      <c r="G555" s="92"/>
      <c r="H555" s="92"/>
      <c r="I555" s="92"/>
      <c r="J555" s="93"/>
      <c r="K555" s="93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</row>
    <row r="556" spans="1:27" ht="12.75" customHeight="1" x14ac:dyDescent="0.25">
      <c r="A556" s="78"/>
      <c r="B556" s="112"/>
      <c r="C556" s="77"/>
      <c r="D556" s="77"/>
      <c r="E556" s="77"/>
      <c r="F556" s="84"/>
      <c r="G556" s="92"/>
      <c r="H556" s="92"/>
      <c r="I556" s="92"/>
      <c r="J556" s="93"/>
      <c r="K556" s="93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</row>
    <row r="557" spans="1:27" ht="12.75" customHeight="1" x14ac:dyDescent="0.25">
      <c r="A557" s="78"/>
      <c r="B557" s="112"/>
      <c r="C557" s="77"/>
      <c r="D557" s="77"/>
      <c r="E557" s="77"/>
      <c r="F557" s="84"/>
      <c r="G557" s="92"/>
      <c r="H557" s="92"/>
      <c r="I557" s="92"/>
      <c r="J557" s="93"/>
      <c r="K557" s="93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</row>
    <row r="558" spans="1:27" ht="12.75" customHeight="1" x14ac:dyDescent="0.25">
      <c r="A558" s="78"/>
      <c r="B558" s="112"/>
      <c r="C558" s="77"/>
      <c r="D558" s="77"/>
      <c r="E558" s="77"/>
      <c r="F558" s="84"/>
      <c r="G558" s="92"/>
      <c r="H558" s="92"/>
      <c r="I558" s="92"/>
      <c r="J558" s="93"/>
      <c r="K558" s="93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</row>
    <row r="559" spans="1:27" ht="12.75" customHeight="1" x14ac:dyDescent="0.25">
      <c r="A559" s="78"/>
      <c r="B559" s="112"/>
      <c r="C559" s="77"/>
      <c r="D559" s="77"/>
      <c r="E559" s="77"/>
      <c r="F559" s="84"/>
      <c r="G559" s="92"/>
      <c r="H559" s="92"/>
      <c r="I559" s="92"/>
      <c r="J559" s="93"/>
      <c r="K559" s="93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</row>
    <row r="560" spans="1:27" ht="12.75" customHeight="1" x14ac:dyDescent="0.25">
      <c r="A560" s="78"/>
      <c r="B560" s="112"/>
      <c r="C560" s="77"/>
      <c r="D560" s="77"/>
      <c r="E560" s="77"/>
      <c r="F560" s="84"/>
      <c r="G560" s="92"/>
      <c r="H560" s="92"/>
      <c r="I560" s="92"/>
      <c r="J560" s="93"/>
      <c r="K560" s="93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</row>
    <row r="561" spans="1:27" ht="12.75" customHeight="1" x14ac:dyDescent="0.25">
      <c r="A561" s="78"/>
      <c r="B561" s="112"/>
      <c r="C561" s="77"/>
      <c r="D561" s="77"/>
      <c r="E561" s="77"/>
      <c r="F561" s="84"/>
      <c r="G561" s="92"/>
      <c r="H561" s="92"/>
      <c r="I561" s="92"/>
      <c r="J561" s="93"/>
      <c r="K561" s="93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</row>
    <row r="562" spans="1:27" ht="12.75" customHeight="1" x14ac:dyDescent="0.25">
      <c r="A562" s="78"/>
      <c r="B562" s="112"/>
      <c r="C562" s="77"/>
      <c r="D562" s="77"/>
      <c r="E562" s="77"/>
      <c r="F562" s="84"/>
      <c r="G562" s="92"/>
      <c r="H562" s="92"/>
      <c r="I562" s="92"/>
      <c r="J562" s="93"/>
      <c r="K562" s="93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</row>
    <row r="563" spans="1:27" ht="12.75" customHeight="1" x14ac:dyDescent="0.25">
      <c r="A563" s="78"/>
      <c r="B563" s="112"/>
      <c r="C563" s="77"/>
      <c r="D563" s="77"/>
      <c r="E563" s="77"/>
      <c r="F563" s="84"/>
      <c r="G563" s="92"/>
      <c r="H563" s="92"/>
      <c r="I563" s="92"/>
      <c r="J563" s="93"/>
      <c r="K563" s="93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</row>
    <row r="564" spans="1:27" ht="12.75" customHeight="1" x14ac:dyDescent="0.25">
      <c r="A564" s="78"/>
      <c r="B564" s="112"/>
      <c r="C564" s="77"/>
      <c r="D564" s="77"/>
      <c r="E564" s="77"/>
      <c r="F564" s="84"/>
      <c r="G564" s="92"/>
      <c r="H564" s="92"/>
      <c r="I564" s="92"/>
      <c r="J564" s="93"/>
      <c r="K564" s="93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</row>
    <row r="565" spans="1:27" ht="12.75" customHeight="1" x14ac:dyDescent="0.25">
      <c r="A565" s="78"/>
      <c r="B565" s="112"/>
      <c r="C565" s="77"/>
      <c r="D565" s="77"/>
      <c r="E565" s="77"/>
      <c r="F565" s="84"/>
      <c r="G565" s="92"/>
      <c r="H565" s="92"/>
      <c r="I565" s="92"/>
      <c r="J565" s="93"/>
      <c r="K565" s="93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</row>
    <row r="566" spans="1:27" ht="12.75" customHeight="1" x14ac:dyDescent="0.25">
      <c r="A566" s="78"/>
      <c r="B566" s="112"/>
      <c r="C566" s="77"/>
      <c r="D566" s="77"/>
      <c r="E566" s="77"/>
      <c r="F566" s="84"/>
      <c r="G566" s="92"/>
      <c r="H566" s="92"/>
      <c r="I566" s="92"/>
      <c r="J566" s="93"/>
      <c r="K566" s="93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</row>
    <row r="567" spans="1:27" ht="12.75" customHeight="1" x14ac:dyDescent="0.25">
      <c r="A567" s="78"/>
      <c r="B567" s="112"/>
      <c r="C567" s="77"/>
      <c r="D567" s="77"/>
      <c r="E567" s="77"/>
      <c r="F567" s="84"/>
      <c r="G567" s="92"/>
      <c r="H567" s="92"/>
      <c r="I567" s="92"/>
      <c r="J567" s="93"/>
      <c r="K567" s="93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</row>
    <row r="568" spans="1:27" ht="12.75" customHeight="1" x14ac:dyDescent="0.25">
      <c r="A568" s="78"/>
      <c r="B568" s="112"/>
      <c r="C568" s="77"/>
      <c r="D568" s="77"/>
      <c r="E568" s="77"/>
      <c r="F568" s="84"/>
      <c r="G568" s="92"/>
      <c r="H568" s="92"/>
      <c r="I568" s="92"/>
      <c r="J568" s="93"/>
      <c r="K568" s="93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</row>
    <row r="569" spans="1:27" ht="12.75" customHeight="1" x14ac:dyDescent="0.25">
      <c r="A569" s="78"/>
      <c r="B569" s="112"/>
      <c r="C569" s="77"/>
      <c r="D569" s="77"/>
      <c r="E569" s="77"/>
      <c r="F569" s="84"/>
      <c r="G569" s="92"/>
      <c r="H569" s="92"/>
      <c r="I569" s="92"/>
      <c r="J569" s="93"/>
      <c r="K569" s="93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</row>
    <row r="570" spans="1:27" ht="12.75" customHeight="1" x14ac:dyDescent="0.25">
      <c r="A570" s="78"/>
      <c r="B570" s="112"/>
      <c r="C570" s="77"/>
      <c r="D570" s="77"/>
      <c r="E570" s="77"/>
      <c r="F570" s="84"/>
      <c r="G570" s="92"/>
      <c r="H570" s="92"/>
      <c r="I570" s="92"/>
      <c r="J570" s="93"/>
      <c r="K570" s="93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</row>
    <row r="571" spans="1:27" ht="12.75" customHeight="1" x14ac:dyDescent="0.25">
      <c r="A571" s="78"/>
      <c r="B571" s="112"/>
      <c r="C571" s="77"/>
      <c r="D571" s="77"/>
      <c r="E571" s="77"/>
      <c r="F571" s="84"/>
      <c r="G571" s="92"/>
      <c r="H571" s="92"/>
      <c r="I571" s="92"/>
      <c r="J571" s="93"/>
      <c r="K571" s="93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</row>
    <row r="572" spans="1:27" ht="12.75" customHeight="1" x14ac:dyDescent="0.25">
      <c r="A572" s="78"/>
      <c r="B572" s="112"/>
      <c r="C572" s="77"/>
      <c r="D572" s="77"/>
      <c r="E572" s="77"/>
      <c r="F572" s="84"/>
      <c r="G572" s="92"/>
      <c r="H572" s="92"/>
      <c r="I572" s="92"/>
      <c r="J572" s="93"/>
      <c r="K572" s="93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</row>
    <row r="573" spans="1:27" ht="12.75" customHeight="1" x14ac:dyDescent="0.25">
      <c r="A573" s="78"/>
      <c r="B573" s="112"/>
      <c r="C573" s="77"/>
      <c r="D573" s="77"/>
      <c r="E573" s="77"/>
      <c r="F573" s="84"/>
      <c r="G573" s="92"/>
      <c r="H573" s="92"/>
      <c r="I573" s="92"/>
      <c r="J573" s="93"/>
      <c r="K573" s="93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</row>
    <row r="574" spans="1:27" ht="12.75" customHeight="1" x14ac:dyDescent="0.25">
      <c r="A574" s="78"/>
      <c r="B574" s="112"/>
      <c r="C574" s="77"/>
      <c r="D574" s="77"/>
      <c r="E574" s="77"/>
      <c r="F574" s="84"/>
      <c r="G574" s="92"/>
      <c r="H574" s="92"/>
      <c r="I574" s="92"/>
      <c r="J574" s="93"/>
      <c r="K574" s="93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</row>
    <row r="575" spans="1:27" ht="12.75" customHeight="1" x14ac:dyDescent="0.25">
      <c r="A575" s="78"/>
      <c r="B575" s="112"/>
      <c r="C575" s="77"/>
      <c r="D575" s="77"/>
      <c r="E575" s="77"/>
      <c r="F575" s="84"/>
      <c r="G575" s="92"/>
      <c r="H575" s="92"/>
      <c r="I575" s="92"/>
      <c r="J575" s="93"/>
      <c r="K575" s="93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</row>
    <row r="576" spans="1:27" ht="12.75" customHeight="1" x14ac:dyDescent="0.25">
      <c r="A576" s="78"/>
      <c r="B576" s="112"/>
      <c r="C576" s="77"/>
      <c r="D576" s="77"/>
      <c r="E576" s="77"/>
      <c r="F576" s="84"/>
      <c r="G576" s="92"/>
      <c r="H576" s="92"/>
      <c r="I576" s="92"/>
      <c r="J576" s="93"/>
      <c r="K576" s="93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</row>
    <row r="577" spans="1:27" ht="12.75" customHeight="1" x14ac:dyDescent="0.25">
      <c r="A577" s="78"/>
      <c r="B577" s="112"/>
      <c r="C577" s="77"/>
      <c r="D577" s="77"/>
      <c r="E577" s="77"/>
      <c r="F577" s="84"/>
      <c r="G577" s="92"/>
      <c r="H577" s="92"/>
      <c r="I577" s="92"/>
      <c r="J577" s="93"/>
      <c r="K577" s="93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</row>
    <row r="578" spans="1:27" ht="12.75" customHeight="1" x14ac:dyDescent="0.25">
      <c r="A578" s="78"/>
      <c r="B578" s="112"/>
      <c r="C578" s="77"/>
      <c r="D578" s="77"/>
      <c r="E578" s="77"/>
      <c r="F578" s="84"/>
      <c r="G578" s="92"/>
      <c r="H578" s="92"/>
      <c r="I578" s="92"/>
      <c r="J578" s="93"/>
      <c r="K578" s="93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</row>
    <row r="579" spans="1:27" ht="12.75" customHeight="1" x14ac:dyDescent="0.25">
      <c r="A579" s="78"/>
      <c r="B579" s="112"/>
      <c r="C579" s="77"/>
      <c r="D579" s="77"/>
      <c r="E579" s="77"/>
      <c r="F579" s="84"/>
      <c r="G579" s="92"/>
      <c r="H579" s="92"/>
      <c r="I579" s="92"/>
      <c r="J579" s="93"/>
      <c r="K579" s="93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</row>
    <row r="580" spans="1:27" ht="12.75" customHeight="1" x14ac:dyDescent="0.25">
      <c r="A580" s="78"/>
      <c r="B580" s="112"/>
      <c r="C580" s="77"/>
      <c r="D580" s="77"/>
      <c r="E580" s="77"/>
      <c r="F580" s="84"/>
      <c r="G580" s="92"/>
      <c r="H580" s="92"/>
      <c r="I580" s="92"/>
      <c r="J580" s="93"/>
      <c r="K580" s="93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</row>
    <row r="581" spans="1:27" ht="12.75" customHeight="1" x14ac:dyDescent="0.25">
      <c r="A581" s="78"/>
      <c r="B581" s="112"/>
      <c r="C581" s="77"/>
      <c r="D581" s="77"/>
      <c r="E581" s="77"/>
      <c r="F581" s="84"/>
      <c r="G581" s="92"/>
      <c r="H581" s="92"/>
      <c r="I581" s="92"/>
      <c r="J581" s="93"/>
      <c r="K581" s="93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</row>
    <row r="582" spans="1:27" ht="12.75" customHeight="1" x14ac:dyDescent="0.25">
      <c r="A582" s="78"/>
      <c r="B582" s="112"/>
      <c r="C582" s="77"/>
      <c r="D582" s="77"/>
      <c r="E582" s="77"/>
      <c r="F582" s="84"/>
      <c r="G582" s="92"/>
      <c r="H582" s="92"/>
      <c r="I582" s="92"/>
      <c r="J582" s="93"/>
      <c r="K582" s="93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</row>
    <row r="583" spans="1:27" ht="12.75" customHeight="1" x14ac:dyDescent="0.25">
      <c r="A583" s="78"/>
      <c r="B583" s="112"/>
      <c r="C583" s="77"/>
      <c r="D583" s="77"/>
      <c r="E583" s="77"/>
      <c r="F583" s="84"/>
      <c r="G583" s="92"/>
      <c r="H583" s="92"/>
      <c r="I583" s="92"/>
      <c r="J583" s="93"/>
      <c r="K583" s="93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</row>
    <row r="584" spans="1:27" ht="12.75" customHeight="1" x14ac:dyDescent="0.25">
      <c r="A584" s="78"/>
      <c r="B584" s="112"/>
      <c r="C584" s="77"/>
      <c r="D584" s="77"/>
      <c r="E584" s="77"/>
      <c r="F584" s="84"/>
      <c r="G584" s="92"/>
      <c r="H584" s="92"/>
      <c r="I584" s="92"/>
      <c r="J584" s="93"/>
      <c r="K584" s="93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</row>
    <row r="585" spans="1:27" ht="12.75" customHeight="1" x14ac:dyDescent="0.25">
      <c r="A585" s="78"/>
      <c r="B585" s="112"/>
      <c r="C585" s="77"/>
      <c r="D585" s="77"/>
      <c r="E585" s="77"/>
      <c r="F585" s="84"/>
      <c r="G585" s="92"/>
      <c r="H585" s="92"/>
      <c r="I585" s="92"/>
      <c r="J585" s="93"/>
      <c r="K585" s="93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</row>
    <row r="586" spans="1:27" ht="12.75" customHeight="1" x14ac:dyDescent="0.25">
      <c r="A586" s="78"/>
      <c r="B586" s="112"/>
      <c r="C586" s="77"/>
      <c r="D586" s="77"/>
      <c r="E586" s="77"/>
      <c r="F586" s="84"/>
      <c r="G586" s="92"/>
      <c r="H586" s="92"/>
      <c r="I586" s="92"/>
      <c r="J586" s="93"/>
      <c r="K586" s="93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</row>
    <row r="587" spans="1:27" ht="12.75" customHeight="1" x14ac:dyDescent="0.25">
      <c r="A587" s="78"/>
      <c r="B587" s="112"/>
      <c r="C587" s="77"/>
      <c r="D587" s="77"/>
      <c r="E587" s="77"/>
      <c r="F587" s="84"/>
      <c r="G587" s="92"/>
      <c r="H587" s="92"/>
      <c r="I587" s="92"/>
      <c r="J587" s="93"/>
      <c r="K587" s="93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</row>
    <row r="588" spans="1:27" ht="12.75" customHeight="1" x14ac:dyDescent="0.25">
      <c r="A588" s="78"/>
      <c r="B588" s="112"/>
      <c r="C588" s="77"/>
      <c r="D588" s="77"/>
      <c r="E588" s="77"/>
      <c r="F588" s="84"/>
      <c r="G588" s="92"/>
      <c r="H588" s="92"/>
      <c r="I588" s="92"/>
      <c r="J588" s="93"/>
      <c r="K588" s="93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</row>
    <row r="589" spans="1:27" ht="12.75" customHeight="1" x14ac:dyDescent="0.25">
      <c r="A589" s="78"/>
      <c r="B589" s="112"/>
      <c r="C589" s="77"/>
      <c r="D589" s="77"/>
      <c r="E589" s="77"/>
      <c r="F589" s="84"/>
      <c r="G589" s="92"/>
      <c r="H589" s="92"/>
      <c r="I589" s="92"/>
      <c r="J589" s="93"/>
      <c r="K589" s="93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</row>
    <row r="590" spans="1:27" ht="12.75" customHeight="1" x14ac:dyDescent="0.25">
      <c r="A590" s="78"/>
      <c r="B590" s="112"/>
      <c r="C590" s="77"/>
      <c r="D590" s="77"/>
      <c r="E590" s="77"/>
      <c r="F590" s="84"/>
      <c r="G590" s="92"/>
      <c r="H590" s="92"/>
      <c r="I590" s="92"/>
      <c r="J590" s="93"/>
      <c r="K590" s="93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</row>
    <row r="591" spans="1:27" ht="12.75" customHeight="1" x14ac:dyDescent="0.25">
      <c r="A591" s="78"/>
      <c r="B591" s="112"/>
      <c r="C591" s="77"/>
      <c r="D591" s="77"/>
      <c r="E591" s="77"/>
      <c r="F591" s="84"/>
      <c r="G591" s="92"/>
      <c r="H591" s="92"/>
      <c r="I591" s="92"/>
      <c r="J591" s="93"/>
      <c r="K591" s="93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</row>
    <row r="592" spans="1:27" ht="12.75" customHeight="1" x14ac:dyDescent="0.25">
      <c r="A592" s="78"/>
      <c r="B592" s="112"/>
      <c r="C592" s="77"/>
      <c r="D592" s="77"/>
      <c r="E592" s="77"/>
      <c r="F592" s="84"/>
      <c r="G592" s="92"/>
      <c r="H592" s="92"/>
      <c r="I592" s="92"/>
      <c r="J592" s="93"/>
      <c r="K592" s="93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</row>
    <row r="593" spans="1:27" ht="12.75" customHeight="1" x14ac:dyDescent="0.25">
      <c r="A593" s="78"/>
      <c r="B593" s="112"/>
      <c r="C593" s="77"/>
      <c r="D593" s="77"/>
      <c r="E593" s="77"/>
      <c r="F593" s="84"/>
      <c r="G593" s="92"/>
      <c r="H593" s="92"/>
      <c r="I593" s="92"/>
      <c r="J593" s="93"/>
      <c r="K593" s="93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</row>
    <row r="594" spans="1:27" ht="12.75" customHeight="1" x14ac:dyDescent="0.25">
      <c r="A594" s="78"/>
      <c r="B594" s="112"/>
      <c r="C594" s="77"/>
      <c r="D594" s="77"/>
      <c r="E594" s="77"/>
      <c r="F594" s="84"/>
      <c r="G594" s="92"/>
      <c r="H594" s="92"/>
      <c r="I594" s="92"/>
      <c r="J594" s="93"/>
      <c r="K594" s="93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</row>
    <row r="595" spans="1:27" ht="12.75" customHeight="1" x14ac:dyDescent="0.25">
      <c r="A595" s="78"/>
      <c r="B595" s="112"/>
      <c r="C595" s="77"/>
      <c r="D595" s="77"/>
      <c r="E595" s="77"/>
      <c r="F595" s="84"/>
      <c r="G595" s="92"/>
      <c r="H595" s="92"/>
      <c r="I595" s="92"/>
      <c r="J595" s="93"/>
      <c r="K595" s="93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</row>
    <row r="596" spans="1:27" ht="12.75" customHeight="1" x14ac:dyDescent="0.25">
      <c r="A596" s="78"/>
      <c r="B596" s="112"/>
      <c r="C596" s="77"/>
      <c r="D596" s="77"/>
      <c r="E596" s="77"/>
      <c r="F596" s="84"/>
      <c r="G596" s="92"/>
      <c r="H596" s="92"/>
      <c r="I596" s="92"/>
      <c r="J596" s="93"/>
      <c r="K596" s="93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</row>
    <row r="597" spans="1:27" ht="12.75" customHeight="1" x14ac:dyDescent="0.25">
      <c r="A597" s="78"/>
      <c r="B597" s="112"/>
      <c r="C597" s="77"/>
      <c r="D597" s="77"/>
      <c r="E597" s="77"/>
      <c r="F597" s="84"/>
      <c r="G597" s="92"/>
      <c r="H597" s="92"/>
      <c r="I597" s="92"/>
      <c r="J597" s="93"/>
      <c r="K597" s="93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</row>
    <row r="598" spans="1:27" ht="12.75" customHeight="1" x14ac:dyDescent="0.25">
      <c r="A598" s="78"/>
      <c r="B598" s="112"/>
      <c r="C598" s="77"/>
      <c r="D598" s="77"/>
      <c r="E598" s="77"/>
      <c r="F598" s="84"/>
      <c r="G598" s="92"/>
      <c r="H598" s="92"/>
      <c r="I598" s="92"/>
      <c r="J598" s="93"/>
      <c r="K598" s="93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</row>
    <row r="599" spans="1:27" ht="12.75" customHeight="1" x14ac:dyDescent="0.25">
      <c r="A599" s="78"/>
      <c r="B599" s="112"/>
      <c r="C599" s="77"/>
      <c r="D599" s="77"/>
      <c r="E599" s="77"/>
      <c r="F599" s="84"/>
      <c r="G599" s="92"/>
      <c r="H599" s="92"/>
      <c r="I599" s="92"/>
      <c r="J599" s="93"/>
      <c r="K599" s="93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</row>
    <row r="600" spans="1:27" ht="12.75" customHeight="1" x14ac:dyDescent="0.25">
      <c r="A600" s="78"/>
      <c r="B600" s="112"/>
      <c r="C600" s="77"/>
      <c r="D600" s="77"/>
      <c r="E600" s="77"/>
      <c r="F600" s="84"/>
      <c r="G600" s="92"/>
      <c r="H600" s="92"/>
      <c r="I600" s="92"/>
      <c r="J600" s="93"/>
      <c r="K600" s="93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</row>
    <row r="601" spans="1:27" ht="12.75" customHeight="1" x14ac:dyDescent="0.25">
      <c r="A601" s="78"/>
      <c r="B601" s="112"/>
      <c r="C601" s="77"/>
      <c r="D601" s="77"/>
      <c r="E601" s="77"/>
      <c r="F601" s="84"/>
      <c r="G601" s="92"/>
      <c r="H601" s="92"/>
      <c r="I601" s="92"/>
      <c r="J601" s="93"/>
      <c r="K601" s="93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</row>
    <row r="602" spans="1:27" ht="12.75" customHeight="1" x14ac:dyDescent="0.25">
      <c r="A602" s="78"/>
      <c r="B602" s="112"/>
      <c r="C602" s="77"/>
      <c r="D602" s="77"/>
      <c r="E602" s="77"/>
      <c r="F602" s="84"/>
      <c r="G602" s="92"/>
      <c r="H602" s="92"/>
      <c r="I602" s="92"/>
      <c r="J602" s="93"/>
      <c r="K602" s="93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</row>
    <row r="603" spans="1:27" ht="12.75" customHeight="1" x14ac:dyDescent="0.25">
      <c r="A603" s="78"/>
      <c r="B603" s="112"/>
      <c r="C603" s="77"/>
      <c r="D603" s="77"/>
      <c r="E603" s="77"/>
      <c r="F603" s="84"/>
      <c r="G603" s="92"/>
      <c r="H603" s="92"/>
      <c r="I603" s="92"/>
      <c r="J603" s="93"/>
      <c r="K603" s="93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</row>
    <row r="604" spans="1:27" ht="12.75" customHeight="1" x14ac:dyDescent="0.25">
      <c r="A604" s="78"/>
      <c r="B604" s="112"/>
      <c r="C604" s="77"/>
      <c r="D604" s="77"/>
      <c r="E604" s="77"/>
      <c r="F604" s="84"/>
      <c r="G604" s="92"/>
      <c r="H604" s="92"/>
      <c r="I604" s="92"/>
      <c r="J604" s="93"/>
      <c r="K604" s="93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</row>
    <row r="605" spans="1:27" ht="12.75" customHeight="1" x14ac:dyDescent="0.25">
      <c r="A605" s="78"/>
      <c r="B605" s="112"/>
      <c r="C605" s="77"/>
      <c r="D605" s="77"/>
      <c r="E605" s="77"/>
      <c r="F605" s="84"/>
      <c r="G605" s="92"/>
      <c r="H605" s="92"/>
      <c r="I605" s="92"/>
      <c r="J605" s="93"/>
      <c r="K605" s="93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</row>
    <row r="606" spans="1:27" ht="12.75" customHeight="1" x14ac:dyDescent="0.25">
      <c r="A606" s="78"/>
      <c r="B606" s="112"/>
      <c r="C606" s="77"/>
      <c r="D606" s="77"/>
      <c r="E606" s="77"/>
      <c r="F606" s="84"/>
      <c r="G606" s="92"/>
      <c r="H606" s="92"/>
      <c r="I606" s="92"/>
      <c r="J606" s="93"/>
      <c r="K606" s="93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</row>
    <row r="607" spans="1:27" ht="12.75" customHeight="1" x14ac:dyDescent="0.25">
      <c r="A607" s="78"/>
      <c r="B607" s="112"/>
      <c r="C607" s="77"/>
      <c r="D607" s="77"/>
      <c r="E607" s="77"/>
      <c r="F607" s="84"/>
      <c r="G607" s="92"/>
      <c r="H607" s="92"/>
      <c r="I607" s="92"/>
      <c r="J607" s="93"/>
      <c r="K607" s="93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</row>
    <row r="608" spans="1:27" ht="12.75" customHeight="1" x14ac:dyDescent="0.25">
      <c r="A608" s="78"/>
      <c r="B608" s="112"/>
      <c r="C608" s="77"/>
      <c r="D608" s="77"/>
      <c r="E608" s="77"/>
      <c r="F608" s="84"/>
      <c r="G608" s="92"/>
      <c r="H608" s="92"/>
      <c r="I608" s="92"/>
      <c r="J608" s="93"/>
      <c r="K608" s="93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</row>
    <row r="609" spans="1:27" ht="12.75" customHeight="1" x14ac:dyDescent="0.25">
      <c r="A609" s="78"/>
      <c r="B609" s="112"/>
      <c r="C609" s="77"/>
      <c r="D609" s="77"/>
      <c r="E609" s="77"/>
      <c r="F609" s="84"/>
      <c r="G609" s="92"/>
      <c r="H609" s="92"/>
      <c r="I609" s="92"/>
      <c r="J609" s="93"/>
      <c r="K609" s="93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</row>
    <row r="610" spans="1:27" ht="12.75" customHeight="1" x14ac:dyDescent="0.25">
      <c r="A610" s="78"/>
      <c r="B610" s="112"/>
      <c r="C610" s="77"/>
      <c r="D610" s="77"/>
      <c r="E610" s="77"/>
      <c r="F610" s="84"/>
      <c r="G610" s="92"/>
      <c r="H610" s="92"/>
      <c r="I610" s="92"/>
      <c r="J610" s="93"/>
      <c r="K610" s="93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</row>
    <row r="611" spans="1:27" ht="12.75" customHeight="1" x14ac:dyDescent="0.25">
      <c r="A611" s="78"/>
      <c r="B611" s="112"/>
      <c r="C611" s="77"/>
      <c r="D611" s="77"/>
      <c r="E611" s="77"/>
      <c r="F611" s="84"/>
      <c r="G611" s="92"/>
      <c r="H611" s="92"/>
      <c r="I611" s="92"/>
      <c r="J611" s="93"/>
      <c r="K611" s="93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</row>
    <row r="612" spans="1:27" ht="12.75" customHeight="1" x14ac:dyDescent="0.25">
      <c r="A612" s="78"/>
      <c r="B612" s="112"/>
      <c r="C612" s="77"/>
      <c r="D612" s="77"/>
      <c r="E612" s="77"/>
      <c r="F612" s="84"/>
      <c r="G612" s="92"/>
      <c r="H612" s="92"/>
      <c r="I612" s="92"/>
      <c r="J612" s="93"/>
      <c r="K612" s="93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</row>
    <row r="613" spans="1:27" ht="12.75" customHeight="1" x14ac:dyDescent="0.25">
      <c r="A613" s="78"/>
      <c r="B613" s="112"/>
      <c r="C613" s="77"/>
      <c r="D613" s="77"/>
      <c r="E613" s="77"/>
      <c r="F613" s="84"/>
      <c r="G613" s="92"/>
      <c r="H613" s="92"/>
      <c r="I613" s="92"/>
      <c r="J613" s="93"/>
      <c r="K613" s="93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</row>
    <row r="614" spans="1:27" ht="12.75" customHeight="1" x14ac:dyDescent="0.25">
      <c r="A614" s="78"/>
      <c r="B614" s="112"/>
      <c r="C614" s="77"/>
      <c r="D614" s="77"/>
      <c r="E614" s="77"/>
      <c r="F614" s="84"/>
      <c r="G614" s="92"/>
      <c r="H614" s="92"/>
      <c r="I614" s="92"/>
      <c r="J614" s="93"/>
      <c r="K614" s="93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</row>
    <row r="615" spans="1:27" ht="12.75" customHeight="1" x14ac:dyDescent="0.25">
      <c r="A615" s="78"/>
      <c r="B615" s="112"/>
      <c r="C615" s="77"/>
      <c r="D615" s="77"/>
      <c r="E615" s="77"/>
      <c r="F615" s="84"/>
      <c r="G615" s="92"/>
      <c r="H615" s="92"/>
      <c r="I615" s="92"/>
      <c r="J615" s="93"/>
      <c r="K615" s="93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</row>
    <row r="616" spans="1:27" ht="12.75" customHeight="1" x14ac:dyDescent="0.25">
      <c r="A616" s="78"/>
      <c r="B616" s="112"/>
      <c r="C616" s="77"/>
      <c r="D616" s="77"/>
      <c r="E616" s="77"/>
      <c r="F616" s="84"/>
      <c r="G616" s="92"/>
      <c r="H616" s="92"/>
      <c r="I616" s="92"/>
      <c r="J616" s="93"/>
      <c r="K616" s="93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</row>
    <row r="617" spans="1:27" ht="12.75" customHeight="1" x14ac:dyDescent="0.25">
      <c r="A617" s="78"/>
      <c r="B617" s="112"/>
      <c r="C617" s="77"/>
      <c r="D617" s="77"/>
      <c r="E617" s="77"/>
      <c r="F617" s="84"/>
      <c r="G617" s="92"/>
      <c r="H617" s="92"/>
      <c r="I617" s="92"/>
      <c r="J617" s="93"/>
      <c r="K617" s="93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</row>
    <row r="618" spans="1:27" ht="12.75" customHeight="1" x14ac:dyDescent="0.25">
      <c r="A618" s="78"/>
      <c r="B618" s="112"/>
      <c r="C618" s="77"/>
      <c r="D618" s="77"/>
      <c r="E618" s="77"/>
      <c r="F618" s="84"/>
      <c r="G618" s="92"/>
      <c r="H618" s="92"/>
      <c r="I618" s="92"/>
      <c r="J618" s="93"/>
      <c r="K618" s="93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</row>
    <row r="619" spans="1:27" ht="12.75" customHeight="1" x14ac:dyDescent="0.25">
      <c r="A619" s="78"/>
      <c r="B619" s="112"/>
      <c r="C619" s="77"/>
      <c r="D619" s="77"/>
      <c r="E619" s="77"/>
      <c r="F619" s="84"/>
      <c r="G619" s="92"/>
      <c r="H619" s="92"/>
      <c r="I619" s="92"/>
      <c r="J619" s="93"/>
      <c r="K619" s="93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</row>
    <row r="620" spans="1:27" ht="12.75" customHeight="1" x14ac:dyDescent="0.25">
      <c r="A620" s="78"/>
      <c r="B620" s="112"/>
      <c r="C620" s="77"/>
      <c r="D620" s="77"/>
      <c r="E620" s="77"/>
      <c r="F620" s="84"/>
      <c r="G620" s="92"/>
      <c r="H620" s="92"/>
      <c r="I620" s="92"/>
      <c r="J620" s="93"/>
      <c r="K620" s="93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</row>
    <row r="621" spans="1:27" ht="12.75" customHeight="1" x14ac:dyDescent="0.25">
      <c r="A621" s="78"/>
      <c r="B621" s="112"/>
      <c r="C621" s="77"/>
      <c r="D621" s="77"/>
      <c r="E621" s="77"/>
      <c r="F621" s="84"/>
      <c r="G621" s="92"/>
      <c r="H621" s="92"/>
      <c r="I621" s="92"/>
      <c r="J621" s="93"/>
      <c r="K621" s="93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</row>
    <row r="622" spans="1:27" ht="12.75" customHeight="1" x14ac:dyDescent="0.25">
      <c r="A622" s="78"/>
      <c r="B622" s="112"/>
      <c r="C622" s="77"/>
      <c r="D622" s="77"/>
      <c r="E622" s="77"/>
      <c r="F622" s="84"/>
      <c r="G622" s="92"/>
      <c r="H622" s="92"/>
      <c r="I622" s="92"/>
      <c r="J622" s="93"/>
      <c r="K622" s="93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</row>
    <row r="623" spans="1:27" ht="12.75" customHeight="1" x14ac:dyDescent="0.25">
      <c r="A623" s="78"/>
      <c r="B623" s="112"/>
      <c r="C623" s="77"/>
      <c r="D623" s="77"/>
      <c r="E623" s="77"/>
      <c r="F623" s="84"/>
      <c r="G623" s="92"/>
      <c r="H623" s="92"/>
      <c r="I623" s="92"/>
      <c r="J623" s="93"/>
      <c r="K623" s="93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</row>
    <row r="624" spans="1:27" ht="12.75" customHeight="1" x14ac:dyDescent="0.25">
      <c r="A624" s="78"/>
      <c r="B624" s="112"/>
      <c r="C624" s="77"/>
      <c r="D624" s="77"/>
      <c r="E624" s="77"/>
      <c r="F624" s="84"/>
      <c r="G624" s="92"/>
      <c r="H624" s="92"/>
      <c r="I624" s="92"/>
      <c r="J624" s="93"/>
      <c r="K624" s="93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</row>
    <row r="625" spans="1:27" ht="12.75" customHeight="1" x14ac:dyDescent="0.25">
      <c r="A625" s="78"/>
      <c r="B625" s="112"/>
      <c r="C625" s="77"/>
      <c r="D625" s="77"/>
      <c r="E625" s="77"/>
      <c r="F625" s="84"/>
      <c r="G625" s="92"/>
      <c r="H625" s="92"/>
      <c r="I625" s="92"/>
      <c r="J625" s="93"/>
      <c r="K625" s="93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</row>
    <row r="626" spans="1:27" ht="12.75" customHeight="1" x14ac:dyDescent="0.25">
      <c r="A626" s="78"/>
      <c r="B626" s="112"/>
      <c r="C626" s="77"/>
      <c r="D626" s="77"/>
      <c r="E626" s="77"/>
      <c r="F626" s="84"/>
      <c r="G626" s="92"/>
      <c r="H626" s="92"/>
      <c r="I626" s="92"/>
      <c r="J626" s="93"/>
      <c r="K626" s="93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</row>
    <row r="627" spans="1:27" ht="12.75" customHeight="1" x14ac:dyDescent="0.25">
      <c r="A627" s="78"/>
      <c r="B627" s="112"/>
      <c r="C627" s="77"/>
      <c r="D627" s="77"/>
      <c r="E627" s="77"/>
      <c r="F627" s="84"/>
      <c r="G627" s="92"/>
      <c r="H627" s="92"/>
      <c r="I627" s="92"/>
      <c r="J627" s="93"/>
      <c r="K627" s="93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</row>
    <row r="628" spans="1:27" ht="12.75" customHeight="1" x14ac:dyDescent="0.25">
      <c r="A628" s="78"/>
      <c r="B628" s="112"/>
      <c r="C628" s="77"/>
      <c r="D628" s="77"/>
      <c r="E628" s="77"/>
      <c r="F628" s="84"/>
      <c r="G628" s="92"/>
      <c r="H628" s="92"/>
      <c r="I628" s="92"/>
      <c r="J628" s="93"/>
      <c r="K628" s="93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</row>
    <row r="629" spans="1:27" ht="12.75" customHeight="1" x14ac:dyDescent="0.25">
      <c r="A629" s="78"/>
      <c r="B629" s="112"/>
      <c r="C629" s="77"/>
      <c r="D629" s="77"/>
      <c r="E629" s="77"/>
      <c r="F629" s="84"/>
      <c r="G629" s="92"/>
      <c r="H629" s="92"/>
      <c r="I629" s="92"/>
      <c r="J629" s="93"/>
      <c r="K629" s="93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</row>
    <row r="630" spans="1:27" ht="12.75" customHeight="1" x14ac:dyDescent="0.25">
      <c r="A630" s="78"/>
      <c r="B630" s="112"/>
      <c r="C630" s="77"/>
      <c r="D630" s="77"/>
      <c r="E630" s="77"/>
      <c r="F630" s="84"/>
      <c r="G630" s="92"/>
      <c r="H630" s="92"/>
      <c r="I630" s="92"/>
      <c r="J630" s="93"/>
      <c r="K630" s="93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</row>
    <row r="631" spans="1:27" ht="12.75" customHeight="1" x14ac:dyDescent="0.25">
      <c r="A631" s="78"/>
      <c r="B631" s="112"/>
      <c r="C631" s="77"/>
      <c r="D631" s="77"/>
      <c r="E631" s="77"/>
      <c r="F631" s="84"/>
      <c r="G631" s="92"/>
      <c r="H631" s="92"/>
      <c r="I631" s="92"/>
      <c r="J631" s="93"/>
      <c r="K631" s="93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</row>
    <row r="632" spans="1:27" ht="12.75" customHeight="1" x14ac:dyDescent="0.25">
      <c r="A632" s="78"/>
      <c r="B632" s="112"/>
      <c r="C632" s="77"/>
      <c r="D632" s="77"/>
      <c r="E632" s="77"/>
      <c r="F632" s="84"/>
      <c r="G632" s="92"/>
      <c r="H632" s="92"/>
      <c r="I632" s="92"/>
      <c r="J632" s="93"/>
      <c r="K632" s="93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</row>
    <row r="633" spans="1:27" ht="12.75" customHeight="1" x14ac:dyDescent="0.25">
      <c r="A633" s="78"/>
      <c r="B633" s="112"/>
      <c r="C633" s="77"/>
      <c r="D633" s="77"/>
      <c r="E633" s="77"/>
      <c r="F633" s="84"/>
      <c r="G633" s="92"/>
      <c r="H633" s="92"/>
      <c r="I633" s="92"/>
      <c r="J633" s="93"/>
      <c r="K633" s="93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</row>
    <row r="634" spans="1:27" ht="12.75" customHeight="1" x14ac:dyDescent="0.25">
      <c r="A634" s="78"/>
      <c r="B634" s="112"/>
      <c r="C634" s="77"/>
      <c r="D634" s="77"/>
      <c r="E634" s="77"/>
      <c r="F634" s="84"/>
      <c r="G634" s="92"/>
      <c r="H634" s="92"/>
      <c r="I634" s="92"/>
      <c r="J634" s="93"/>
      <c r="K634" s="93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</row>
    <row r="635" spans="1:27" ht="12.75" customHeight="1" x14ac:dyDescent="0.25">
      <c r="A635" s="78"/>
      <c r="B635" s="112"/>
      <c r="C635" s="77"/>
      <c r="D635" s="77"/>
      <c r="E635" s="77"/>
      <c r="F635" s="84"/>
      <c r="G635" s="92"/>
      <c r="H635" s="92"/>
      <c r="I635" s="92"/>
      <c r="J635" s="93"/>
      <c r="K635" s="93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</row>
    <row r="636" spans="1:27" ht="12.75" customHeight="1" x14ac:dyDescent="0.25">
      <c r="A636" s="78"/>
      <c r="B636" s="112"/>
      <c r="C636" s="77"/>
      <c r="D636" s="77"/>
      <c r="E636" s="77"/>
      <c r="F636" s="84"/>
      <c r="G636" s="92"/>
      <c r="H636" s="92"/>
      <c r="I636" s="92"/>
      <c r="J636" s="93"/>
      <c r="K636" s="93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</row>
    <row r="637" spans="1:27" ht="12.75" customHeight="1" x14ac:dyDescent="0.25">
      <c r="A637" s="78"/>
      <c r="B637" s="112"/>
      <c r="C637" s="77"/>
      <c r="D637" s="77"/>
      <c r="E637" s="77"/>
      <c r="F637" s="84"/>
      <c r="G637" s="92"/>
      <c r="H637" s="92"/>
      <c r="I637" s="92"/>
      <c r="J637" s="93"/>
      <c r="K637" s="93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</row>
    <row r="638" spans="1:27" ht="12.75" customHeight="1" x14ac:dyDescent="0.25">
      <c r="A638" s="78"/>
      <c r="B638" s="112"/>
      <c r="C638" s="77"/>
      <c r="D638" s="77"/>
      <c r="E638" s="77"/>
      <c r="F638" s="84"/>
      <c r="G638" s="92"/>
      <c r="H638" s="92"/>
      <c r="I638" s="92"/>
      <c r="J638" s="93"/>
      <c r="K638" s="93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</row>
    <row r="639" spans="1:27" ht="12.75" customHeight="1" x14ac:dyDescent="0.25">
      <c r="A639" s="78"/>
      <c r="B639" s="112"/>
      <c r="C639" s="77"/>
      <c r="D639" s="77"/>
      <c r="E639" s="77"/>
      <c r="F639" s="84"/>
      <c r="G639" s="92"/>
      <c r="H639" s="92"/>
      <c r="I639" s="92"/>
      <c r="J639" s="93"/>
      <c r="K639" s="93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</row>
    <row r="640" spans="1:27" ht="12.75" customHeight="1" x14ac:dyDescent="0.25">
      <c r="A640" s="78"/>
      <c r="B640" s="112"/>
      <c r="C640" s="77"/>
      <c r="D640" s="77"/>
      <c r="E640" s="77"/>
      <c r="F640" s="84"/>
      <c r="G640" s="92"/>
      <c r="H640" s="92"/>
      <c r="I640" s="92"/>
      <c r="J640" s="93"/>
      <c r="K640" s="93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</row>
    <row r="641" spans="1:27" ht="12.75" customHeight="1" x14ac:dyDescent="0.25">
      <c r="A641" s="78"/>
      <c r="B641" s="112"/>
      <c r="C641" s="77"/>
      <c r="D641" s="77"/>
      <c r="E641" s="77"/>
      <c r="F641" s="84"/>
      <c r="G641" s="92"/>
      <c r="H641" s="92"/>
      <c r="I641" s="92"/>
      <c r="J641" s="93"/>
      <c r="K641" s="93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</row>
    <row r="642" spans="1:27" ht="12.75" customHeight="1" x14ac:dyDescent="0.25">
      <c r="A642" s="78"/>
      <c r="B642" s="112"/>
      <c r="C642" s="77"/>
      <c r="D642" s="77"/>
      <c r="E642" s="77"/>
      <c r="F642" s="84"/>
      <c r="G642" s="92"/>
      <c r="H642" s="92"/>
      <c r="I642" s="92"/>
      <c r="J642" s="93"/>
      <c r="K642" s="93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</row>
    <row r="643" spans="1:27" ht="12.75" customHeight="1" x14ac:dyDescent="0.25">
      <c r="A643" s="78"/>
      <c r="B643" s="112"/>
      <c r="C643" s="77"/>
      <c r="D643" s="77"/>
      <c r="E643" s="77"/>
      <c r="F643" s="84"/>
      <c r="G643" s="92"/>
      <c r="H643" s="92"/>
      <c r="I643" s="92"/>
      <c r="J643" s="93"/>
      <c r="K643" s="93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</row>
    <row r="644" spans="1:27" ht="12.75" customHeight="1" x14ac:dyDescent="0.25">
      <c r="A644" s="78"/>
      <c r="B644" s="112"/>
      <c r="C644" s="77"/>
      <c r="D644" s="77"/>
      <c r="E644" s="77"/>
      <c r="F644" s="84"/>
      <c r="G644" s="92"/>
      <c r="H644" s="92"/>
      <c r="I644" s="92"/>
      <c r="J644" s="93"/>
      <c r="K644" s="93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</row>
    <row r="645" spans="1:27" ht="12.75" customHeight="1" x14ac:dyDescent="0.25">
      <c r="A645" s="78"/>
      <c r="B645" s="112"/>
      <c r="C645" s="77"/>
      <c r="D645" s="77"/>
      <c r="E645" s="77"/>
      <c r="F645" s="84"/>
      <c r="G645" s="92"/>
      <c r="H645" s="92"/>
      <c r="I645" s="92"/>
      <c r="J645" s="93"/>
      <c r="K645" s="93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</row>
    <row r="646" spans="1:27" ht="12.75" customHeight="1" x14ac:dyDescent="0.25">
      <c r="A646" s="78"/>
      <c r="B646" s="112"/>
      <c r="C646" s="77"/>
      <c r="D646" s="77"/>
      <c r="E646" s="77"/>
      <c r="F646" s="84"/>
      <c r="G646" s="92"/>
      <c r="H646" s="92"/>
      <c r="I646" s="92"/>
      <c r="J646" s="93"/>
      <c r="K646" s="93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</row>
    <row r="647" spans="1:27" ht="12.75" customHeight="1" x14ac:dyDescent="0.25">
      <c r="A647" s="78"/>
      <c r="B647" s="112"/>
      <c r="C647" s="77"/>
      <c r="D647" s="77"/>
      <c r="E647" s="77"/>
      <c r="F647" s="84"/>
      <c r="G647" s="92"/>
      <c r="H647" s="92"/>
      <c r="I647" s="92"/>
      <c r="J647" s="93"/>
      <c r="K647" s="93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</row>
    <row r="648" spans="1:27" ht="12.75" customHeight="1" x14ac:dyDescent="0.25">
      <c r="A648" s="78"/>
      <c r="B648" s="112"/>
      <c r="C648" s="77"/>
      <c r="D648" s="77"/>
      <c r="E648" s="77"/>
      <c r="F648" s="84"/>
      <c r="G648" s="92"/>
      <c r="H648" s="92"/>
      <c r="I648" s="92"/>
      <c r="J648" s="93"/>
      <c r="K648" s="93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</row>
    <row r="649" spans="1:27" ht="12.75" customHeight="1" x14ac:dyDescent="0.25">
      <c r="A649" s="78"/>
      <c r="B649" s="112"/>
      <c r="C649" s="77"/>
      <c r="D649" s="77"/>
      <c r="E649" s="77"/>
      <c r="F649" s="84"/>
      <c r="G649" s="92"/>
      <c r="H649" s="92"/>
      <c r="I649" s="92"/>
      <c r="J649" s="93"/>
      <c r="K649" s="93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</row>
    <row r="650" spans="1:27" ht="12.75" customHeight="1" x14ac:dyDescent="0.25">
      <c r="A650" s="78"/>
      <c r="B650" s="112"/>
      <c r="C650" s="77"/>
      <c r="D650" s="77"/>
      <c r="E650" s="77"/>
      <c r="F650" s="84"/>
      <c r="G650" s="92"/>
      <c r="H650" s="92"/>
      <c r="I650" s="92"/>
      <c r="J650" s="93"/>
      <c r="K650" s="93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</row>
    <row r="651" spans="1:27" ht="12.75" customHeight="1" x14ac:dyDescent="0.25">
      <c r="A651" s="78"/>
      <c r="B651" s="112"/>
      <c r="C651" s="77"/>
      <c r="D651" s="77"/>
      <c r="E651" s="77"/>
      <c r="F651" s="84"/>
      <c r="G651" s="92"/>
      <c r="H651" s="92"/>
      <c r="I651" s="92"/>
      <c r="J651" s="93"/>
      <c r="K651" s="93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</row>
    <row r="652" spans="1:27" ht="12.75" customHeight="1" x14ac:dyDescent="0.25">
      <c r="A652" s="78"/>
      <c r="B652" s="112"/>
      <c r="C652" s="77"/>
      <c r="D652" s="77"/>
      <c r="E652" s="77"/>
      <c r="F652" s="84"/>
      <c r="G652" s="92"/>
      <c r="H652" s="92"/>
      <c r="I652" s="92"/>
      <c r="J652" s="93"/>
      <c r="K652" s="93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</row>
    <row r="653" spans="1:27" ht="12.75" customHeight="1" x14ac:dyDescent="0.25">
      <c r="A653" s="78"/>
      <c r="B653" s="112"/>
      <c r="C653" s="77"/>
      <c r="D653" s="77"/>
      <c r="E653" s="77"/>
      <c r="F653" s="84"/>
      <c r="G653" s="92"/>
      <c r="H653" s="92"/>
      <c r="I653" s="92"/>
      <c r="J653" s="93"/>
      <c r="K653" s="93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</row>
    <row r="654" spans="1:27" ht="12.75" customHeight="1" x14ac:dyDescent="0.25">
      <c r="A654" s="78"/>
      <c r="B654" s="112"/>
      <c r="C654" s="77"/>
      <c r="D654" s="77"/>
      <c r="E654" s="77"/>
      <c r="F654" s="84"/>
      <c r="G654" s="92"/>
      <c r="H654" s="92"/>
      <c r="I654" s="92"/>
      <c r="J654" s="93"/>
      <c r="K654" s="93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</row>
    <row r="655" spans="1:27" ht="12.75" customHeight="1" x14ac:dyDescent="0.25">
      <c r="A655" s="78"/>
      <c r="B655" s="112"/>
      <c r="C655" s="77"/>
      <c r="D655" s="77"/>
      <c r="E655" s="77"/>
      <c r="F655" s="84"/>
      <c r="G655" s="92"/>
      <c r="H655" s="92"/>
      <c r="I655" s="92"/>
      <c r="J655" s="93"/>
      <c r="K655" s="93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</row>
    <row r="656" spans="1:27" ht="12.75" customHeight="1" x14ac:dyDescent="0.25">
      <c r="A656" s="78"/>
      <c r="B656" s="112"/>
      <c r="C656" s="77"/>
      <c r="D656" s="77"/>
      <c r="E656" s="77"/>
      <c r="F656" s="84"/>
      <c r="G656" s="92"/>
      <c r="H656" s="92"/>
      <c r="I656" s="92"/>
      <c r="J656" s="93"/>
      <c r="K656" s="93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</row>
    <row r="657" spans="1:27" ht="12.75" customHeight="1" x14ac:dyDescent="0.25">
      <c r="A657" s="78"/>
      <c r="B657" s="112"/>
      <c r="C657" s="77"/>
      <c r="D657" s="77"/>
      <c r="E657" s="77"/>
      <c r="F657" s="84"/>
      <c r="G657" s="92"/>
      <c r="H657" s="92"/>
      <c r="I657" s="92"/>
      <c r="J657" s="93"/>
      <c r="K657" s="93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</row>
    <row r="658" spans="1:27" ht="12.75" customHeight="1" x14ac:dyDescent="0.25">
      <c r="A658" s="78"/>
      <c r="B658" s="112"/>
      <c r="C658" s="77"/>
      <c r="D658" s="77"/>
      <c r="E658" s="77"/>
      <c r="F658" s="84"/>
      <c r="G658" s="92"/>
      <c r="H658" s="92"/>
      <c r="I658" s="92"/>
      <c r="J658" s="93"/>
      <c r="K658" s="93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</row>
    <row r="659" spans="1:27" ht="12.75" customHeight="1" x14ac:dyDescent="0.25">
      <c r="A659" s="78"/>
      <c r="B659" s="112"/>
      <c r="C659" s="77"/>
      <c r="D659" s="77"/>
      <c r="E659" s="77"/>
      <c r="F659" s="84"/>
      <c r="G659" s="92"/>
      <c r="H659" s="92"/>
      <c r="I659" s="92"/>
      <c r="J659" s="93"/>
      <c r="K659" s="93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</row>
    <row r="660" spans="1:27" ht="12.75" customHeight="1" x14ac:dyDescent="0.25">
      <c r="A660" s="78"/>
      <c r="B660" s="112"/>
      <c r="C660" s="77"/>
      <c r="D660" s="77"/>
      <c r="E660" s="77"/>
      <c r="F660" s="84"/>
      <c r="G660" s="92"/>
      <c r="H660" s="92"/>
      <c r="I660" s="92"/>
      <c r="J660" s="93"/>
      <c r="K660" s="93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</row>
    <row r="661" spans="1:27" ht="12.75" customHeight="1" x14ac:dyDescent="0.25">
      <c r="A661" s="78"/>
      <c r="B661" s="112"/>
      <c r="C661" s="77"/>
      <c r="D661" s="77"/>
      <c r="E661" s="77"/>
      <c r="F661" s="84"/>
      <c r="G661" s="92"/>
      <c r="H661" s="92"/>
      <c r="I661" s="92"/>
      <c r="J661" s="93"/>
      <c r="K661" s="93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</row>
    <row r="662" spans="1:27" ht="12.75" customHeight="1" x14ac:dyDescent="0.25">
      <c r="A662" s="78"/>
      <c r="B662" s="112"/>
      <c r="C662" s="77"/>
      <c r="D662" s="77"/>
      <c r="E662" s="77"/>
      <c r="F662" s="84"/>
      <c r="G662" s="92"/>
      <c r="H662" s="92"/>
      <c r="I662" s="92"/>
      <c r="J662" s="93"/>
      <c r="K662" s="93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</row>
    <row r="663" spans="1:27" ht="12.75" customHeight="1" x14ac:dyDescent="0.25">
      <c r="A663" s="78"/>
      <c r="B663" s="112"/>
      <c r="C663" s="77"/>
      <c r="D663" s="77"/>
      <c r="E663" s="77"/>
      <c r="F663" s="84"/>
      <c r="G663" s="92"/>
      <c r="H663" s="92"/>
      <c r="I663" s="92"/>
      <c r="J663" s="93"/>
      <c r="K663" s="93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</row>
    <row r="664" spans="1:27" ht="12.75" customHeight="1" x14ac:dyDescent="0.25">
      <c r="A664" s="78"/>
      <c r="B664" s="112"/>
      <c r="C664" s="77"/>
      <c r="D664" s="77"/>
      <c r="E664" s="77"/>
      <c r="F664" s="84"/>
      <c r="G664" s="92"/>
      <c r="H664" s="92"/>
      <c r="I664" s="92"/>
      <c r="J664" s="93"/>
      <c r="K664" s="93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</row>
    <row r="665" spans="1:27" ht="12.75" customHeight="1" x14ac:dyDescent="0.25">
      <c r="A665" s="78"/>
      <c r="B665" s="112"/>
      <c r="C665" s="77"/>
      <c r="D665" s="77"/>
      <c r="E665" s="77"/>
      <c r="F665" s="84"/>
      <c r="G665" s="92"/>
      <c r="H665" s="92"/>
      <c r="I665" s="92"/>
      <c r="J665" s="93"/>
      <c r="K665" s="93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</row>
    <row r="666" spans="1:27" ht="12.75" customHeight="1" x14ac:dyDescent="0.25">
      <c r="A666" s="78"/>
      <c r="B666" s="112"/>
      <c r="C666" s="77"/>
      <c r="D666" s="77"/>
      <c r="E666" s="77"/>
      <c r="F666" s="84"/>
      <c r="G666" s="92"/>
      <c r="H666" s="92"/>
      <c r="I666" s="92"/>
      <c r="J666" s="93"/>
      <c r="K666" s="93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</row>
    <row r="667" spans="1:27" ht="12.75" customHeight="1" x14ac:dyDescent="0.25">
      <c r="A667" s="78"/>
      <c r="B667" s="112"/>
      <c r="C667" s="77"/>
      <c r="D667" s="77"/>
      <c r="E667" s="77"/>
      <c r="F667" s="84"/>
      <c r="G667" s="92"/>
      <c r="H667" s="92"/>
      <c r="I667" s="92"/>
      <c r="J667" s="93"/>
      <c r="K667" s="93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</row>
    <row r="668" spans="1:27" ht="12.75" customHeight="1" x14ac:dyDescent="0.25">
      <c r="A668" s="78"/>
      <c r="B668" s="112"/>
      <c r="C668" s="77"/>
      <c r="D668" s="77"/>
      <c r="E668" s="77"/>
      <c r="F668" s="84"/>
      <c r="G668" s="92"/>
      <c r="H668" s="92"/>
      <c r="I668" s="92"/>
      <c r="J668" s="93"/>
      <c r="K668" s="93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</row>
    <row r="669" spans="1:27" ht="12.75" customHeight="1" x14ac:dyDescent="0.25">
      <c r="A669" s="78"/>
      <c r="B669" s="112"/>
      <c r="C669" s="77"/>
      <c r="D669" s="77"/>
      <c r="E669" s="77"/>
      <c r="F669" s="84"/>
      <c r="G669" s="92"/>
      <c r="H669" s="92"/>
      <c r="I669" s="92"/>
      <c r="J669" s="93"/>
      <c r="K669" s="93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</row>
    <row r="670" spans="1:27" ht="12.75" customHeight="1" x14ac:dyDescent="0.25">
      <c r="A670" s="78"/>
      <c r="B670" s="112"/>
      <c r="C670" s="77"/>
      <c r="D670" s="77"/>
      <c r="E670" s="77"/>
      <c r="F670" s="84"/>
      <c r="G670" s="92"/>
      <c r="H670" s="92"/>
      <c r="I670" s="92"/>
      <c r="J670" s="93"/>
      <c r="K670" s="93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</row>
    <row r="671" spans="1:27" ht="12.75" customHeight="1" x14ac:dyDescent="0.25">
      <c r="A671" s="78"/>
      <c r="B671" s="112"/>
      <c r="C671" s="77"/>
      <c r="D671" s="77"/>
      <c r="E671" s="77"/>
      <c r="F671" s="84"/>
      <c r="G671" s="92"/>
      <c r="H671" s="92"/>
      <c r="I671" s="92"/>
      <c r="J671" s="93"/>
      <c r="K671" s="93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</row>
    <row r="672" spans="1:27" ht="12.75" customHeight="1" x14ac:dyDescent="0.25">
      <c r="A672" s="78"/>
      <c r="B672" s="112"/>
      <c r="C672" s="77"/>
      <c r="D672" s="77"/>
      <c r="E672" s="77"/>
      <c r="F672" s="84"/>
      <c r="G672" s="92"/>
      <c r="H672" s="92"/>
      <c r="I672" s="92"/>
      <c r="J672" s="93"/>
      <c r="K672" s="93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</row>
    <row r="673" spans="1:27" ht="12.75" customHeight="1" x14ac:dyDescent="0.25">
      <c r="A673" s="78"/>
      <c r="B673" s="112"/>
      <c r="C673" s="77"/>
      <c r="D673" s="77"/>
      <c r="E673" s="77"/>
      <c r="F673" s="84"/>
      <c r="G673" s="92"/>
      <c r="H673" s="92"/>
      <c r="I673" s="92"/>
      <c r="J673" s="93"/>
      <c r="K673" s="93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</row>
    <row r="674" spans="1:27" ht="12.75" customHeight="1" x14ac:dyDescent="0.25">
      <c r="A674" s="78"/>
      <c r="B674" s="112"/>
      <c r="C674" s="77"/>
      <c r="D674" s="77"/>
      <c r="E674" s="77"/>
      <c r="F674" s="84"/>
      <c r="G674" s="92"/>
      <c r="H674" s="92"/>
      <c r="I674" s="92"/>
      <c r="J674" s="93"/>
      <c r="K674" s="93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</row>
    <row r="675" spans="1:27" ht="12.75" customHeight="1" x14ac:dyDescent="0.25">
      <c r="A675" s="78"/>
      <c r="B675" s="112"/>
      <c r="C675" s="77"/>
      <c r="D675" s="77"/>
      <c r="E675" s="77"/>
      <c r="F675" s="84"/>
      <c r="G675" s="92"/>
      <c r="H675" s="92"/>
      <c r="I675" s="92"/>
      <c r="J675" s="93"/>
      <c r="K675" s="93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</row>
    <row r="676" spans="1:27" ht="12.75" customHeight="1" x14ac:dyDescent="0.25">
      <c r="A676" s="78"/>
      <c r="B676" s="112"/>
      <c r="C676" s="77"/>
      <c r="D676" s="77"/>
      <c r="E676" s="77"/>
      <c r="F676" s="84"/>
      <c r="G676" s="92"/>
      <c r="H676" s="92"/>
      <c r="I676" s="92"/>
      <c r="J676" s="93"/>
      <c r="K676" s="93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</row>
    <row r="677" spans="1:27" ht="12.75" customHeight="1" x14ac:dyDescent="0.25">
      <c r="A677" s="78"/>
      <c r="B677" s="112"/>
      <c r="C677" s="77"/>
      <c r="D677" s="77"/>
      <c r="E677" s="77"/>
      <c r="F677" s="84"/>
      <c r="G677" s="92"/>
      <c r="H677" s="92"/>
      <c r="I677" s="92"/>
      <c r="J677" s="93"/>
      <c r="K677" s="93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</row>
    <row r="678" spans="1:27" ht="12.75" customHeight="1" x14ac:dyDescent="0.25">
      <c r="A678" s="78"/>
      <c r="B678" s="112"/>
      <c r="C678" s="77"/>
      <c r="D678" s="77"/>
      <c r="E678" s="77"/>
      <c r="F678" s="84"/>
      <c r="G678" s="92"/>
      <c r="H678" s="92"/>
      <c r="I678" s="92"/>
      <c r="J678" s="93"/>
      <c r="K678" s="93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</row>
    <row r="679" spans="1:27" ht="12.75" customHeight="1" x14ac:dyDescent="0.25">
      <c r="A679" s="78"/>
      <c r="B679" s="112"/>
      <c r="C679" s="77"/>
      <c r="D679" s="77"/>
      <c r="E679" s="77"/>
      <c r="F679" s="84"/>
      <c r="G679" s="92"/>
      <c r="H679" s="92"/>
      <c r="I679" s="92"/>
      <c r="J679" s="93"/>
      <c r="K679" s="93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</row>
    <row r="680" spans="1:27" ht="12.75" customHeight="1" x14ac:dyDescent="0.25">
      <c r="A680" s="78"/>
      <c r="B680" s="112"/>
      <c r="C680" s="77"/>
      <c r="D680" s="77"/>
      <c r="E680" s="77"/>
      <c r="F680" s="84"/>
      <c r="G680" s="92"/>
      <c r="H680" s="92"/>
      <c r="I680" s="92"/>
      <c r="J680" s="93"/>
      <c r="K680" s="93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</row>
    <row r="681" spans="1:27" ht="12.75" customHeight="1" x14ac:dyDescent="0.25">
      <c r="A681" s="78"/>
      <c r="B681" s="112"/>
      <c r="C681" s="77"/>
      <c r="D681" s="77"/>
      <c r="E681" s="77"/>
      <c r="F681" s="84"/>
      <c r="G681" s="92"/>
      <c r="H681" s="92"/>
      <c r="I681" s="92"/>
      <c r="J681" s="93"/>
      <c r="K681" s="93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</row>
    <row r="682" spans="1:27" ht="12.75" customHeight="1" x14ac:dyDescent="0.25">
      <c r="A682" s="78"/>
      <c r="B682" s="112"/>
      <c r="C682" s="77"/>
      <c r="D682" s="77"/>
      <c r="E682" s="77"/>
      <c r="F682" s="84"/>
      <c r="G682" s="92"/>
      <c r="H682" s="92"/>
      <c r="I682" s="92"/>
      <c r="J682" s="93"/>
      <c r="K682" s="93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</row>
    <row r="683" spans="1:27" ht="12.75" customHeight="1" x14ac:dyDescent="0.25">
      <c r="A683" s="78"/>
      <c r="B683" s="112"/>
      <c r="C683" s="77"/>
      <c r="D683" s="77"/>
      <c r="E683" s="77"/>
      <c r="F683" s="84"/>
      <c r="G683" s="92"/>
      <c r="H683" s="92"/>
      <c r="I683" s="92"/>
      <c r="J683" s="93"/>
      <c r="K683" s="93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</row>
    <row r="684" spans="1:27" ht="12.75" customHeight="1" x14ac:dyDescent="0.25">
      <c r="A684" s="78"/>
      <c r="B684" s="112"/>
      <c r="C684" s="77"/>
      <c r="D684" s="77"/>
      <c r="E684" s="77"/>
      <c r="F684" s="84"/>
      <c r="G684" s="92"/>
      <c r="H684" s="92"/>
      <c r="I684" s="92"/>
      <c r="J684" s="93"/>
      <c r="K684" s="93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</row>
    <row r="685" spans="1:27" ht="12.75" customHeight="1" x14ac:dyDescent="0.25">
      <c r="A685" s="78"/>
      <c r="B685" s="112"/>
      <c r="C685" s="77"/>
      <c r="D685" s="77"/>
      <c r="E685" s="77"/>
      <c r="F685" s="84"/>
      <c r="G685" s="92"/>
      <c r="H685" s="92"/>
      <c r="I685" s="92"/>
      <c r="J685" s="93"/>
      <c r="K685" s="93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</row>
    <row r="686" spans="1:27" ht="12.75" customHeight="1" x14ac:dyDescent="0.25">
      <c r="A686" s="78"/>
      <c r="B686" s="112"/>
      <c r="C686" s="77"/>
      <c r="D686" s="77"/>
      <c r="E686" s="77"/>
      <c r="F686" s="84"/>
      <c r="G686" s="92"/>
      <c r="H686" s="92"/>
      <c r="I686" s="92"/>
      <c r="J686" s="93"/>
      <c r="K686" s="93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</row>
    <row r="687" spans="1:27" ht="12.75" customHeight="1" x14ac:dyDescent="0.25">
      <c r="A687" s="78"/>
      <c r="B687" s="112"/>
      <c r="C687" s="77"/>
      <c r="D687" s="77"/>
      <c r="E687" s="77"/>
      <c r="F687" s="84"/>
      <c r="G687" s="92"/>
      <c r="H687" s="92"/>
      <c r="I687" s="92"/>
      <c r="J687" s="93"/>
      <c r="K687" s="93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</row>
    <row r="688" spans="1:27" ht="12.75" customHeight="1" x14ac:dyDescent="0.25">
      <c r="A688" s="78"/>
      <c r="B688" s="112"/>
      <c r="C688" s="77"/>
      <c r="D688" s="77"/>
      <c r="E688" s="77"/>
      <c r="F688" s="84"/>
      <c r="G688" s="92"/>
      <c r="H688" s="92"/>
      <c r="I688" s="92"/>
      <c r="J688" s="93"/>
      <c r="K688" s="93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</row>
    <row r="689" spans="1:27" ht="12.75" customHeight="1" x14ac:dyDescent="0.25">
      <c r="A689" s="78"/>
      <c r="B689" s="112"/>
      <c r="C689" s="77"/>
      <c r="D689" s="77"/>
      <c r="E689" s="77"/>
      <c r="F689" s="84"/>
      <c r="G689" s="92"/>
      <c r="H689" s="92"/>
      <c r="I689" s="92"/>
      <c r="J689" s="93"/>
      <c r="K689" s="93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</row>
    <row r="690" spans="1:27" ht="12.75" customHeight="1" x14ac:dyDescent="0.25">
      <c r="A690" s="78"/>
      <c r="B690" s="112"/>
      <c r="C690" s="77"/>
      <c r="D690" s="77"/>
      <c r="E690" s="77"/>
      <c r="F690" s="84"/>
      <c r="G690" s="92"/>
      <c r="H690" s="92"/>
      <c r="I690" s="92"/>
      <c r="J690" s="93"/>
      <c r="K690" s="93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</row>
    <row r="691" spans="1:27" ht="12.75" customHeight="1" x14ac:dyDescent="0.25">
      <c r="A691" s="78"/>
      <c r="B691" s="112"/>
      <c r="C691" s="77"/>
      <c r="D691" s="77"/>
      <c r="E691" s="77"/>
      <c r="F691" s="84"/>
      <c r="G691" s="92"/>
      <c r="H691" s="92"/>
      <c r="I691" s="92"/>
      <c r="J691" s="93"/>
      <c r="K691" s="93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</row>
    <row r="692" spans="1:27" ht="12.75" customHeight="1" x14ac:dyDescent="0.25">
      <c r="A692" s="78"/>
      <c r="B692" s="112"/>
      <c r="C692" s="77"/>
      <c r="D692" s="77"/>
      <c r="E692" s="77"/>
      <c r="F692" s="84"/>
      <c r="G692" s="92"/>
      <c r="H692" s="92"/>
      <c r="I692" s="92"/>
      <c r="J692" s="93"/>
      <c r="K692" s="93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</row>
    <row r="693" spans="1:27" ht="12.75" customHeight="1" x14ac:dyDescent="0.25">
      <c r="A693" s="78"/>
      <c r="B693" s="112"/>
      <c r="C693" s="77"/>
      <c r="D693" s="77"/>
      <c r="E693" s="77"/>
      <c r="F693" s="84"/>
      <c r="G693" s="92"/>
      <c r="H693" s="92"/>
      <c r="I693" s="92"/>
      <c r="J693" s="93"/>
      <c r="K693" s="93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</row>
    <row r="694" spans="1:27" ht="12.75" customHeight="1" x14ac:dyDescent="0.25">
      <c r="A694" s="78"/>
      <c r="B694" s="112"/>
      <c r="C694" s="77"/>
      <c r="D694" s="77"/>
      <c r="E694" s="77"/>
      <c r="F694" s="84"/>
      <c r="G694" s="92"/>
      <c r="H694" s="92"/>
      <c r="I694" s="92"/>
      <c r="J694" s="93"/>
      <c r="K694" s="93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</row>
    <row r="695" spans="1:27" ht="12.75" customHeight="1" x14ac:dyDescent="0.25">
      <c r="A695" s="78"/>
      <c r="B695" s="112"/>
      <c r="C695" s="77"/>
      <c r="D695" s="77"/>
      <c r="E695" s="77"/>
      <c r="F695" s="84"/>
      <c r="G695" s="92"/>
      <c r="H695" s="92"/>
      <c r="I695" s="92"/>
      <c r="J695" s="93"/>
      <c r="K695" s="93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</row>
    <row r="696" spans="1:27" ht="12.75" customHeight="1" x14ac:dyDescent="0.25">
      <c r="A696" s="78"/>
      <c r="B696" s="112"/>
      <c r="C696" s="77"/>
      <c r="D696" s="77"/>
      <c r="E696" s="77"/>
      <c r="F696" s="84"/>
      <c r="G696" s="92"/>
      <c r="H696" s="92"/>
      <c r="I696" s="92"/>
      <c r="J696" s="93"/>
      <c r="K696" s="93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</row>
    <row r="697" spans="1:27" ht="12.75" customHeight="1" x14ac:dyDescent="0.25">
      <c r="A697" s="78"/>
      <c r="B697" s="112"/>
      <c r="C697" s="77"/>
      <c r="D697" s="77"/>
      <c r="E697" s="77"/>
      <c r="F697" s="84"/>
      <c r="G697" s="92"/>
      <c r="H697" s="92"/>
      <c r="I697" s="92"/>
      <c r="J697" s="93"/>
      <c r="K697" s="93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</row>
    <row r="698" spans="1:27" ht="12.75" customHeight="1" x14ac:dyDescent="0.25">
      <c r="A698" s="78"/>
      <c r="B698" s="112"/>
      <c r="C698" s="77"/>
      <c r="D698" s="77"/>
      <c r="E698" s="77"/>
      <c r="F698" s="84"/>
      <c r="G698" s="92"/>
      <c r="H698" s="92"/>
      <c r="I698" s="92"/>
      <c r="J698" s="93"/>
      <c r="K698" s="93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</row>
    <row r="699" spans="1:27" ht="12.75" customHeight="1" x14ac:dyDescent="0.25">
      <c r="A699" s="78"/>
      <c r="B699" s="112"/>
      <c r="C699" s="77"/>
      <c r="D699" s="77"/>
      <c r="E699" s="77"/>
      <c r="F699" s="84"/>
      <c r="G699" s="92"/>
      <c r="H699" s="92"/>
      <c r="I699" s="92"/>
      <c r="J699" s="93"/>
      <c r="K699" s="93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</row>
    <row r="700" spans="1:27" ht="12.75" customHeight="1" x14ac:dyDescent="0.25">
      <c r="A700" s="78"/>
      <c r="B700" s="112"/>
      <c r="C700" s="77"/>
      <c r="D700" s="77"/>
      <c r="E700" s="77"/>
      <c r="F700" s="84"/>
      <c r="G700" s="92"/>
      <c r="H700" s="92"/>
      <c r="I700" s="92"/>
      <c r="J700" s="93"/>
      <c r="K700" s="93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</row>
    <row r="701" spans="1:27" ht="12.75" customHeight="1" x14ac:dyDescent="0.25">
      <c r="A701" s="78"/>
      <c r="B701" s="112"/>
      <c r="C701" s="77"/>
      <c r="D701" s="77"/>
      <c r="E701" s="77"/>
      <c r="F701" s="84"/>
      <c r="G701" s="92"/>
      <c r="H701" s="92"/>
      <c r="I701" s="92"/>
      <c r="J701" s="93"/>
      <c r="K701" s="93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</row>
    <row r="702" spans="1:27" ht="12.75" customHeight="1" x14ac:dyDescent="0.25">
      <c r="A702" s="78"/>
      <c r="B702" s="112"/>
      <c r="C702" s="77"/>
      <c r="D702" s="77"/>
      <c r="E702" s="77"/>
      <c r="F702" s="84"/>
      <c r="G702" s="92"/>
      <c r="H702" s="92"/>
      <c r="I702" s="92"/>
      <c r="J702" s="93"/>
      <c r="K702" s="93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</row>
    <row r="703" spans="1:27" ht="12.75" customHeight="1" x14ac:dyDescent="0.25">
      <c r="A703" s="78"/>
      <c r="B703" s="112"/>
      <c r="C703" s="77"/>
      <c r="D703" s="77"/>
      <c r="E703" s="77"/>
      <c r="F703" s="84"/>
      <c r="G703" s="92"/>
      <c r="H703" s="92"/>
      <c r="I703" s="92"/>
      <c r="J703" s="93"/>
      <c r="K703" s="93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</row>
    <row r="704" spans="1:27" ht="12.75" customHeight="1" x14ac:dyDescent="0.25">
      <c r="A704" s="78"/>
      <c r="B704" s="112"/>
      <c r="C704" s="77"/>
      <c r="D704" s="77"/>
      <c r="E704" s="77"/>
      <c r="F704" s="84"/>
      <c r="G704" s="92"/>
      <c r="H704" s="92"/>
      <c r="I704" s="92"/>
      <c r="J704" s="93"/>
      <c r="K704" s="93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</row>
    <row r="705" spans="1:27" ht="12.75" customHeight="1" x14ac:dyDescent="0.25">
      <c r="A705" s="78"/>
      <c r="B705" s="112"/>
      <c r="C705" s="77"/>
      <c r="D705" s="77"/>
      <c r="E705" s="77"/>
      <c r="F705" s="84"/>
      <c r="G705" s="92"/>
      <c r="H705" s="92"/>
      <c r="I705" s="92"/>
      <c r="J705" s="93"/>
      <c r="K705" s="93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</row>
    <row r="706" spans="1:27" ht="12.75" customHeight="1" x14ac:dyDescent="0.25">
      <c r="A706" s="78"/>
      <c r="B706" s="112"/>
      <c r="C706" s="77"/>
      <c r="D706" s="77"/>
      <c r="E706" s="77"/>
      <c r="F706" s="84"/>
      <c r="G706" s="92"/>
      <c r="H706" s="92"/>
      <c r="I706" s="92"/>
      <c r="J706" s="93"/>
      <c r="K706" s="93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</row>
    <row r="707" spans="1:27" ht="12.75" customHeight="1" x14ac:dyDescent="0.25">
      <c r="A707" s="78"/>
      <c r="B707" s="112"/>
      <c r="C707" s="77"/>
      <c r="D707" s="77"/>
      <c r="E707" s="77"/>
      <c r="F707" s="84"/>
      <c r="G707" s="92"/>
      <c r="H707" s="92"/>
      <c r="I707" s="92"/>
      <c r="J707" s="93"/>
      <c r="K707" s="93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</row>
    <row r="708" spans="1:27" ht="12.75" customHeight="1" x14ac:dyDescent="0.25">
      <c r="A708" s="78"/>
      <c r="B708" s="112"/>
      <c r="C708" s="77"/>
      <c r="D708" s="77"/>
      <c r="E708" s="77"/>
      <c r="F708" s="84"/>
      <c r="G708" s="92"/>
      <c r="H708" s="92"/>
      <c r="I708" s="92"/>
      <c r="J708" s="93"/>
      <c r="K708" s="93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</row>
    <row r="709" spans="1:27" ht="12.75" customHeight="1" x14ac:dyDescent="0.25">
      <c r="A709" s="78"/>
      <c r="B709" s="112"/>
      <c r="C709" s="77"/>
      <c r="D709" s="77"/>
      <c r="E709" s="77"/>
      <c r="F709" s="84"/>
      <c r="G709" s="92"/>
      <c r="H709" s="92"/>
      <c r="I709" s="92"/>
      <c r="J709" s="93"/>
      <c r="K709" s="93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</row>
    <row r="710" spans="1:27" ht="12.75" customHeight="1" x14ac:dyDescent="0.25">
      <c r="A710" s="78"/>
      <c r="B710" s="112"/>
      <c r="C710" s="77"/>
      <c r="D710" s="77"/>
      <c r="E710" s="77"/>
      <c r="F710" s="84"/>
      <c r="G710" s="92"/>
      <c r="H710" s="92"/>
      <c r="I710" s="92"/>
      <c r="J710" s="93"/>
      <c r="K710" s="93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</row>
    <row r="711" spans="1:27" ht="12.75" customHeight="1" x14ac:dyDescent="0.25">
      <c r="A711" s="78"/>
      <c r="B711" s="112"/>
      <c r="C711" s="77"/>
      <c r="D711" s="77"/>
      <c r="E711" s="77"/>
      <c r="F711" s="84"/>
      <c r="G711" s="92"/>
      <c r="H711" s="92"/>
      <c r="I711" s="92"/>
      <c r="J711" s="93"/>
      <c r="K711" s="93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</row>
    <row r="712" spans="1:27" ht="12.75" customHeight="1" x14ac:dyDescent="0.25">
      <c r="A712" s="78"/>
      <c r="B712" s="112"/>
      <c r="C712" s="77"/>
      <c r="D712" s="77"/>
      <c r="E712" s="77"/>
      <c r="F712" s="84"/>
      <c r="G712" s="92"/>
      <c r="H712" s="92"/>
      <c r="I712" s="92"/>
      <c r="J712" s="93"/>
      <c r="K712" s="93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</row>
    <row r="713" spans="1:27" ht="12.75" customHeight="1" x14ac:dyDescent="0.25">
      <c r="A713" s="78"/>
      <c r="B713" s="112"/>
      <c r="C713" s="77"/>
      <c r="D713" s="77"/>
      <c r="E713" s="77"/>
      <c r="F713" s="84"/>
      <c r="G713" s="92"/>
      <c r="H713" s="92"/>
      <c r="I713" s="92"/>
      <c r="J713" s="93"/>
      <c r="K713" s="93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</row>
    <row r="714" spans="1:27" ht="12.75" customHeight="1" x14ac:dyDescent="0.25">
      <c r="A714" s="78"/>
      <c r="B714" s="112"/>
      <c r="C714" s="77"/>
      <c r="D714" s="77"/>
      <c r="E714" s="77"/>
      <c r="F714" s="84"/>
      <c r="G714" s="92"/>
      <c r="H714" s="92"/>
      <c r="I714" s="92"/>
      <c r="J714" s="93"/>
      <c r="K714" s="93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</row>
    <row r="715" spans="1:27" ht="12.75" customHeight="1" x14ac:dyDescent="0.25">
      <c r="A715" s="78"/>
      <c r="B715" s="112"/>
      <c r="C715" s="77"/>
      <c r="D715" s="77"/>
      <c r="E715" s="77"/>
      <c r="F715" s="84"/>
      <c r="G715" s="92"/>
      <c r="H715" s="92"/>
      <c r="I715" s="92"/>
      <c r="J715" s="93"/>
      <c r="K715" s="93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</row>
    <row r="716" spans="1:27" ht="12.75" customHeight="1" x14ac:dyDescent="0.25">
      <c r="A716" s="78"/>
      <c r="B716" s="112"/>
      <c r="C716" s="77"/>
      <c r="D716" s="77"/>
      <c r="E716" s="77"/>
      <c r="F716" s="84"/>
      <c r="G716" s="92"/>
      <c r="H716" s="92"/>
      <c r="I716" s="92"/>
      <c r="J716" s="93"/>
      <c r="K716" s="93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</row>
    <row r="717" spans="1:27" ht="12.75" customHeight="1" x14ac:dyDescent="0.25">
      <c r="A717" s="78"/>
      <c r="B717" s="112"/>
      <c r="C717" s="77"/>
      <c r="D717" s="77"/>
      <c r="E717" s="77"/>
      <c r="F717" s="84"/>
      <c r="G717" s="92"/>
      <c r="H717" s="92"/>
      <c r="I717" s="92"/>
      <c r="J717" s="93"/>
      <c r="K717" s="93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</row>
    <row r="718" spans="1:27" ht="12.75" customHeight="1" x14ac:dyDescent="0.25">
      <c r="A718" s="78"/>
      <c r="B718" s="112"/>
      <c r="C718" s="77"/>
      <c r="D718" s="77"/>
      <c r="E718" s="77"/>
      <c r="F718" s="84"/>
      <c r="G718" s="92"/>
      <c r="H718" s="92"/>
      <c r="I718" s="92"/>
      <c r="J718" s="93"/>
      <c r="K718" s="93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</row>
    <row r="719" spans="1:27" ht="12.75" customHeight="1" x14ac:dyDescent="0.25">
      <c r="A719" s="78"/>
      <c r="B719" s="112"/>
      <c r="C719" s="77"/>
      <c r="D719" s="77"/>
      <c r="E719" s="77"/>
      <c r="F719" s="84"/>
      <c r="G719" s="92"/>
      <c r="H719" s="92"/>
      <c r="I719" s="92"/>
      <c r="J719" s="93"/>
      <c r="K719" s="93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</row>
    <row r="720" spans="1:27" ht="12.75" customHeight="1" x14ac:dyDescent="0.25">
      <c r="A720" s="78"/>
      <c r="B720" s="112"/>
      <c r="C720" s="77"/>
      <c r="D720" s="77"/>
      <c r="E720" s="77"/>
      <c r="F720" s="84"/>
      <c r="G720" s="92"/>
      <c r="H720" s="92"/>
      <c r="I720" s="92"/>
      <c r="J720" s="93"/>
      <c r="K720" s="93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</row>
    <row r="721" spans="1:27" ht="12.75" customHeight="1" x14ac:dyDescent="0.25">
      <c r="A721" s="78"/>
      <c r="B721" s="112"/>
      <c r="C721" s="77"/>
      <c r="D721" s="77"/>
      <c r="E721" s="77"/>
      <c r="F721" s="84"/>
      <c r="G721" s="92"/>
      <c r="H721" s="92"/>
      <c r="I721" s="92"/>
      <c r="J721" s="93"/>
      <c r="K721" s="93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</row>
    <row r="722" spans="1:27" ht="12.75" customHeight="1" x14ac:dyDescent="0.25">
      <c r="A722" s="78"/>
      <c r="B722" s="112"/>
      <c r="C722" s="77"/>
      <c r="D722" s="77"/>
      <c r="E722" s="77"/>
      <c r="F722" s="84"/>
      <c r="G722" s="92"/>
      <c r="H722" s="92"/>
      <c r="I722" s="92"/>
      <c r="J722" s="93"/>
      <c r="K722" s="93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</row>
    <row r="723" spans="1:27" ht="12.75" customHeight="1" x14ac:dyDescent="0.25">
      <c r="A723" s="78"/>
      <c r="B723" s="112"/>
      <c r="C723" s="77"/>
      <c r="D723" s="77"/>
      <c r="E723" s="77"/>
      <c r="F723" s="84"/>
      <c r="G723" s="92"/>
      <c r="H723" s="92"/>
      <c r="I723" s="92"/>
      <c r="J723" s="93"/>
      <c r="K723" s="93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</row>
    <row r="724" spans="1:27" ht="12.75" customHeight="1" x14ac:dyDescent="0.25">
      <c r="A724" s="78"/>
      <c r="B724" s="112"/>
      <c r="C724" s="77"/>
      <c r="D724" s="77"/>
      <c r="E724" s="77"/>
      <c r="F724" s="84"/>
      <c r="G724" s="92"/>
      <c r="H724" s="92"/>
      <c r="I724" s="92"/>
      <c r="J724" s="93"/>
      <c r="K724" s="93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</row>
    <row r="725" spans="1:27" ht="12.75" customHeight="1" x14ac:dyDescent="0.25">
      <c r="A725" s="78"/>
      <c r="B725" s="112"/>
      <c r="C725" s="77"/>
      <c r="D725" s="77"/>
      <c r="E725" s="77"/>
      <c r="F725" s="84"/>
      <c r="G725" s="92"/>
      <c r="H725" s="92"/>
      <c r="I725" s="92"/>
      <c r="J725" s="93"/>
      <c r="K725" s="93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</row>
    <row r="726" spans="1:27" ht="12.75" customHeight="1" x14ac:dyDescent="0.25">
      <c r="A726" s="78"/>
      <c r="B726" s="112"/>
      <c r="C726" s="77"/>
      <c r="D726" s="77"/>
      <c r="E726" s="77"/>
      <c r="F726" s="84"/>
      <c r="G726" s="92"/>
      <c r="H726" s="92"/>
      <c r="I726" s="92"/>
      <c r="J726" s="93"/>
      <c r="K726" s="93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</row>
    <row r="727" spans="1:27" ht="12.75" customHeight="1" x14ac:dyDescent="0.25">
      <c r="A727" s="78"/>
      <c r="B727" s="112"/>
      <c r="C727" s="77"/>
      <c r="D727" s="77"/>
      <c r="E727" s="77"/>
      <c r="F727" s="84"/>
      <c r="G727" s="92"/>
      <c r="H727" s="92"/>
      <c r="I727" s="92"/>
      <c r="J727" s="93"/>
      <c r="K727" s="93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</row>
    <row r="728" spans="1:27" ht="12.75" customHeight="1" x14ac:dyDescent="0.25">
      <c r="A728" s="78"/>
      <c r="B728" s="112"/>
      <c r="C728" s="77"/>
      <c r="D728" s="77"/>
      <c r="E728" s="77"/>
      <c r="F728" s="84"/>
      <c r="G728" s="92"/>
      <c r="H728" s="92"/>
      <c r="I728" s="92"/>
      <c r="J728" s="93"/>
      <c r="K728" s="93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</row>
    <row r="729" spans="1:27" ht="12.75" customHeight="1" x14ac:dyDescent="0.25">
      <c r="A729" s="78"/>
      <c r="B729" s="112"/>
      <c r="C729" s="77"/>
      <c r="D729" s="77"/>
      <c r="E729" s="77"/>
      <c r="F729" s="84"/>
      <c r="G729" s="92"/>
      <c r="H729" s="92"/>
      <c r="I729" s="92"/>
      <c r="J729" s="93"/>
      <c r="K729" s="93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</row>
    <row r="730" spans="1:27" ht="12.75" customHeight="1" x14ac:dyDescent="0.25">
      <c r="A730" s="78"/>
      <c r="B730" s="112"/>
      <c r="C730" s="77"/>
      <c r="D730" s="77"/>
      <c r="E730" s="77"/>
      <c r="F730" s="84"/>
      <c r="G730" s="92"/>
      <c r="H730" s="92"/>
      <c r="I730" s="92"/>
      <c r="J730" s="93"/>
      <c r="K730" s="93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</row>
    <row r="731" spans="1:27" ht="12.75" customHeight="1" x14ac:dyDescent="0.25">
      <c r="A731" s="78"/>
      <c r="B731" s="112"/>
      <c r="C731" s="77"/>
      <c r="D731" s="77"/>
      <c r="E731" s="77"/>
      <c r="F731" s="84"/>
      <c r="G731" s="92"/>
      <c r="H731" s="92"/>
      <c r="I731" s="92"/>
      <c r="J731" s="93"/>
      <c r="K731" s="93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</row>
    <row r="732" spans="1:27" ht="12.75" customHeight="1" x14ac:dyDescent="0.25">
      <c r="A732" s="78"/>
      <c r="B732" s="112"/>
      <c r="C732" s="77"/>
      <c r="D732" s="77"/>
      <c r="E732" s="77"/>
      <c r="F732" s="84"/>
      <c r="G732" s="92"/>
      <c r="H732" s="92"/>
      <c r="I732" s="92"/>
      <c r="J732" s="93"/>
      <c r="K732" s="93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</row>
    <row r="733" spans="1:27" ht="12.75" customHeight="1" x14ac:dyDescent="0.25">
      <c r="A733" s="78"/>
      <c r="B733" s="112"/>
      <c r="C733" s="77"/>
      <c r="D733" s="77"/>
      <c r="E733" s="77"/>
      <c r="F733" s="84"/>
      <c r="G733" s="92"/>
      <c r="H733" s="92"/>
      <c r="I733" s="92"/>
      <c r="J733" s="93"/>
      <c r="K733" s="93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</row>
    <row r="734" spans="1:27" ht="12.75" customHeight="1" x14ac:dyDescent="0.25">
      <c r="A734" s="78"/>
      <c r="B734" s="112"/>
      <c r="C734" s="77"/>
      <c r="D734" s="77"/>
      <c r="E734" s="77"/>
      <c r="F734" s="84"/>
      <c r="G734" s="92"/>
      <c r="H734" s="92"/>
      <c r="I734" s="92"/>
      <c r="J734" s="93"/>
      <c r="K734" s="93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</row>
    <row r="735" spans="1:27" ht="12.75" customHeight="1" x14ac:dyDescent="0.25">
      <c r="A735" s="78"/>
      <c r="B735" s="112"/>
      <c r="C735" s="77"/>
      <c r="D735" s="77"/>
      <c r="E735" s="77"/>
      <c r="F735" s="84"/>
      <c r="G735" s="92"/>
      <c r="H735" s="92"/>
      <c r="I735" s="92"/>
      <c r="J735" s="93"/>
      <c r="K735" s="93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</row>
    <row r="736" spans="1:27" ht="12.75" customHeight="1" x14ac:dyDescent="0.25">
      <c r="A736" s="78"/>
      <c r="B736" s="112"/>
      <c r="C736" s="77"/>
      <c r="D736" s="77"/>
      <c r="E736" s="77"/>
      <c r="F736" s="84"/>
      <c r="G736" s="92"/>
      <c r="H736" s="92"/>
      <c r="I736" s="92"/>
      <c r="J736" s="93"/>
      <c r="K736" s="93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</row>
    <row r="737" spans="1:27" ht="12.75" customHeight="1" x14ac:dyDescent="0.25">
      <c r="A737" s="78"/>
      <c r="B737" s="112"/>
      <c r="C737" s="77"/>
      <c r="D737" s="77"/>
      <c r="E737" s="77"/>
      <c r="F737" s="84"/>
      <c r="G737" s="92"/>
      <c r="H737" s="92"/>
      <c r="I737" s="92"/>
      <c r="J737" s="93"/>
      <c r="K737" s="93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</row>
    <row r="738" spans="1:27" ht="12.75" customHeight="1" x14ac:dyDescent="0.25">
      <c r="A738" s="78"/>
      <c r="B738" s="112"/>
      <c r="C738" s="77"/>
      <c r="D738" s="77"/>
      <c r="E738" s="77"/>
      <c r="F738" s="84"/>
      <c r="G738" s="92"/>
      <c r="H738" s="92"/>
      <c r="I738" s="92"/>
      <c r="J738" s="93"/>
      <c r="K738" s="93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</row>
    <row r="739" spans="1:27" ht="12.75" customHeight="1" x14ac:dyDescent="0.25">
      <c r="A739" s="78"/>
      <c r="B739" s="112"/>
      <c r="C739" s="77"/>
      <c r="D739" s="77"/>
      <c r="E739" s="77"/>
      <c r="F739" s="84"/>
      <c r="G739" s="92"/>
      <c r="H739" s="92"/>
      <c r="I739" s="92"/>
      <c r="J739" s="93"/>
      <c r="K739" s="93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</row>
    <row r="740" spans="1:27" ht="12.75" customHeight="1" x14ac:dyDescent="0.25">
      <c r="A740" s="78"/>
      <c r="B740" s="112"/>
      <c r="C740" s="77"/>
      <c r="D740" s="77"/>
      <c r="E740" s="77"/>
      <c r="F740" s="84"/>
      <c r="G740" s="92"/>
      <c r="H740" s="92"/>
      <c r="I740" s="92"/>
      <c r="J740" s="93"/>
      <c r="K740" s="93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</row>
    <row r="741" spans="1:27" ht="12.75" customHeight="1" x14ac:dyDescent="0.25">
      <c r="A741" s="78"/>
      <c r="B741" s="112"/>
      <c r="C741" s="77"/>
      <c r="D741" s="77"/>
      <c r="E741" s="77"/>
      <c r="F741" s="84"/>
      <c r="G741" s="92"/>
      <c r="H741" s="92"/>
      <c r="I741" s="92"/>
      <c r="J741" s="93"/>
      <c r="K741" s="93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</row>
    <row r="742" spans="1:27" ht="12.75" customHeight="1" x14ac:dyDescent="0.25">
      <c r="A742" s="78"/>
      <c r="B742" s="112"/>
      <c r="C742" s="77"/>
      <c r="D742" s="77"/>
      <c r="E742" s="77"/>
      <c r="F742" s="84"/>
      <c r="G742" s="92"/>
      <c r="H742" s="92"/>
      <c r="I742" s="92"/>
      <c r="J742" s="93"/>
      <c r="K742" s="93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</row>
    <row r="743" spans="1:27" ht="12.75" customHeight="1" x14ac:dyDescent="0.25">
      <c r="A743" s="78"/>
      <c r="B743" s="112"/>
      <c r="C743" s="77"/>
      <c r="D743" s="77"/>
      <c r="E743" s="77"/>
      <c r="F743" s="84"/>
      <c r="G743" s="92"/>
      <c r="H743" s="92"/>
      <c r="I743" s="92"/>
      <c r="J743" s="93"/>
      <c r="K743" s="93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</row>
    <row r="744" spans="1:27" ht="12.75" customHeight="1" x14ac:dyDescent="0.25">
      <c r="A744" s="78"/>
      <c r="B744" s="112"/>
      <c r="C744" s="77"/>
      <c r="D744" s="77"/>
      <c r="E744" s="77"/>
      <c r="F744" s="84"/>
      <c r="G744" s="92"/>
      <c r="H744" s="92"/>
      <c r="I744" s="92"/>
      <c r="J744" s="93"/>
      <c r="K744" s="93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</row>
    <row r="745" spans="1:27" ht="12.75" customHeight="1" x14ac:dyDescent="0.25">
      <c r="A745" s="78"/>
      <c r="B745" s="112"/>
      <c r="C745" s="77"/>
      <c r="D745" s="77"/>
      <c r="E745" s="77"/>
      <c r="F745" s="84"/>
      <c r="G745" s="92"/>
      <c r="H745" s="92"/>
      <c r="I745" s="92"/>
      <c r="J745" s="93"/>
      <c r="K745" s="93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</row>
    <row r="746" spans="1:27" ht="12.75" customHeight="1" x14ac:dyDescent="0.25">
      <c r="A746" s="78"/>
      <c r="B746" s="112"/>
      <c r="C746" s="77"/>
      <c r="D746" s="77"/>
      <c r="E746" s="77"/>
      <c r="F746" s="84"/>
      <c r="G746" s="92"/>
      <c r="H746" s="92"/>
      <c r="I746" s="92"/>
      <c r="J746" s="93"/>
      <c r="K746" s="93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</row>
    <row r="747" spans="1:27" ht="12.75" customHeight="1" x14ac:dyDescent="0.25">
      <c r="A747" s="78"/>
      <c r="B747" s="112"/>
      <c r="C747" s="77"/>
      <c r="D747" s="77"/>
      <c r="E747" s="77"/>
      <c r="F747" s="84"/>
      <c r="G747" s="92"/>
      <c r="H747" s="92"/>
      <c r="I747" s="92"/>
      <c r="J747" s="93"/>
      <c r="K747" s="93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</row>
    <row r="748" spans="1:27" ht="12.75" customHeight="1" x14ac:dyDescent="0.25">
      <c r="A748" s="78"/>
      <c r="B748" s="112"/>
      <c r="C748" s="77"/>
      <c r="D748" s="77"/>
      <c r="E748" s="77"/>
      <c r="F748" s="84"/>
      <c r="G748" s="92"/>
      <c r="H748" s="92"/>
      <c r="I748" s="92"/>
      <c r="J748" s="93"/>
      <c r="K748" s="93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</row>
    <row r="749" spans="1:27" ht="12.75" customHeight="1" x14ac:dyDescent="0.25">
      <c r="A749" s="78"/>
      <c r="B749" s="112"/>
      <c r="C749" s="77"/>
      <c r="D749" s="77"/>
      <c r="E749" s="77"/>
      <c r="F749" s="84"/>
      <c r="G749" s="92"/>
      <c r="H749" s="92"/>
      <c r="I749" s="92"/>
      <c r="J749" s="93"/>
      <c r="K749" s="93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</row>
    <row r="750" spans="1:27" ht="12.75" customHeight="1" x14ac:dyDescent="0.25">
      <c r="A750" s="78"/>
      <c r="B750" s="112"/>
      <c r="C750" s="77"/>
      <c r="D750" s="77"/>
      <c r="E750" s="77"/>
      <c r="F750" s="84"/>
      <c r="G750" s="92"/>
      <c r="H750" s="92"/>
      <c r="I750" s="92"/>
      <c r="J750" s="93"/>
      <c r="K750" s="93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</row>
    <row r="751" spans="1:27" ht="12.75" customHeight="1" x14ac:dyDescent="0.25">
      <c r="A751" s="78"/>
      <c r="B751" s="112"/>
      <c r="C751" s="77"/>
      <c r="D751" s="77"/>
      <c r="E751" s="77"/>
      <c r="F751" s="84"/>
      <c r="G751" s="92"/>
      <c r="H751" s="92"/>
      <c r="I751" s="92"/>
      <c r="J751" s="93"/>
      <c r="K751" s="93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</row>
    <row r="752" spans="1:27" ht="12.75" customHeight="1" x14ac:dyDescent="0.25">
      <c r="A752" s="78"/>
      <c r="B752" s="112"/>
      <c r="C752" s="77"/>
      <c r="D752" s="77"/>
      <c r="E752" s="77"/>
      <c r="F752" s="84"/>
      <c r="G752" s="92"/>
      <c r="H752" s="92"/>
      <c r="I752" s="92"/>
      <c r="J752" s="93"/>
      <c r="K752" s="93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</row>
    <row r="753" spans="1:27" ht="12.75" customHeight="1" x14ac:dyDescent="0.25">
      <c r="A753" s="78"/>
      <c r="B753" s="112"/>
      <c r="C753" s="77"/>
      <c r="D753" s="77"/>
      <c r="E753" s="77"/>
      <c r="F753" s="84"/>
      <c r="G753" s="92"/>
      <c r="H753" s="92"/>
      <c r="I753" s="92"/>
      <c r="J753" s="93"/>
      <c r="K753" s="93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</row>
    <row r="754" spans="1:27" ht="12.75" customHeight="1" x14ac:dyDescent="0.25">
      <c r="A754" s="78"/>
      <c r="B754" s="112"/>
      <c r="C754" s="77"/>
      <c r="D754" s="77"/>
      <c r="E754" s="77"/>
      <c r="F754" s="84"/>
      <c r="G754" s="92"/>
      <c r="H754" s="92"/>
      <c r="I754" s="92"/>
      <c r="J754" s="93"/>
      <c r="K754" s="93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</row>
    <row r="755" spans="1:27" ht="12.75" customHeight="1" x14ac:dyDescent="0.25">
      <c r="A755" s="78"/>
      <c r="B755" s="112"/>
      <c r="C755" s="77"/>
      <c r="D755" s="77"/>
      <c r="E755" s="77"/>
      <c r="F755" s="84"/>
      <c r="G755" s="92"/>
      <c r="H755" s="92"/>
      <c r="I755" s="92"/>
      <c r="J755" s="93"/>
      <c r="K755" s="93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</row>
    <row r="756" spans="1:27" ht="12.75" customHeight="1" x14ac:dyDescent="0.25">
      <c r="A756" s="78"/>
      <c r="B756" s="112"/>
      <c r="C756" s="77"/>
      <c r="D756" s="77"/>
      <c r="E756" s="77"/>
      <c r="F756" s="84"/>
      <c r="G756" s="92"/>
      <c r="H756" s="92"/>
      <c r="I756" s="92"/>
      <c r="J756" s="93"/>
      <c r="K756" s="93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</row>
    <row r="757" spans="1:27" ht="12.75" customHeight="1" x14ac:dyDescent="0.25">
      <c r="A757" s="78"/>
      <c r="B757" s="112"/>
      <c r="C757" s="77"/>
      <c r="D757" s="77"/>
      <c r="E757" s="77"/>
      <c r="F757" s="84"/>
      <c r="G757" s="92"/>
      <c r="H757" s="92"/>
      <c r="I757" s="92"/>
      <c r="J757" s="93"/>
      <c r="K757" s="93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</row>
    <row r="758" spans="1:27" ht="12.75" customHeight="1" x14ac:dyDescent="0.25">
      <c r="A758" s="78"/>
      <c r="B758" s="112"/>
      <c r="C758" s="77"/>
      <c r="D758" s="77"/>
      <c r="E758" s="77"/>
      <c r="F758" s="84"/>
      <c r="G758" s="92"/>
      <c r="H758" s="92"/>
      <c r="I758" s="92"/>
      <c r="J758" s="93"/>
      <c r="K758" s="93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</row>
    <row r="759" spans="1:27" ht="12.75" customHeight="1" x14ac:dyDescent="0.25">
      <c r="A759" s="78"/>
      <c r="B759" s="112"/>
      <c r="C759" s="77"/>
      <c r="D759" s="77"/>
      <c r="E759" s="77"/>
      <c r="F759" s="84"/>
      <c r="G759" s="92"/>
      <c r="H759" s="92"/>
      <c r="I759" s="92"/>
      <c r="J759" s="93"/>
      <c r="K759" s="93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</row>
    <row r="760" spans="1:27" ht="12.75" customHeight="1" x14ac:dyDescent="0.25">
      <c r="A760" s="78"/>
      <c r="B760" s="112"/>
      <c r="C760" s="77"/>
      <c r="D760" s="77"/>
      <c r="E760" s="77"/>
      <c r="F760" s="84"/>
      <c r="G760" s="92"/>
      <c r="H760" s="92"/>
      <c r="I760" s="92"/>
      <c r="J760" s="93"/>
      <c r="K760" s="93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</row>
    <row r="761" spans="1:27" ht="12.75" customHeight="1" x14ac:dyDescent="0.25">
      <c r="A761" s="78"/>
      <c r="B761" s="112"/>
      <c r="C761" s="77"/>
      <c r="D761" s="77"/>
      <c r="E761" s="77"/>
      <c r="F761" s="84"/>
      <c r="G761" s="92"/>
      <c r="H761" s="92"/>
      <c r="I761" s="92"/>
      <c r="J761" s="93"/>
      <c r="K761" s="93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</row>
    <row r="762" spans="1:27" ht="12.75" customHeight="1" x14ac:dyDescent="0.25">
      <c r="A762" s="78"/>
      <c r="B762" s="112"/>
      <c r="C762" s="77"/>
      <c r="D762" s="77"/>
      <c r="E762" s="77"/>
      <c r="F762" s="84"/>
      <c r="G762" s="92"/>
      <c r="H762" s="92"/>
      <c r="I762" s="92"/>
      <c r="J762" s="93"/>
      <c r="K762" s="93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</row>
    <row r="763" spans="1:27" ht="12.75" customHeight="1" x14ac:dyDescent="0.25">
      <c r="A763" s="78"/>
      <c r="B763" s="112"/>
      <c r="C763" s="77"/>
      <c r="D763" s="77"/>
      <c r="E763" s="77"/>
      <c r="F763" s="84"/>
      <c r="G763" s="92"/>
      <c r="H763" s="92"/>
      <c r="I763" s="92"/>
      <c r="J763" s="93"/>
      <c r="K763" s="93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</row>
    <row r="764" spans="1:27" ht="12.75" customHeight="1" x14ac:dyDescent="0.25">
      <c r="A764" s="78"/>
      <c r="B764" s="112"/>
      <c r="C764" s="77"/>
      <c r="D764" s="77"/>
      <c r="E764" s="77"/>
      <c r="F764" s="84"/>
      <c r="G764" s="92"/>
      <c r="H764" s="92"/>
      <c r="I764" s="92"/>
      <c r="J764" s="93"/>
      <c r="K764" s="93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</row>
    <row r="765" spans="1:27" ht="12.75" customHeight="1" x14ac:dyDescent="0.25">
      <c r="A765" s="78"/>
      <c r="B765" s="112"/>
      <c r="C765" s="77"/>
      <c r="D765" s="77"/>
      <c r="E765" s="77"/>
      <c r="F765" s="84"/>
      <c r="G765" s="92"/>
      <c r="H765" s="92"/>
      <c r="I765" s="92"/>
      <c r="J765" s="93"/>
      <c r="K765" s="93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</row>
    <row r="766" spans="1:27" ht="12.75" customHeight="1" x14ac:dyDescent="0.25">
      <c r="A766" s="78"/>
      <c r="B766" s="112"/>
      <c r="C766" s="77"/>
      <c r="D766" s="77"/>
      <c r="E766" s="77"/>
      <c r="F766" s="84"/>
      <c r="G766" s="92"/>
      <c r="H766" s="92"/>
      <c r="I766" s="92"/>
      <c r="J766" s="93"/>
      <c r="K766" s="93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</row>
    <row r="767" spans="1:27" ht="12.75" customHeight="1" x14ac:dyDescent="0.25">
      <c r="A767" s="78"/>
      <c r="B767" s="112"/>
      <c r="C767" s="77"/>
      <c r="D767" s="77"/>
      <c r="E767" s="77"/>
      <c r="F767" s="84"/>
      <c r="G767" s="92"/>
      <c r="H767" s="92"/>
      <c r="I767" s="92"/>
      <c r="J767" s="93"/>
      <c r="K767" s="93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</row>
    <row r="768" spans="1:27" ht="12.75" customHeight="1" x14ac:dyDescent="0.25">
      <c r="A768" s="78"/>
      <c r="B768" s="112"/>
      <c r="C768" s="77"/>
      <c r="D768" s="77"/>
      <c r="E768" s="77"/>
      <c r="F768" s="84"/>
      <c r="G768" s="92"/>
      <c r="H768" s="92"/>
      <c r="I768" s="92"/>
      <c r="J768" s="93"/>
      <c r="K768" s="93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</row>
    <row r="769" spans="1:27" ht="12.75" customHeight="1" x14ac:dyDescent="0.25">
      <c r="A769" s="78"/>
      <c r="B769" s="112"/>
      <c r="C769" s="77"/>
      <c r="D769" s="77"/>
      <c r="E769" s="77"/>
      <c r="F769" s="84"/>
      <c r="G769" s="92"/>
      <c r="H769" s="92"/>
      <c r="I769" s="92"/>
      <c r="J769" s="93"/>
      <c r="K769" s="93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</row>
    <row r="770" spans="1:27" ht="12.75" customHeight="1" x14ac:dyDescent="0.25">
      <c r="A770" s="78"/>
      <c r="B770" s="112"/>
      <c r="C770" s="77"/>
      <c r="D770" s="77"/>
      <c r="E770" s="77"/>
      <c r="F770" s="84"/>
      <c r="G770" s="92"/>
      <c r="H770" s="92"/>
      <c r="I770" s="92"/>
      <c r="J770" s="93"/>
      <c r="K770" s="93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</row>
    <row r="771" spans="1:27" ht="12.75" customHeight="1" x14ac:dyDescent="0.25">
      <c r="A771" s="78"/>
      <c r="B771" s="112"/>
      <c r="C771" s="77"/>
      <c r="D771" s="77"/>
      <c r="E771" s="77"/>
      <c r="F771" s="84"/>
      <c r="G771" s="92"/>
      <c r="H771" s="92"/>
      <c r="I771" s="92"/>
      <c r="J771" s="93"/>
      <c r="K771" s="93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</row>
    <row r="772" spans="1:27" ht="12.75" customHeight="1" x14ac:dyDescent="0.25">
      <c r="A772" s="78"/>
      <c r="B772" s="112"/>
      <c r="C772" s="77"/>
      <c r="D772" s="77"/>
      <c r="E772" s="77"/>
      <c r="F772" s="84"/>
      <c r="G772" s="92"/>
      <c r="H772" s="92"/>
      <c r="I772" s="92"/>
      <c r="J772" s="93"/>
      <c r="K772" s="93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</row>
    <row r="773" spans="1:27" ht="12.75" customHeight="1" x14ac:dyDescent="0.25">
      <c r="A773" s="78"/>
      <c r="B773" s="112"/>
      <c r="C773" s="77"/>
      <c r="D773" s="77"/>
      <c r="E773" s="77"/>
      <c r="F773" s="84"/>
      <c r="G773" s="92"/>
      <c r="H773" s="92"/>
      <c r="I773" s="92"/>
      <c r="J773" s="93"/>
      <c r="K773" s="93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</row>
    <row r="774" spans="1:27" ht="12.75" customHeight="1" x14ac:dyDescent="0.25">
      <c r="A774" s="78"/>
      <c r="B774" s="112"/>
      <c r="C774" s="77"/>
      <c r="D774" s="77"/>
      <c r="E774" s="77"/>
      <c r="F774" s="84"/>
      <c r="G774" s="92"/>
      <c r="H774" s="92"/>
      <c r="I774" s="92"/>
      <c r="J774" s="93"/>
      <c r="K774" s="93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</row>
    <row r="775" spans="1:27" ht="12.75" customHeight="1" x14ac:dyDescent="0.25">
      <c r="A775" s="78"/>
      <c r="B775" s="112"/>
      <c r="C775" s="77"/>
      <c r="D775" s="77"/>
      <c r="E775" s="77"/>
      <c r="F775" s="84"/>
      <c r="G775" s="92"/>
      <c r="H775" s="92"/>
      <c r="I775" s="92"/>
      <c r="J775" s="93"/>
      <c r="K775" s="93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</row>
    <row r="776" spans="1:27" ht="12.75" customHeight="1" x14ac:dyDescent="0.25">
      <c r="A776" s="78"/>
      <c r="B776" s="112"/>
      <c r="C776" s="77"/>
      <c r="D776" s="77"/>
      <c r="E776" s="77"/>
      <c r="F776" s="84"/>
      <c r="G776" s="92"/>
      <c r="H776" s="92"/>
      <c r="I776" s="92"/>
      <c r="J776" s="93"/>
      <c r="K776" s="93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</row>
    <row r="777" spans="1:27" ht="12.75" customHeight="1" x14ac:dyDescent="0.25">
      <c r="A777" s="78"/>
      <c r="B777" s="112"/>
      <c r="C777" s="77"/>
      <c r="D777" s="77"/>
      <c r="E777" s="77"/>
      <c r="F777" s="84"/>
      <c r="G777" s="92"/>
      <c r="H777" s="92"/>
      <c r="I777" s="92"/>
      <c r="J777" s="93"/>
      <c r="K777" s="93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</row>
    <row r="778" spans="1:27" ht="12.75" customHeight="1" x14ac:dyDescent="0.25">
      <c r="A778" s="78"/>
      <c r="B778" s="112"/>
      <c r="C778" s="77"/>
      <c r="D778" s="77"/>
      <c r="E778" s="77"/>
      <c r="F778" s="84"/>
      <c r="G778" s="92"/>
      <c r="H778" s="92"/>
      <c r="I778" s="92"/>
      <c r="J778" s="93"/>
      <c r="K778" s="93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</row>
    <row r="779" spans="1:27" ht="12.75" customHeight="1" x14ac:dyDescent="0.25">
      <c r="A779" s="78"/>
      <c r="B779" s="112"/>
      <c r="C779" s="77"/>
      <c r="D779" s="77"/>
      <c r="E779" s="77"/>
      <c r="F779" s="84"/>
      <c r="G779" s="92"/>
      <c r="H779" s="92"/>
      <c r="I779" s="92"/>
      <c r="J779" s="93"/>
      <c r="K779" s="93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</row>
    <row r="780" spans="1:27" ht="12.75" customHeight="1" x14ac:dyDescent="0.25">
      <c r="A780" s="78"/>
      <c r="B780" s="112"/>
      <c r="C780" s="77"/>
      <c r="D780" s="77"/>
      <c r="E780" s="77"/>
      <c r="F780" s="84"/>
      <c r="G780" s="92"/>
      <c r="H780" s="92"/>
      <c r="I780" s="92"/>
      <c r="J780" s="93"/>
      <c r="K780" s="93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</row>
    <row r="781" spans="1:27" ht="12.75" customHeight="1" x14ac:dyDescent="0.25">
      <c r="A781" s="78"/>
      <c r="B781" s="112"/>
      <c r="C781" s="77"/>
      <c r="D781" s="77"/>
      <c r="E781" s="77"/>
      <c r="F781" s="84"/>
      <c r="G781" s="92"/>
      <c r="H781" s="92"/>
      <c r="I781" s="92"/>
      <c r="J781" s="93"/>
      <c r="K781" s="93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</row>
    <row r="782" spans="1:27" ht="12.75" customHeight="1" x14ac:dyDescent="0.25">
      <c r="A782" s="78"/>
      <c r="B782" s="112"/>
      <c r="C782" s="77"/>
      <c r="D782" s="77"/>
      <c r="E782" s="77"/>
      <c r="F782" s="84"/>
      <c r="G782" s="92"/>
      <c r="H782" s="92"/>
      <c r="I782" s="92"/>
      <c r="J782" s="93"/>
      <c r="K782" s="93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</row>
    <row r="783" spans="1:27" ht="12.75" customHeight="1" x14ac:dyDescent="0.25">
      <c r="A783" s="78"/>
      <c r="B783" s="112"/>
      <c r="C783" s="77"/>
      <c r="D783" s="77"/>
      <c r="E783" s="77"/>
      <c r="F783" s="84"/>
      <c r="G783" s="92"/>
      <c r="H783" s="92"/>
      <c r="I783" s="92"/>
      <c r="J783" s="93"/>
      <c r="K783" s="93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</row>
    <row r="784" spans="1:27" ht="12.75" customHeight="1" x14ac:dyDescent="0.25">
      <c r="A784" s="78"/>
      <c r="B784" s="112"/>
      <c r="C784" s="77"/>
      <c r="D784" s="77"/>
      <c r="E784" s="77"/>
      <c r="F784" s="84"/>
      <c r="G784" s="92"/>
      <c r="H784" s="92"/>
      <c r="I784" s="92"/>
      <c r="J784" s="93"/>
      <c r="K784" s="93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</row>
    <row r="785" spans="1:27" ht="12.75" customHeight="1" x14ac:dyDescent="0.25">
      <c r="A785" s="78"/>
      <c r="B785" s="112"/>
      <c r="C785" s="77"/>
      <c r="D785" s="77"/>
      <c r="E785" s="77"/>
      <c r="F785" s="84"/>
      <c r="G785" s="92"/>
      <c r="H785" s="92"/>
      <c r="I785" s="92"/>
      <c r="J785" s="93"/>
      <c r="K785" s="93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</row>
    <row r="786" spans="1:27" ht="12.75" customHeight="1" x14ac:dyDescent="0.25">
      <c r="A786" s="78"/>
      <c r="B786" s="112"/>
      <c r="C786" s="77"/>
      <c r="D786" s="77"/>
      <c r="E786" s="77"/>
      <c r="F786" s="84"/>
      <c r="G786" s="92"/>
      <c r="H786" s="92"/>
      <c r="I786" s="92"/>
      <c r="J786" s="93"/>
      <c r="K786" s="93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</row>
    <row r="787" spans="1:27" ht="12.75" customHeight="1" x14ac:dyDescent="0.25">
      <c r="A787" s="78"/>
      <c r="B787" s="112"/>
      <c r="C787" s="77"/>
      <c r="D787" s="77"/>
      <c r="E787" s="77"/>
      <c r="F787" s="84"/>
      <c r="G787" s="92"/>
      <c r="H787" s="92"/>
      <c r="I787" s="92"/>
      <c r="J787" s="93"/>
      <c r="K787" s="93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</row>
    <row r="788" spans="1:27" ht="12.75" customHeight="1" x14ac:dyDescent="0.25">
      <c r="A788" s="78"/>
      <c r="B788" s="112"/>
      <c r="C788" s="77"/>
      <c r="D788" s="77"/>
      <c r="E788" s="77"/>
      <c r="F788" s="84"/>
      <c r="G788" s="92"/>
      <c r="H788" s="92"/>
      <c r="I788" s="92"/>
      <c r="J788" s="93"/>
      <c r="K788" s="93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</row>
    <row r="789" spans="1:27" ht="12.75" customHeight="1" x14ac:dyDescent="0.25">
      <c r="A789" s="78"/>
      <c r="B789" s="112"/>
      <c r="C789" s="77"/>
      <c r="D789" s="77"/>
      <c r="E789" s="77"/>
      <c r="F789" s="84"/>
      <c r="G789" s="92"/>
      <c r="H789" s="92"/>
      <c r="I789" s="92"/>
      <c r="J789" s="93"/>
      <c r="K789" s="93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</row>
    <row r="790" spans="1:27" ht="12.75" customHeight="1" x14ac:dyDescent="0.25">
      <c r="A790" s="78"/>
      <c r="B790" s="112"/>
      <c r="C790" s="77"/>
      <c r="D790" s="77"/>
      <c r="E790" s="77"/>
      <c r="F790" s="84"/>
      <c r="G790" s="92"/>
      <c r="H790" s="92"/>
      <c r="I790" s="92"/>
      <c r="J790" s="93"/>
      <c r="K790" s="93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</row>
    <row r="791" spans="1:27" ht="12.75" customHeight="1" x14ac:dyDescent="0.25">
      <c r="A791" s="78"/>
      <c r="B791" s="112"/>
      <c r="C791" s="77"/>
      <c r="D791" s="77"/>
      <c r="E791" s="77"/>
      <c r="F791" s="84"/>
      <c r="G791" s="92"/>
      <c r="H791" s="92"/>
      <c r="I791" s="92"/>
      <c r="J791" s="93"/>
      <c r="K791" s="93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</row>
    <row r="792" spans="1:27" ht="12.75" customHeight="1" x14ac:dyDescent="0.25">
      <c r="A792" s="78"/>
      <c r="B792" s="112"/>
      <c r="C792" s="77"/>
      <c r="D792" s="77"/>
      <c r="E792" s="77"/>
      <c r="F792" s="84"/>
      <c r="G792" s="92"/>
      <c r="H792" s="92"/>
      <c r="I792" s="92"/>
      <c r="J792" s="93"/>
      <c r="K792" s="93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</row>
    <row r="793" spans="1:27" ht="12.75" customHeight="1" x14ac:dyDescent="0.25">
      <c r="A793" s="78"/>
      <c r="B793" s="112"/>
      <c r="C793" s="77"/>
      <c r="D793" s="77"/>
      <c r="E793" s="77"/>
      <c r="F793" s="84"/>
      <c r="G793" s="92"/>
      <c r="H793" s="92"/>
      <c r="I793" s="92"/>
      <c r="J793" s="93"/>
      <c r="K793" s="93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</row>
    <row r="794" spans="1:27" ht="12.75" customHeight="1" x14ac:dyDescent="0.25">
      <c r="A794" s="78"/>
      <c r="B794" s="112"/>
      <c r="C794" s="77"/>
      <c r="D794" s="77"/>
      <c r="E794" s="77"/>
      <c r="F794" s="84"/>
      <c r="G794" s="92"/>
      <c r="H794" s="92"/>
      <c r="I794" s="92"/>
      <c r="J794" s="93"/>
      <c r="K794" s="93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</row>
    <row r="795" spans="1:27" ht="12.75" customHeight="1" x14ac:dyDescent="0.25">
      <c r="A795" s="78"/>
      <c r="B795" s="112"/>
      <c r="C795" s="77"/>
      <c r="D795" s="77"/>
      <c r="E795" s="77"/>
      <c r="F795" s="84"/>
      <c r="G795" s="92"/>
      <c r="H795" s="92"/>
      <c r="I795" s="92"/>
      <c r="J795" s="93"/>
      <c r="K795" s="93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</row>
    <row r="796" spans="1:27" ht="12.75" customHeight="1" x14ac:dyDescent="0.25">
      <c r="A796" s="78"/>
      <c r="B796" s="112"/>
      <c r="C796" s="77"/>
      <c r="D796" s="77"/>
      <c r="E796" s="77"/>
      <c r="F796" s="84"/>
      <c r="G796" s="92"/>
      <c r="H796" s="92"/>
      <c r="I796" s="92"/>
      <c r="J796" s="93"/>
      <c r="K796" s="93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</row>
    <row r="797" spans="1:27" ht="12.75" customHeight="1" x14ac:dyDescent="0.25">
      <c r="A797" s="78"/>
      <c r="B797" s="112"/>
      <c r="C797" s="77"/>
      <c r="D797" s="77"/>
      <c r="E797" s="77"/>
      <c r="F797" s="84"/>
      <c r="G797" s="92"/>
      <c r="H797" s="92"/>
      <c r="I797" s="92"/>
      <c r="J797" s="93"/>
      <c r="K797" s="93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</row>
    <row r="798" spans="1:27" ht="12.75" customHeight="1" x14ac:dyDescent="0.25">
      <c r="A798" s="78"/>
      <c r="B798" s="112"/>
      <c r="C798" s="77"/>
      <c r="D798" s="77"/>
      <c r="E798" s="77"/>
      <c r="F798" s="84"/>
      <c r="G798" s="92"/>
      <c r="H798" s="92"/>
      <c r="I798" s="92"/>
      <c r="J798" s="93"/>
      <c r="K798" s="93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</row>
    <row r="799" spans="1:27" ht="12.75" customHeight="1" x14ac:dyDescent="0.25">
      <c r="A799" s="78"/>
      <c r="B799" s="112"/>
      <c r="C799" s="77"/>
      <c r="D799" s="77"/>
      <c r="E799" s="77"/>
      <c r="F799" s="84"/>
      <c r="G799" s="92"/>
      <c r="H799" s="92"/>
      <c r="I799" s="92"/>
      <c r="J799" s="93"/>
      <c r="K799" s="93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</row>
    <row r="800" spans="1:27" ht="12.75" customHeight="1" x14ac:dyDescent="0.25">
      <c r="A800" s="78"/>
      <c r="B800" s="112"/>
      <c r="C800" s="77"/>
      <c r="D800" s="77"/>
      <c r="E800" s="77"/>
      <c r="F800" s="84"/>
      <c r="G800" s="92"/>
      <c r="H800" s="92"/>
      <c r="I800" s="92"/>
      <c r="J800" s="93"/>
      <c r="K800" s="93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</row>
    <row r="801" spans="1:27" ht="12.75" customHeight="1" x14ac:dyDescent="0.25">
      <c r="A801" s="78"/>
      <c r="B801" s="112"/>
      <c r="C801" s="77"/>
      <c r="D801" s="77"/>
      <c r="E801" s="77"/>
      <c r="F801" s="84"/>
      <c r="G801" s="92"/>
      <c r="H801" s="92"/>
      <c r="I801" s="92"/>
      <c r="J801" s="93"/>
      <c r="K801" s="93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</row>
    <row r="802" spans="1:27" ht="12.75" customHeight="1" x14ac:dyDescent="0.25">
      <c r="A802" s="78"/>
      <c r="B802" s="112"/>
      <c r="C802" s="77"/>
      <c r="D802" s="77"/>
      <c r="E802" s="77"/>
      <c r="F802" s="84"/>
      <c r="G802" s="92"/>
      <c r="H802" s="92"/>
      <c r="I802" s="92"/>
      <c r="J802" s="93"/>
      <c r="K802" s="93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</row>
    <row r="803" spans="1:27" ht="12.75" customHeight="1" x14ac:dyDescent="0.25">
      <c r="A803" s="78"/>
      <c r="B803" s="112"/>
      <c r="C803" s="77"/>
      <c r="D803" s="77"/>
      <c r="E803" s="77"/>
      <c r="F803" s="84"/>
      <c r="G803" s="92"/>
      <c r="H803" s="92"/>
      <c r="I803" s="92"/>
      <c r="J803" s="93"/>
      <c r="K803" s="93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</row>
    <row r="804" spans="1:27" ht="12.75" customHeight="1" x14ac:dyDescent="0.25">
      <c r="A804" s="78"/>
      <c r="B804" s="112"/>
      <c r="C804" s="77"/>
      <c r="D804" s="77"/>
      <c r="E804" s="77"/>
      <c r="F804" s="84"/>
      <c r="G804" s="92"/>
      <c r="H804" s="92"/>
      <c r="I804" s="92"/>
      <c r="J804" s="93"/>
      <c r="K804" s="93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</row>
    <row r="805" spans="1:27" ht="12.75" customHeight="1" x14ac:dyDescent="0.25">
      <c r="A805" s="78"/>
      <c r="B805" s="112"/>
      <c r="C805" s="77"/>
      <c r="D805" s="77"/>
      <c r="E805" s="77"/>
      <c r="F805" s="84"/>
      <c r="G805" s="92"/>
      <c r="H805" s="92"/>
      <c r="I805" s="92"/>
      <c r="J805" s="93"/>
      <c r="K805" s="93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</row>
    <row r="806" spans="1:27" ht="12.75" customHeight="1" x14ac:dyDescent="0.25">
      <c r="A806" s="78"/>
      <c r="B806" s="112"/>
      <c r="C806" s="77"/>
      <c r="D806" s="77"/>
      <c r="E806" s="77"/>
      <c r="F806" s="84"/>
      <c r="G806" s="92"/>
      <c r="H806" s="92"/>
      <c r="I806" s="92"/>
      <c r="J806" s="93"/>
      <c r="K806" s="93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</row>
    <row r="807" spans="1:27" ht="12.75" customHeight="1" x14ac:dyDescent="0.25">
      <c r="A807" s="78"/>
      <c r="B807" s="112"/>
      <c r="C807" s="77"/>
      <c r="D807" s="77"/>
      <c r="E807" s="77"/>
      <c r="F807" s="84"/>
      <c r="G807" s="92"/>
      <c r="H807" s="92"/>
      <c r="I807" s="92"/>
      <c r="J807" s="93"/>
      <c r="K807" s="93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</row>
    <row r="808" spans="1:27" ht="12.75" customHeight="1" x14ac:dyDescent="0.25">
      <c r="A808" s="78"/>
      <c r="B808" s="112"/>
      <c r="C808" s="77"/>
      <c r="D808" s="77"/>
      <c r="E808" s="77"/>
      <c r="F808" s="84"/>
      <c r="G808" s="92"/>
      <c r="H808" s="92"/>
      <c r="I808" s="92"/>
      <c r="J808" s="93"/>
      <c r="K808" s="93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</row>
    <row r="809" spans="1:27" ht="12.75" customHeight="1" x14ac:dyDescent="0.25">
      <c r="A809" s="78"/>
      <c r="B809" s="112"/>
      <c r="C809" s="77"/>
      <c r="D809" s="77"/>
      <c r="E809" s="77"/>
      <c r="F809" s="84"/>
      <c r="G809" s="92"/>
      <c r="H809" s="92"/>
      <c r="I809" s="92"/>
      <c r="J809" s="93"/>
      <c r="K809" s="93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</row>
    <row r="810" spans="1:27" ht="12.75" customHeight="1" x14ac:dyDescent="0.25">
      <c r="A810" s="78"/>
      <c r="B810" s="112"/>
      <c r="C810" s="77"/>
      <c r="D810" s="77"/>
      <c r="E810" s="77"/>
      <c r="F810" s="84"/>
      <c r="G810" s="92"/>
      <c r="H810" s="92"/>
      <c r="I810" s="92"/>
      <c r="J810" s="93"/>
      <c r="K810" s="93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</row>
    <row r="811" spans="1:27" ht="12.75" customHeight="1" x14ac:dyDescent="0.25">
      <c r="A811" s="78"/>
      <c r="B811" s="112"/>
      <c r="C811" s="77"/>
      <c r="D811" s="77"/>
      <c r="E811" s="77"/>
      <c r="F811" s="84"/>
      <c r="G811" s="92"/>
      <c r="H811" s="92"/>
      <c r="I811" s="92"/>
      <c r="J811" s="93"/>
      <c r="K811" s="93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</row>
    <row r="812" spans="1:27" ht="12.75" customHeight="1" x14ac:dyDescent="0.25">
      <c r="A812" s="78"/>
      <c r="B812" s="112"/>
      <c r="C812" s="77"/>
      <c r="D812" s="77"/>
      <c r="E812" s="77"/>
      <c r="F812" s="84"/>
      <c r="G812" s="92"/>
      <c r="H812" s="92"/>
      <c r="I812" s="92"/>
      <c r="J812" s="93"/>
      <c r="K812" s="93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</row>
    <row r="813" spans="1:27" ht="12.75" customHeight="1" x14ac:dyDescent="0.25">
      <c r="A813" s="78"/>
      <c r="B813" s="112"/>
      <c r="C813" s="77"/>
      <c r="D813" s="77"/>
      <c r="E813" s="77"/>
      <c r="F813" s="84"/>
      <c r="G813" s="92"/>
      <c r="H813" s="92"/>
      <c r="I813" s="92"/>
      <c r="J813" s="93"/>
      <c r="K813" s="93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</row>
    <row r="814" spans="1:27" ht="12.75" customHeight="1" x14ac:dyDescent="0.25">
      <c r="A814" s="78"/>
      <c r="B814" s="112"/>
      <c r="C814" s="77"/>
      <c r="D814" s="77"/>
      <c r="E814" s="77"/>
      <c r="F814" s="84"/>
      <c r="G814" s="92"/>
      <c r="H814" s="92"/>
      <c r="I814" s="92"/>
      <c r="J814" s="93"/>
      <c r="K814" s="93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</row>
    <row r="815" spans="1:27" ht="12.75" customHeight="1" x14ac:dyDescent="0.25">
      <c r="A815" s="78"/>
      <c r="B815" s="112"/>
      <c r="C815" s="77"/>
      <c r="D815" s="77"/>
      <c r="E815" s="77"/>
      <c r="F815" s="84"/>
      <c r="G815" s="92"/>
      <c r="H815" s="92"/>
      <c r="I815" s="92"/>
      <c r="J815" s="93"/>
      <c r="K815" s="93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</row>
    <row r="816" spans="1:27" ht="12.75" customHeight="1" x14ac:dyDescent="0.25">
      <c r="A816" s="78"/>
      <c r="B816" s="112"/>
      <c r="C816" s="77"/>
      <c r="D816" s="77"/>
      <c r="E816" s="77"/>
      <c r="F816" s="84"/>
      <c r="G816" s="92"/>
      <c r="H816" s="92"/>
      <c r="I816" s="92"/>
      <c r="J816" s="93"/>
      <c r="K816" s="93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</row>
    <row r="817" spans="1:27" ht="12.75" customHeight="1" x14ac:dyDescent="0.25">
      <c r="A817" s="78"/>
      <c r="B817" s="112"/>
      <c r="C817" s="77"/>
      <c r="D817" s="77"/>
      <c r="E817" s="77"/>
      <c r="F817" s="84"/>
      <c r="G817" s="92"/>
      <c r="H817" s="92"/>
      <c r="I817" s="92"/>
      <c r="J817" s="93"/>
      <c r="K817" s="93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</row>
    <row r="818" spans="1:27" ht="12.75" customHeight="1" x14ac:dyDescent="0.25">
      <c r="A818" s="78"/>
      <c r="B818" s="112"/>
      <c r="C818" s="77"/>
      <c r="D818" s="77"/>
      <c r="E818" s="77"/>
      <c r="F818" s="84"/>
      <c r="G818" s="92"/>
      <c r="H818" s="92"/>
      <c r="I818" s="92"/>
      <c r="J818" s="93"/>
      <c r="K818" s="93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</row>
    <row r="819" spans="1:27" ht="12.75" customHeight="1" x14ac:dyDescent="0.25">
      <c r="A819" s="78"/>
      <c r="B819" s="112"/>
      <c r="C819" s="77"/>
      <c r="D819" s="77"/>
      <c r="E819" s="77"/>
      <c r="F819" s="84"/>
      <c r="G819" s="92"/>
      <c r="H819" s="92"/>
      <c r="I819" s="92"/>
      <c r="J819" s="93"/>
      <c r="K819" s="93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</row>
    <row r="820" spans="1:27" ht="12.75" customHeight="1" x14ac:dyDescent="0.25">
      <c r="A820" s="78"/>
      <c r="B820" s="112"/>
      <c r="C820" s="77"/>
      <c r="D820" s="77"/>
      <c r="E820" s="77"/>
      <c r="F820" s="84"/>
      <c r="G820" s="92"/>
      <c r="H820" s="92"/>
      <c r="I820" s="92"/>
      <c r="J820" s="93"/>
      <c r="K820" s="93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</row>
    <row r="821" spans="1:27" ht="12.75" customHeight="1" x14ac:dyDescent="0.25">
      <c r="A821" s="78"/>
      <c r="B821" s="112"/>
      <c r="C821" s="77"/>
      <c r="D821" s="77"/>
      <c r="E821" s="77"/>
      <c r="F821" s="84"/>
      <c r="G821" s="92"/>
      <c r="H821" s="92"/>
      <c r="I821" s="92"/>
      <c r="J821" s="93"/>
      <c r="K821" s="93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</row>
    <row r="822" spans="1:27" ht="12.75" customHeight="1" x14ac:dyDescent="0.25">
      <c r="A822" s="78"/>
      <c r="B822" s="112"/>
      <c r="C822" s="77"/>
      <c r="D822" s="77"/>
      <c r="E822" s="77"/>
      <c r="F822" s="84"/>
      <c r="G822" s="92"/>
      <c r="H822" s="92"/>
      <c r="I822" s="92"/>
      <c r="J822" s="93"/>
      <c r="K822" s="93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</row>
    <row r="823" spans="1:27" ht="12.75" customHeight="1" x14ac:dyDescent="0.25">
      <c r="A823" s="78"/>
      <c r="B823" s="112"/>
      <c r="C823" s="77"/>
      <c r="D823" s="77"/>
      <c r="E823" s="77"/>
      <c r="F823" s="84"/>
      <c r="G823" s="92"/>
      <c r="H823" s="92"/>
      <c r="I823" s="92"/>
      <c r="J823" s="93"/>
      <c r="K823" s="93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</row>
    <row r="824" spans="1:27" ht="12.75" customHeight="1" x14ac:dyDescent="0.25">
      <c r="A824" s="78"/>
      <c r="B824" s="112"/>
      <c r="C824" s="77"/>
      <c r="D824" s="77"/>
      <c r="E824" s="77"/>
      <c r="F824" s="84"/>
      <c r="G824" s="92"/>
      <c r="H824" s="92"/>
      <c r="I824" s="92"/>
      <c r="J824" s="93"/>
      <c r="K824" s="93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</row>
    <row r="825" spans="1:27" ht="12.75" customHeight="1" x14ac:dyDescent="0.25">
      <c r="A825" s="78"/>
      <c r="B825" s="112"/>
      <c r="C825" s="77"/>
      <c r="D825" s="77"/>
      <c r="E825" s="77"/>
      <c r="F825" s="84"/>
      <c r="G825" s="92"/>
      <c r="H825" s="92"/>
      <c r="I825" s="92"/>
      <c r="J825" s="93"/>
      <c r="K825" s="93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</row>
    <row r="826" spans="1:27" ht="12.75" customHeight="1" x14ac:dyDescent="0.25">
      <c r="A826" s="78"/>
      <c r="B826" s="112"/>
      <c r="C826" s="77"/>
      <c r="D826" s="77"/>
      <c r="E826" s="77"/>
      <c r="F826" s="84"/>
      <c r="G826" s="92"/>
      <c r="H826" s="92"/>
      <c r="I826" s="92"/>
      <c r="J826" s="93"/>
      <c r="K826" s="93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</row>
    <row r="827" spans="1:27" ht="12.75" customHeight="1" x14ac:dyDescent="0.25">
      <c r="A827" s="78"/>
      <c r="B827" s="112"/>
      <c r="C827" s="77"/>
      <c r="D827" s="77"/>
      <c r="E827" s="77"/>
      <c r="F827" s="84"/>
      <c r="G827" s="92"/>
      <c r="H827" s="92"/>
      <c r="I827" s="92"/>
      <c r="J827" s="93"/>
      <c r="K827" s="93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</row>
    <row r="828" spans="1:27" ht="12.75" customHeight="1" x14ac:dyDescent="0.25">
      <c r="A828" s="78"/>
      <c r="B828" s="112"/>
      <c r="C828" s="77"/>
      <c r="D828" s="77"/>
      <c r="E828" s="77"/>
      <c r="F828" s="84"/>
      <c r="G828" s="92"/>
      <c r="H828" s="92"/>
      <c r="I828" s="92"/>
      <c r="J828" s="93"/>
      <c r="K828" s="93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</row>
    <row r="829" spans="1:27" ht="12.75" customHeight="1" x14ac:dyDescent="0.25">
      <c r="A829" s="78"/>
      <c r="B829" s="112"/>
      <c r="C829" s="77"/>
      <c r="D829" s="77"/>
      <c r="E829" s="77"/>
      <c r="F829" s="84"/>
      <c r="G829" s="92"/>
      <c r="H829" s="92"/>
      <c r="I829" s="92"/>
      <c r="J829" s="93"/>
      <c r="K829" s="93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</row>
    <row r="830" spans="1:27" ht="12.75" customHeight="1" x14ac:dyDescent="0.25">
      <c r="A830" s="78"/>
      <c r="B830" s="112"/>
      <c r="C830" s="77"/>
      <c r="D830" s="77"/>
      <c r="E830" s="77"/>
      <c r="F830" s="84"/>
      <c r="G830" s="92"/>
      <c r="H830" s="92"/>
      <c r="I830" s="92"/>
      <c r="J830" s="93"/>
      <c r="K830" s="93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</row>
    <row r="831" spans="1:27" ht="12.75" customHeight="1" x14ac:dyDescent="0.25">
      <c r="A831" s="78"/>
      <c r="B831" s="112"/>
      <c r="C831" s="77"/>
      <c r="D831" s="77"/>
      <c r="E831" s="77"/>
      <c r="F831" s="84"/>
      <c r="G831" s="92"/>
      <c r="H831" s="92"/>
      <c r="I831" s="92"/>
      <c r="J831" s="93"/>
      <c r="K831" s="93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</row>
    <row r="832" spans="1:27" ht="12.75" customHeight="1" x14ac:dyDescent="0.25">
      <c r="A832" s="78"/>
      <c r="B832" s="112"/>
      <c r="C832" s="77"/>
      <c r="D832" s="77"/>
      <c r="E832" s="77"/>
      <c r="F832" s="84"/>
      <c r="G832" s="92"/>
      <c r="H832" s="92"/>
      <c r="I832" s="92"/>
      <c r="J832" s="93"/>
      <c r="K832" s="93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</row>
    <row r="833" spans="1:27" ht="12.75" customHeight="1" x14ac:dyDescent="0.25">
      <c r="A833" s="78"/>
      <c r="B833" s="112"/>
      <c r="C833" s="77"/>
      <c r="D833" s="77"/>
      <c r="E833" s="77"/>
      <c r="F833" s="84"/>
      <c r="G833" s="92"/>
      <c r="H833" s="92"/>
      <c r="I833" s="92"/>
      <c r="J833" s="93"/>
      <c r="K833" s="93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</row>
    <row r="834" spans="1:27" ht="12.75" customHeight="1" x14ac:dyDescent="0.25">
      <c r="A834" s="78"/>
      <c r="B834" s="112"/>
      <c r="C834" s="77"/>
      <c r="D834" s="77"/>
      <c r="E834" s="77"/>
      <c r="F834" s="84"/>
      <c r="G834" s="92"/>
      <c r="H834" s="92"/>
      <c r="I834" s="92"/>
      <c r="J834" s="93"/>
      <c r="K834" s="93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</row>
    <row r="835" spans="1:27" ht="12.75" customHeight="1" x14ac:dyDescent="0.25">
      <c r="A835" s="78"/>
      <c r="B835" s="112"/>
      <c r="C835" s="77"/>
      <c r="D835" s="77"/>
      <c r="E835" s="77"/>
      <c r="F835" s="84"/>
      <c r="G835" s="92"/>
      <c r="H835" s="92"/>
      <c r="I835" s="92"/>
      <c r="J835" s="93"/>
      <c r="K835" s="93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</row>
    <row r="836" spans="1:27" ht="12.75" customHeight="1" x14ac:dyDescent="0.25">
      <c r="A836" s="78"/>
      <c r="B836" s="112"/>
      <c r="C836" s="77"/>
      <c r="D836" s="77"/>
      <c r="E836" s="77"/>
      <c r="F836" s="84"/>
      <c r="G836" s="92"/>
      <c r="H836" s="92"/>
      <c r="I836" s="92"/>
      <c r="J836" s="93"/>
      <c r="K836" s="93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</row>
    <row r="837" spans="1:27" ht="12.75" customHeight="1" x14ac:dyDescent="0.25">
      <c r="A837" s="78"/>
      <c r="B837" s="112"/>
      <c r="C837" s="77"/>
      <c r="D837" s="77"/>
      <c r="E837" s="77"/>
      <c r="F837" s="84"/>
      <c r="G837" s="92"/>
      <c r="H837" s="92"/>
      <c r="I837" s="92"/>
      <c r="J837" s="93"/>
      <c r="K837" s="93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</row>
    <row r="838" spans="1:27" ht="12.75" customHeight="1" x14ac:dyDescent="0.25">
      <c r="A838" s="78"/>
      <c r="B838" s="112"/>
      <c r="C838" s="77"/>
      <c r="D838" s="77"/>
      <c r="E838" s="77"/>
      <c r="F838" s="84"/>
      <c r="G838" s="92"/>
      <c r="H838" s="92"/>
      <c r="I838" s="92"/>
      <c r="J838" s="93"/>
      <c r="K838" s="93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</row>
    <row r="839" spans="1:27" ht="12.75" customHeight="1" x14ac:dyDescent="0.25">
      <c r="A839" s="78"/>
      <c r="B839" s="112"/>
      <c r="C839" s="77"/>
      <c r="D839" s="77"/>
      <c r="E839" s="77"/>
      <c r="F839" s="84"/>
      <c r="G839" s="92"/>
      <c r="H839" s="92"/>
      <c r="I839" s="92"/>
      <c r="J839" s="93"/>
      <c r="K839" s="93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</row>
    <row r="840" spans="1:27" ht="12.75" customHeight="1" x14ac:dyDescent="0.25">
      <c r="A840" s="78"/>
      <c r="B840" s="112"/>
      <c r="C840" s="77"/>
      <c r="D840" s="77"/>
      <c r="E840" s="77"/>
      <c r="F840" s="84"/>
      <c r="G840" s="92"/>
      <c r="H840" s="92"/>
      <c r="I840" s="92"/>
      <c r="J840" s="93"/>
      <c r="K840" s="93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</row>
    <row r="841" spans="1:27" ht="12.75" customHeight="1" x14ac:dyDescent="0.25">
      <c r="A841" s="78"/>
      <c r="B841" s="112"/>
      <c r="C841" s="77"/>
      <c r="D841" s="77"/>
      <c r="E841" s="77"/>
      <c r="F841" s="84"/>
      <c r="G841" s="92"/>
      <c r="H841" s="92"/>
      <c r="I841" s="92"/>
      <c r="J841" s="93"/>
      <c r="K841" s="93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</row>
    <row r="842" spans="1:27" ht="12.75" customHeight="1" x14ac:dyDescent="0.25">
      <c r="A842" s="78"/>
      <c r="B842" s="112"/>
      <c r="C842" s="77"/>
      <c r="D842" s="77"/>
      <c r="E842" s="77"/>
      <c r="F842" s="84"/>
      <c r="G842" s="92"/>
      <c r="H842" s="92"/>
      <c r="I842" s="92"/>
      <c r="J842" s="93"/>
      <c r="K842" s="93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</row>
    <row r="843" spans="1:27" ht="12.75" customHeight="1" x14ac:dyDescent="0.25">
      <c r="A843" s="78"/>
      <c r="B843" s="112"/>
      <c r="C843" s="77"/>
      <c r="D843" s="77"/>
      <c r="E843" s="77"/>
      <c r="F843" s="84"/>
      <c r="G843" s="92"/>
      <c r="H843" s="92"/>
      <c r="I843" s="92"/>
      <c r="J843" s="93"/>
      <c r="K843" s="93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</row>
    <row r="844" spans="1:27" ht="12.75" customHeight="1" x14ac:dyDescent="0.25">
      <c r="A844" s="78"/>
      <c r="B844" s="112"/>
      <c r="C844" s="77"/>
      <c r="D844" s="77"/>
      <c r="E844" s="77"/>
      <c r="F844" s="84"/>
      <c r="G844" s="92"/>
      <c r="H844" s="92"/>
      <c r="I844" s="92"/>
      <c r="J844" s="93"/>
      <c r="K844" s="93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</row>
    <row r="845" spans="1:27" ht="12.75" customHeight="1" x14ac:dyDescent="0.25">
      <c r="A845" s="78"/>
      <c r="B845" s="112"/>
      <c r="C845" s="77"/>
      <c r="D845" s="77"/>
      <c r="E845" s="77"/>
      <c r="F845" s="84"/>
      <c r="G845" s="92"/>
      <c r="H845" s="92"/>
      <c r="I845" s="92"/>
      <c r="J845" s="93"/>
      <c r="K845" s="93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</row>
    <row r="846" spans="1:27" ht="12.75" customHeight="1" x14ac:dyDescent="0.25">
      <c r="A846" s="78"/>
      <c r="B846" s="112"/>
      <c r="C846" s="77"/>
      <c r="D846" s="77"/>
      <c r="E846" s="77"/>
      <c r="F846" s="84"/>
      <c r="G846" s="92"/>
      <c r="H846" s="92"/>
      <c r="I846" s="92"/>
      <c r="J846" s="93"/>
      <c r="K846" s="93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</row>
    <row r="847" spans="1:27" ht="12.75" customHeight="1" x14ac:dyDescent="0.25">
      <c r="A847" s="78"/>
      <c r="B847" s="112"/>
      <c r="C847" s="77"/>
      <c r="D847" s="77"/>
      <c r="E847" s="77"/>
      <c r="F847" s="84"/>
      <c r="G847" s="92"/>
      <c r="H847" s="92"/>
      <c r="I847" s="92"/>
      <c r="J847" s="93"/>
      <c r="K847" s="93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</row>
    <row r="848" spans="1:27" ht="12.75" customHeight="1" x14ac:dyDescent="0.25">
      <c r="A848" s="78"/>
      <c r="B848" s="112"/>
      <c r="C848" s="77"/>
      <c r="D848" s="77"/>
      <c r="E848" s="77"/>
      <c r="F848" s="84"/>
      <c r="G848" s="92"/>
      <c r="H848" s="92"/>
      <c r="I848" s="92"/>
      <c r="J848" s="93"/>
      <c r="K848" s="93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</row>
    <row r="849" spans="1:27" ht="12.75" customHeight="1" x14ac:dyDescent="0.25">
      <c r="A849" s="78"/>
      <c r="B849" s="112"/>
      <c r="C849" s="77"/>
      <c r="D849" s="77"/>
      <c r="E849" s="77"/>
      <c r="F849" s="84"/>
      <c r="G849" s="92"/>
      <c r="H849" s="92"/>
      <c r="I849" s="92"/>
      <c r="J849" s="93"/>
      <c r="K849" s="93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</row>
    <row r="850" spans="1:27" ht="12.75" customHeight="1" x14ac:dyDescent="0.25">
      <c r="A850" s="78"/>
      <c r="B850" s="112"/>
      <c r="C850" s="77"/>
      <c r="D850" s="77"/>
      <c r="E850" s="77"/>
      <c r="F850" s="84"/>
      <c r="G850" s="92"/>
      <c r="H850" s="92"/>
      <c r="I850" s="92"/>
      <c r="J850" s="93"/>
      <c r="K850" s="93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</row>
    <row r="851" spans="1:27" ht="12.75" customHeight="1" x14ac:dyDescent="0.25">
      <c r="A851" s="78"/>
      <c r="B851" s="112"/>
      <c r="C851" s="77"/>
      <c r="D851" s="77"/>
      <c r="E851" s="77"/>
      <c r="F851" s="84"/>
      <c r="G851" s="92"/>
      <c r="H851" s="92"/>
      <c r="I851" s="92"/>
      <c r="J851" s="93"/>
      <c r="K851" s="93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</row>
    <row r="852" spans="1:27" ht="12.75" customHeight="1" x14ac:dyDescent="0.25">
      <c r="A852" s="78"/>
      <c r="B852" s="112"/>
      <c r="C852" s="77"/>
      <c r="D852" s="77"/>
      <c r="E852" s="77"/>
      <c r="F852" s="84"/>
      <c r="G852" s="92"/>
      <c r="H852" s="92"/>
      <c r="I852" s="92"/>
      <c r="J852" s="93"/>
      <c r="K852" s="93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</row>
    <row r="853" spans="1:27" ht="12.75" customHeight="1" x14ac:dyDescent="0.25">
      <c r="A853" s="78"/>
      <c r="B853" s="112"/>
      <c r="C853" s="77"/>
      <c r="D853" s="77"/>
      <c r="E853" s="77"/>
      <c r="F853" s="84"/>
      <c r="G853" s="92"/>
      <c r="H853" s="92"/>
      <c r="I853" s="92"/>
      <c r="J853" s="93"/>
      <c r="K853" s="93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</row>
    <row r="854" spans="1:27" ht="12.75" customHeight="1" x14ac:dyDescent="0.25">
      <c r="A854" s="78"/>
      <c r="B854" s="112"/>
      <c r="C854" s="77"/>
      <c r="D854" s="77"/>
      <c r="E854" s="77"/>
      <c r="F854" s="84"/>
      <c r="G854" s="92"/>
      <c r="H854" s="92"/>
      <c r="I854" s="92"/>
      <c r="J854" s="93"/>
      <c r="K854" s="93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</row>
    <row r="855" spans="1:27" ht="12.75" customHeight="1" x14ac:dyDescent="0.25">
      <c r="A855" s="78"/>
      <c r="B855" s="112"/>
      <c r="C855" s="77"/>
      <c r="D855" s="77"/>
      <c r="E855" s="77"/>
      <c r="F855" s="84"/>
      <c r="G855" s="92"/>
      <c r="H855" s="92"/>
      <c r="I855" s="92"/>
      <c r="J855" s="93"/>
      <c r="K855" s="93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</row>
    <row r="856" spans="1:27" ht="12.75" customHeight="1" x14ac:dyDescent="0.25">
      <c r="A856" s="78"/>
      <c r="B856" s="112"/>
      <c r="C856" s="77"/>
      <c r="D856" s="77"/>
      <c r="E856" s="77"/>
      <c r="F856" s="84"/>
      <c r="G856" s="92"/>
      <c r="H856" s="92"/>
      <c r="I856" s="92"/>
      <c r="J856" s="93"/>
      <c r="K856" s="93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</row>
    <row r="857" spans="1:27" ht="12.75" customHeight="1" x14ac:dyDescent="0.25">
      <c r="A857" s="78"/>
      <c r="B857" s="112"/>
      <c r="C857" s="77"/>
      <c r="D857" s="77"/>
      <c r="E857" s="77"/>
      <c r="F857" s="84"/>
      <c r="G857" s="92"/>
      <c r="H857" s="92"/>
      <c r="I857" s="92"/>
      <c r="J857" s="93"/>
      <c r="K857" s="93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</row>
    <row r="858" spans="1:27" ht="12.75" customHeight="1" x14ac:dyDescent="0.25">
      <c r="A858" s="78"/>
      <c r="B858" s="112"/>
      <c r="C858" s="77"/>
      <c r="D858" s="77"/>
      <c r="E858" s="77"/>
      <c r="F858" s="84"/>
      <c r="G858" s="92"/>
      <c r="H858" s="92"/>
      <c r="I858" s="92"/>
      <c r="J858" s="93"/>
      <c r="K858" s="93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</row>
    <row r="859" spans="1:27" ht="12.75" customHeight="1" x14ac:dyDescent="0.25">
      <c r="A859" s="78"/>
      <c r="B859" s="112"/>
      <c r="C859" s="77"/>
      <c r="D859" s="77"/>
      <c r="E859" s="77"/>
      <c r="F859" s="84"/>
      <c r="G859" s="92"/>
      <c r="H859" s="92"/>
      <c r="I859" s="92"/>
      <c r="J859" s="93"/>
      <c r="K859" s="93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</row>
    <row r="860" spans="1:27" ht="12.75" customHeight="1" x14ac:dyDescent="0.25">
      <c r="A860" s="78"/>
      <c r="B860" s="112"/>
      <c r="C860" s="77"/>
      <c r="D860" s="77"/>
      <c r="E860" s="77"/>
      <c r="F860" s="84"/>
      <c r="G860" s="92"/>
      <c r="H860" s="92"/>
      <c r="I860" s="92"/>
      <c r="J860" s="93"/>
      <c r="K860" s="93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</row>
    <row r="861" spans="1:27" ht="12.75" customHeight="1" x14ac:dyDescent="0.25">
      <c r="A861" s="78"/>
      <c r="B861" s="112"/>
      <c r="C861" s="77"/>
      <c r="D861" s="77"/>
      <c r="E861" s="77"/>
      <c r="F861" s="84"/>
      <c r="G861" s="92"/>
      <c r="H861" s="92"/>
      <c r="I861" s="92"/>
      <c r="J861" s="93"/>
      <c r="K861" s="93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</row>
    <row r="862" spans="1:27" ht="12.75" customHeight="1" x14ac:dyDescent="0.25">
      <c r="A862" s="78"/>
      <c r="B862" s="112"/>
      <c r="C862" s="77"/>
      <c r="D862" s="77"/>
      <c r="E862" s="77"/>
      <c r="F862" s="84"/>
      <c r="G862" s="92"/>
      <c r="H862" s="92"/>
      <c r="I862" s="92"/>
      <c r="J862" s="93"/>
      <c r="K862" s="93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</row>
    <row r="863" spans="1:27" ht="12.75" customHeight="1" x14ac:dyDescent="0.25">
      <c r="A863" s="78"/>
      <c r="B863" s="112"/>
      <c r="C863" s="77"/>
      <c r="D863" s="77"/>
      <c r="E863" s="77"/>
      <c r="F863" s="84"/>
      <c r="G863" s="92"/>
      <c r="H863" s="92"/>
      <c r="I863" s="92"/>
      <c r="J863" s="93"/>
      <c r="K863" s="93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</row>
    <row r="864" spans="1:27" ht="12.75" customHeight="1" x14ac:dyDescent="0.25">
      <c r="A864" s="78"/>
      <c r="B864" s="112"/>
      <c r="C864" s="77"/>
      <c r="D864" s="77"/>
      <c r="E864" s="77"/>
      <c r="F864" s="84"/>
      <c r="G864" s="92"/>
      <c r="H864" s="92"/>
      <c r="I864" s="92"/>
      <c r="J864" s="93"/>
      <c r="K864" s="93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</row>
    <row r="865" spans="1:27" ht="12.75" customHeight="1" x14ac:dyDescent="0.25">
      <c r="A865" s="78"/>
      <c r="B865" s="112"/>
      <c r="C865" s="77"/>
      <c r="D865" s="77"/>
      <c r="E865" s="77"/>
      <c r="F865" s="84"/>
      <c r="G865" s="92"/>
      <c r="H865" s="92"/>
      <c r="I865" s="92"/>
      <c r="J865" s="93"/>
      <c r="K865" s="93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</row>
    <row r="866" spans="1:27" ht="12.75" customHeight="1" x14ac:dyDescent="0.25">
      <c r="A866" s="78"/>
      <c r="B866" s="112"/>
      <c r="C866" s="77"/>
      <c r="D866" s="77"/>
      <c r="E866" s="77"/>
      <c r="F866" s="84"/>
      <c r="G866" s="92"/>
      <c r="H866" s="92"/>
      <c r="I866" s="92"/>
      <c r="J866" s="93"/>
      <c r="K866" s="93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</row>
    <row r="867" spans="1:27" ht="12.75" customHeight="1" x14ac:dyDescent="0.25">
      <c r="A867" s="78"/>
      <c r="B867" s="112"/>
      <c r="C867" s="77"/>
      <c r="D867" s="77"/>
      <c r="E867" s="77"/>
      <c r="F867" s="84"/>
      <c r="G867" s="92"/>
      <c r="H867" s="92"/>
      <c r="I867" s="92"/>
      <c r="J867" s="93"/>
      <c r="K867" s="93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</row>
    <row r="868" spans="1:27" ht="12.75" customHeight="1" x14ac:dyDescent="0.25">
      <c r="A868" s="78"/>
      <c r="B868" s="112"/>
      <c r="C868" s="77"/>
      <c r="D868" s="77"/>
      <c r="E868" s="77"/>
      <c r="F868" s="84"/>
      <c r="G868" s="92"/>
      <c r="H868" s="92"/>
      <c r="I868" s="92"/>
      <c r="J868" s="93"/>
      <c r="K868" s="93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</row>
    <row r="869" spans="1:27" ht="12.75" customHeight="1" x14ac:dyDescent="0.25">
      <c r="A869" s="78"/>
      <c r="B869" s="112"/>
      <c r="C869" s="77"/>
      <c r="D869" s="77"/>
      <c r="E869" s="77"/>
      <c r="F869" s="84"/>
      <c r="G869" s="92"/>
      <c r="H869" s="92"/>
      <c r="I869" s="92"/>
      <c r="J869" s="93"/>
      <c r="K869" s="93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</row>
    <row r="870" spans="1:27" ht="12.75" customHeight="1" x14ac:dyDescent="0.25">
      <c r="A870" s="78"/>
      <c r="B870" s="112"/>
      <c r="C870" s="77"/>
      <c r="D870" s="77"/>
      <c r="E870" s="77"/>
      <c r="F870" s="84"/>
      <c r="G870" s="92"/>
      <c r="H870" s="92"/>
      <c r="I870" s="92"/>
      <c r="J870" s="93"/>
      <c r="K870" s="93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</row>
    <row r="871" spans="1:27" ht="12.75" customHeight="1" x14ac:dyDescent="0.25">
      <c r="A871" s="78"/>
      <c r="B871" s="112"/>
      <c r="C871" s="77"/>
      <c r="D871" s="77"/>
      <c r="E871" s="77"/>
      <c r="F871" s="84"/>
      <c r="G871" s="92"/>
      <c r="H871" s="92"/>
      <c r="I871" s="92"/>
      <c r="J871" s="93"/>
      <c r="K871" s="93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</row>
    <row r="872" spans="1:27" ht="12.75" customHeight="1" x14ac:dyDescent="0.25">
      <c r="A872" s="78"/>
      <c r="B872" s="112"/>
      <c r="C872" s="77"/>
      <c r="D872" s="77"/>
      <c r="E872" s="77"/>
      <c r="F872" s="84"/>
      <c r="G872" s="92"/>
      <c r="H872" s="92"/>
      <c r="I872" s="92"/>
      <c r="J872" s="93"/>
      <c r="K872" s="93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</row>
    <row r="873" spans="1:27" ht="12.75" customHeight="1" x14ac:dyDescent="0.25">
      <c r="A873" s="78"/>
      <c r="B873" s="112"/>
      <c r="C873" s="77"/>
      <c r="D873" s="77"/>
      <c r="E873" s="77"/>
      <c r="F873" s="84"/>
      <c r="G873" s="92"/>
      <c r="H873" s="92"/>
      <c r="I873" s="92"/>
      <c r="J873" s="93"/>
      <c r="K873" s="93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</row>
    <row r="874" spans="1:27" ht="12.75" customHeight="1" x14ac:dyDescent="0.25">
      <c r="A874" s="78"/>
      <c r="B874" s="112"/>
      <c r="C874" s="77"/>
      <c r="D874" s="77"/>
      <c r="E874" s="77"/>
      <c r="F874" s="84"/>
      <c r="G874" s="92"/>
      <c r="H874" s="92"/>
      <c r="I874" s="92"/>
      <c r="J874" s="93"/>
      <c r="K874" s="93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</row>
    <row r="875" spans="1:27" ht="12.75" customHeight="1" x14ac:dyDescent="0.25">
      <c r="A875" s="78"/>
      <c r="B875" s="112"/>
      <c r="C875" s="77"/>
      <c r="D875" s="77"/>
      <c r="E875" s="77"/>
      <c r="F875" s="84"/>
      <c r="G875" s="92"/>
      <c r="H875" s="92"/>
      <c r="I875" s="92"/>
      <c r="J875" s="93"/>
      <c r="K875" s="93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</row>
    <row r="876" spans="1:27" ht="12.75" customHeight="1" x14ac:dyDescent="0.25">
      <c r="A876" s="78"/>
      <c r="B876" s="112"/>
      <c r="C876" s="77"/>
      <c r="D876" s="77"/>
      <c r="E876" s="77"/>
      <c r="F876" s="84"/>
      <c r="G876" s="92"/>
      <c r="H876" s="92"/>
      <c r="I876" s="92"/>
      <c r="J876" s="93"/>
      <c r="K876" s="93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</row>
    <row r="877" spans="1:27" ht="12.75" customHeight="1" x14ac:dyDescent="0.25">
      <c r="A877" s="78"/>
      <c r="B877" s="112"/>
      <c r="C877" s="77"/>
      <c r="D877" s="77"/>
      <c r="E877" s="77"/>
      <c r="F877" s="84"/>
      <c r="G877" s="92"/>
      <c r="H877" s="92"/>
      <c r="I877" s="92"/>
      <c r="J877" s="93"/>
      <c r="K877" s="93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</row>
    <row r="878" spans="1:27" ht="12.75" customHeight="1" x14ac:dyDescent="0.25">
      <c r="A878" s="78"/>
      <c r="B878" s="112"/>
      <c r="C878" s="77"/>
      <c r="D878" s="77"/>
      <c r="E878" s="77"/>
      <c r="F878" s="84"/>
      <c r="G878" s="92"/>
      <c r="H878" s="92"/>
      <c r="I878" s="92"/>
      <c r="J878" s="93"/>
      <c r="K878" s="93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</row>
    <row r="879" spans="1:27" ht="12.75" customHeight="1" x14ac:dyDescent="0.25">
      <c r="A879" s="78"/>
      <c r="B879" s="112"/>
      <c r="C879" s="77"/>
      <c r="D879" s="77"/>
      <c r="E879" s="77"/>
      <c r="F879" s="84"/>
      <c r="G879" s="92"/>
      <c r="H879" s="92"/>
      <c r="I879" s="92"/>
      <c r="J879" s="93"/>
      <c r="K879" s="93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</row>
    <row r="880" spans="1:27" ht="12.75" customHeight="1" x14ac:dyDescent="0.25">
      <c r="A880" s="78"/>
      <c r="B880" s="112"/>
      <c r="C880" s="77"/>
      <c r="D880" s="77"/>
      <c r="E880" s="77"/>
      <c r="F880" s="84"/>
      <c r="G880" s="92"/>
      <c r="H880" s="92"/>
      <c r="I880" s="92"/>
      <c r="J880" s="93"/>
      <c r="K880" s="93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</row>
    <row r="881" spans="1:27" ht="12.75" customHeight="1" x14ac:dyDescent="0.25">
      <c r="A881" s="78"/>
      <c r="B881" s="112"/>
      <c r="C881" s="77"/>
      <c r="D881" s="77"/>
      <c r="E881" s="77"/>
      <c r="F881" s="84"/>
      <c r="G881" s="92"/>
      <c r="H881" s="92"/>
      <c r="I881" s="92"/>
      <c r="J881" s="93"/>
      <c r="K881" s="93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</row>
    <row r="882" spans="1:27" ht="12.75" customHeight="1" x14ac:dyDescent="0.25">
      <c r="A882" s="78"/>
      <c r="B882" s="112"/>
      <c r="C882" s="77"/>
      <c r="D882" s="77"/>
      <c r="E882" s="77"/>
      <c r="F882" s="84"/>
      <c r="G882" s="92"/>
      <c r="H882" s="92"/>
      <c r="I882" s="92"/>
      <c r="J882" s="93"/>
      <c r="K882" s="93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</row>
    <row r="883" spans="1:27" ht="12.75" customHeight="1" x14ac:dyDescent="0.25">
      <c r="A883" s="78"/>
      <c r="B883" s="112"/>
      <c r="C883" s="77"/>
      <c r="D883" s="77"/>
      <c r="E883" s="77"/>
      <c r="F883" s="84"/>
      <c r="G883" s="92"/>
      <c r="H883" s="92"/>
      <c r="I883" s="92"/>
      <c r="J883" s="93"/>
      <c r="K883" s="93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</row>
    <row r="884" spans="1:27" ht="12.75" customHeight="1" x14ac:dyDescent="0.25">
      <c r="A884" s="78"/>
      <c r="B884" s="112"/>
      <c r="C884" s="77"/>
      <c r="D884" s="77"/>
      <c r="E884" s="77"/>
      <c r="F884" s="84"/>
      <c r="G884" s="92"/>
      <c r="H884" s="92"/>
      <c r="I884" s="92"/>
      <c r="J884" s="93"/>
      <c r="K884" s="93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</row>
    <row r="885" spans="1:27" ht="12.75" customHeight="1" x14ac:dyDescent="0.25">
      <c r="A885" s="78"/>
      <c r="B885" s="112"/>
      <c r="C885" s="77"/>
      <c r="D885" s="77"/>
      <c r="E885" s="77"/>
      <c r="F885" s="84"/>
      <c r="G885" s="92"/>
      <c r="H885" s="92"/>
      <c r="I885" s="92"/>
      <c r="J885" s="93"/>
      <c r="K885" s="93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</row>
    <row r="886" spans="1:27" ht="12.75" customHeight="1" x14ac:dyDescent="0.25">
      <c r="A886" s="78"/>
      <c r="B886" s="112"/>
      <c r="C886" s="77"/>
      <c r="D886" s="77"/>
      <c r="E886" s="77"/>
      <c r="F886" s="84"/>
      <c r="G886" s="92"/>
      <c r="H886" s="92"/>
      <c r="I886" s="92"/>
      <c r="J886" s="93"/>
      <c r="K886" s="93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</row>
    <row r="887" spans="1:27" ht="12.75" customHeight="1" x14ac:dyDescent="0.25">
      <c r="A887" s="78"/>
      <c r="B887" s="112"/>
      <c r="C887" s="77"/>
      <c r="D887" s="77"/>
      <c r="E887" s="77"/>
      <c r="F887" s="84"/>
      <c r="G887" s="92"/>
      <c r="H887" s="92"/>
      <c r="I887" s="92"/>
      <c r="J887" s="93"/>
      <c r="K887" s="93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</row>
    <row r="888" spans="1:27" ht="12.75" customHeight="1" x14ac:dyDescent="0.25">
      <c r="A888" s="78"/>
      <c r="B888" s="112"/>
      <c r="C888" s="77"/>
      <c r="D888" s="77"/>
      <c r="E888" s="77"/>
      <c r="F888" s="84"/>
      <c r="G888" s="92"/>
      <c r="H888" s="92"/>
      <c r="I888" s="92"/>
      <c r="J888" s="93"/>
      <c r="K888" s="93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</row>
    <row r="889" spans="1:27" ht="12.75" customHeight="1" x14ac:dyDescent="0.25">
      <c r="A889" s="78"/>
      <c r="B889" s="112"/>
      <c r="C889" s="77"/>
      <c r="D889" s="77"/>
      <c r="E889" s="77"/>
      <c r="F889" s="84"/>
      <c r="G889" s="92"/>
      <c r="H889" s="92"/>
      <c r="I889" s="92"/>
      <c r="J889" s="93"/>
      <c r="K889" s="93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</row>
    <row r="890" spans="1:27" ht="12.75" customHeight="1" x14ac:dyDescent="0.25">
      <c r="A890" s="78"/>
      <c r="B890" s="112"/>
      <c r="C890" s="77"/>
      <c r="D890" s="77"/>
      <c r="E890" s="77"/>
      <c r="F890" s="84"/>
      <c r="G890" s="92"/>
      <c r="H890" s="92"/>
      <c r="I890" s="92"/>
      <c r="J890" s="93"/>
      <c r="K890" s="93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</row>
    <row r="891" spans="1:27" ht="12.75" customHeight="1" x14ac:dyDescent="0.25">
      <c r="A891" s="78"/>
      <c r="B891" s="112"/>
      <c r="C891" s="77"/>
      <c r="D891" s="77"/>
      <c r="E891" s="77"/>
      <c r="F891" s="84"/>
      <c r="G891" s="92"/>
      <c r="H891" s="92"/>
      <c r="I891" s="92"/>
      <c r="J891" s="93"/>
      <c r="K891" s="93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</row>
    <row r="892" spans="1:27" ht="12.75" customHeight="1" x14ac:dyDescent="0.25">
      <c r="A892" s="78"/>
      <c r="B892" s="112"/>
      <c r="C892" s="77"/>
      <c r="D892" s="77"/>
      <c r="E892" s="77"/>
      <c r="F892" s="84"/>
      <c r="G892" s="92"/>
      <c r="H892" s="92"/>
      <c r="I892" s="92"/>
      <c r="J892" s="93"/>
      <c r="K892" s="93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</row>
    <row r="893" spans="1:27" ht="12.75" customHeight="1" x14ac:dyDescent="0.25">
      <c r="A893" s="78"/>
      <c r="B893" s="112"/>
      <c r="C893" s="77"/>
      <c r="D893" s="77"/>
      <c r="E893" s="77"/>
      <c r="F893" s="84"/>
      <c r="G893" s="92"/>
      <c r="H893" s="92"/>
      <c r="I893" s="92"/>
      <c r="J893" s="93"/>
      <c r="K893" s="93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</row>
    <row r="894" spans="1:27" ht="12.75" customHeight="1" x14ac:dyDescent="0.25">
      <c r="A894" s="78"/>
      <c r="B894" s="112"/>
      <c r="C894" s="77"/>
      <c r="D894" s="77"/>
      <c r="E894" s="77"/>
      <c r="F894" s="84"/>
      <c r="G894" s="92"/>
      <c r="H894" s="92"/>
      <c r="I894" s="92"/>
      <c r="J894" s="93"/>
      <c r="K894" s="93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</row>
    <row r="895" spans="1:27" ht="12.75" customHeight="1" x14ac:dyDescent="0.25">
      <c r="A895" s="78"/>
      <c r="B895" s="112"/>
      <c r="C895" s="77"/>
      <c r="D895" s="77"/>
      <c r="E895" s="77"/>
      <c r="F895" s="84"/>
      <c r="G895" s="92"/>
      <c r="H895" s="92"/>
      <c r="I895" s="92"/>
      <c r="J895" s="93"/>
      <c r="K895" s="93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</row>
    <row r="896" spans="1:27" ht="12.75" customHeight="1" x14ac:dyDescent="0.25">
      <c r="A896" s="78"/>
      <c r="B896" s="112"/>
      <c r="C896" s="77"/>
      <c r="D896" s="77"/>
      <c r="E896" s="77"/>
      <c r="F896" s="84"/>
      <c r="G896" s="92"/>
      <c r="H896" s="92"/>
      <c r="I896" s="92"/>
      <c r="J896" s="93"/>
      <c r="K896" s="93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</row>
    <row r="897" spans="1:27" ht="12.75" customHeight="1" x14ac:dyDescent="0.25">
      <c r="A897" s="78"/>
      <c r="B897" s="112"/>
      <c r="C897" s="77"/>
      <c r="D897" s="77"/>
      <c r="E897" s="77"/>
      <c r="F897" s="84"/>
      <c r="G897" s="92"/>
      <c r="H897" s="92"/>
      <c r="I897" s="92"/>
      <c r="J897" s="93"/>
      <c r="K897" s="93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</row>
    <row r="898" spans="1:27" ht="12.75" customHeight="1" x14ac:dyDescent="0.25">
      <c r="A898" s="78"/>
      <c r="B898" s="112"/>
      <c r="C898" s="77"/>
      <c r="D898" s="77"/>
      <c r="E898" s="77"/>
      <c r="F898" s="84"/>
      <c r="G898" s="92"/>
      <c r="H898" s="92"/>
      <c r="I898" s="92"/>
      <c r="J898" s="93"/>
      <c r="K898" s="93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</row>
    <row r="899" spans="1:27" ht="12.75" customHeight="1" x14ac:dyDescent="0.25">
      <c r="A899" s="78"/>
      <c r="B899" s="112"/>
      <c r="C899" s="77"/>
      <c r="D899" s="77"/>
      <c r="E899" s="77"/>
      <c r="F899" s="84"/>
      <c r="G899" s="92"/>
      <c r="H899" s="92"/>
      <c r="I899" s="92"/>
      <c r="J899" s="93"/>
      <c r="K899" s="93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</row>
    <row r="900" spans="1:27" ht="12.75" customHeight="1" x14ac:dyDescent="0.25">
      <c r="A900" s="78"/>
      <c r="B900" s="112"/>
      <c r="C900" s="77"/>
      <c r="D900" s="77"/>
      <c r="E900" s="77"/>
      <c r="F900" s="84"/>
      <c r="G900" s="92"/>
      <c r="H900" s="92"/>
      <c r="I900" s="92"/>
      <c r="J900" s="93"/>
      <c r="K900" s="93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</row>
    <row r="901" spans="1:27" ht="12.75" customHeight="1" x14ac:dyDescent="0.25">
      <c r="A901" s="78"/>
      <c r="B901" s="112"/>
      <c r="C901" s="77"/>
      <c r="D901" s="77"/>
      <c r="E901" s="77"/>
      <c r="F901" s="84"/>
      <c r="G901" s="92"/>
      <c r="H901" s="92"/>
      <c r="I901" s="92"/>
      <c r="J901" s="93"/>
      <c r="K901" s="93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</row>
    <row r="902" spans="1:27" ht="12.75" customHeight="1" x14ac:dyDescent="0.25">
      <c r="A902" s="78"/>
      <c r="B902" s="112"/>
      <c r="C902" s="77"/>
      <c r="D902" s="77"/>
      <c r="E902" s="77"/>
      <c r="F902" s="84"/>
      <c r="G902" s="92"/>
      <c r="H902" s="92"/>
      <c r="I902" s="92"/>
      <c r="J902" s="93"/>
      <c r="K902" s="93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</row>
    <row r="903" spans="1:27" ht="12.75" customHeight="1" x14ac:dyDescent="0.25">
      <c r="A903" s="78"/>
      <c r="B903" s="112"/>
      <c r="C903" s="77"/>
      <c r="D903" s="77"/>
      <c r="E903" s="77"/>
      <c r="F903" s="84"/>
      <c r="G903" s="92"/>
      <c r="H903" s="92"/>
      <c r="I903" s="92"/>
      <c r="J903" s="93"/>
      <c r="K903" s="93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</row>
    <row r="904" spans="1:27" ht="12.75" customHeight="1" x14ac:dyDescent="0.25">
      <c r="A904" s="78"/>
      <c r="B904" s="112"/>
      <c r="C904" s="77"/>
      <c r="D904" s="77"/>
      <c r="E904" s="77"/>
      <c r="F904" s="84"/>
      <c r="G904" s="92"/>
      <c r="H904" s="92"/>
      <c r="I904" s="92"/>
      <c r="J904" s="93"/>
      <c r="K904" s="93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</row>
    <row r="905" spans="1:27" ht="12.75" customHeight="1" x14ac:dyDescent="0.25">
      <c r="A905" s="78"/>
      <c r="B905" s="112"/>
      <c r="C905" s="77"/>
      <c r="D905" s="77"/>
      <c r="E905" s="77"/>
      <c r="F905" s="84"/>
      <c r="G905" s="92"/>
      <c r="H905" s="92"/>
      <c r="I905" s="92"/>
      <c r="J905" s="93"/>
      <c r="K905" s="93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</row>
    <row r="906" spans="1:27" ht="12.75" customHeight="1" x14ac:dyDescent="0.25">
      <c r="A906" s="78"/>
      <c r="B906" s="112"/>
      <c r="C906" s="77"/>
      <c r="D906" s="77"/>
      <c r="E906" s="77"/>
      <c r="F906" s="84"/>
      <c r="G906" s="92"/>
      <c r="H906" s="92"/>
      <c r="I906" s="92"/>
      <c r="J906" s="93"/>
      <c r="K906" s="93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</row>
    <row r="907" spans="1:27" ht="12.75" customHeight="1" x14ac:dyDescent="0.25">
      <c r="A907" s="78"/>
      <c r="B907" s="112"/>
      <c r="C907" s="77"/>
      <c r="D907" s="77"/>
      <c r="E907" s="77"/>
      <c r="F907" s="84"/>
      <c r="G907" s="92"/>
      <c r="H907" s="92"/>
      <c r="I907" s="92"/>
      <c r="J907" s="93"/>
      <c r="K907" s="93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</row>
    <row r="908" spans="1:27" ht="12.75" customHeight="1" x14ac:dyDescent="0.25">
      <c r="A908" s="78"/>
      <c r="B908" s="112"/>
      <c r="C908" s="77"/>
      <c r="D908" s="77"/>
      <c r="E908" s="77"/>
      <c r="F908" s="84"/>
      <c r="G908" s="92"/>
      <c r="H908" s="92"/>
      <c r="I908" s="92"/>
      <c r="J908" s="93"/>
      <c r="K908" s="93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</row>
    <row r="909" spans="1:27" ht="12.75" customHeight="1" x14ac:dyDescent="0.25">
      <c r="A909" s="78"/>
      <c r="B909" s="112"/>
      <c r="C909" s="77"/>
      <c r="D909" s="77"/>
      <c r="E909" s="77"/>
      <c r="F909" s="84"/>
      <c r="G909" s="92"/>
      <c r="H909" s="92"/>
      <c r="I909" s="92"/>
      <c r="J909" s="93"/>
      <c r="K909" s="93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</row>
    <row r="910" spans="1:27" ht="12.75" customHeight="1" x14ac:dyDescent="0.25">
      <c r="A910" s="78"/>
      <c r="B910" s="112"/>
      <c r="C910" s="77"/>
      <c r="D910" s="77"/>
      <c r="E910" s="77"/>
      <c r="F910" s="84"/>
      <c r="G910" s="92"/>
      <c r="H910" s="92"/>
      <c r="I910" s="92"/>
      <c r="J910" s="93"/>
      <c r="K910" s="93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</row>
    <row r="911" spans="1:27" ht="12.75" customHeight="1" x14ac:dyDescent="0.25">
      <c r="A911" s="78"/>
      <c r="B911" s="112"/>
      <c r="C911" s="77"/>
      <c r="D911" s="77"/>
      <c r="E911" s="77"/>
      <c r="F911" s="84"/>
      <c r="G911" s="92"/>
      <c r="H911" s="92"/>
      <c r="I911" s="92"/>
      <c r="J911" s="93"/>
      <c r="K911" s="93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</row>
    <row r="912" spans="1:27" ht="12.75" customHeight="1" x14ac:dyDescent="0.25">
      <c r="A912" s="78"/>
      <c r="B912" s="112"/>
      <c r="C912" s="77"/>
      <c r="D912" s="77"/>
      <c r="E912" s="77"/>
      <c r="F912" s="84"/>
      <c r="G912" s="92"/>
      <c r="H912" s="92"/>
      <c r="I912" s="92"/>
      <c r="J912" s="93"/>
      <c r="K912" s="93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</row>
    <row r="913" spans="1:27" ht="12.75" customHeight="1" x14ac:dyDescent="0.25">
      <c r="A913" s="78"/>
      <c r="B913" s="112"/>
      <c r="C913" s="77"/>
      <c r="D913" s="77"/>
      <c r="E913" s="77"/>
      <c r="F913" s="84"/>
      <c r="G913" s="92"/>
      <c r="H913" s="92"/>
      <c r="I913" s="92"/>
      <c r="J913" s="93"/>
      <c r="K913" s="93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</row>
    <row r="914" spans="1:27" ht="12.75" customHeight="1" x14ac:dyDescent="0.25">
      <c r="A914" s="78"/>
      <c r="B914" s="112"/>
      <c r="C914" s="77"/>
      <c r="D914" s="77"/>
      <c r="E914" s="77"/>
      <c r="F914" s="84"/>
      <c r="G914" s="92"/>
      <c r="H914" s="92"/>
      <c r="I914" s="92"/>
      <c r="J914" s="93"/>
      <c r="K914" s="93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</row>
    <row r="915" spans="1:27" ht="12.75" customHeight="1" x14ac:dyDescent="0.25">
      <c r="A915" s="78"/>
      <c r="B915" s="112"/>
      <c r="C915" s="77"/>
      <c r="D915" s="77"/>
      <c r="E915" s="77"/>
      <c r="F915" s="84"/>
      <c r="G915" s="92"/>
      <c r="H915" s="92"/>
      <c r="I915" s="92"/>
      <c r="J915" s="93"/>
      <c r="K915" s="93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</row>
    <row r="916" spans="1:27" ht="12.75" customHeight="1" x14ac:dyDescent="0.25">
      <c r="A916" s="78"/>
      <c r="B916" s="112"/>
      <c r="C916" s="77"/>
      <c r="D916" s="77"/>
      <c r="E916" s="77"/>
      <c r="F916" s="84"/>
      <c r="G916" s="92"/>
      <c r="H916" s="92"/>
      <c r="I916" s="92"/>
      <c r="J916" s="93"/>
      <c r="K916" s="93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</row>
    <row r="917" spans="1:27" ht="12.75" customHeight="1" x14ac:dyDescent="0.25">
      <c r="A917" s="78"/>
      <c r="B917" s="112"/>
      <c r="C917" s="77"/>
      <c r="D917" s="77"/>
      <c r="E917" s="77"/>
      <c r="F917" s="84"/>
      <c r="G917" s="92"/>
      <c r="H917" s="92"/>
      <c r="I917" s="92"/>
      <c r="J917" s="93"/>
      <c r="K917" s="93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</row>
    <row r="918" spans="1:27" ht="12.75" customHeight="1" x14ac:dyDescent="0.25">
      <c r="A918" s="78"/>
      <c r="B918" s="112"/>
      <c r="C918" s="77"/>
      <c r="D918" s="77"/>
      <c r="E918" s="77"/>
      <c r="F918" s="84"/>
      <c r="G918" s="92"/>
      <c r="H918" s="92"/>
      <c r="I918" s="92"/>
      <c r="J918" s="93"/>
      <c r="K918" s="93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</row>
    <row r="919" spans="1:27" ht="12.75" customHeight="1" x14ac:dyDescent="0.25">
      <c r="A919" s="78"/>
      <c r="B919" s="112"/>
      <c r="C919" s="77"/>
      <c r="D919" s="77"/>
      <c r="E919" s="77"/>
      <c r="F919" s="84"/>
      <c r="G919" s="92"/>
      <c r="H919" s="92"/>
      <c r="I919" s="92"/>
      <c r="J919" s="93"/>
      <c r="K919" s="93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</row>
    <row r="920" spans="1:27" ht="12.75" customHeight="1" x14ac:dyDescent="0.25">
      <c r="A920" s="78"/>
      <c r="B920" s="112"/>
      <c r="C920" s="77"/>
      <c r="D920" s="77"/>
      <c r="E920" s="77"/>
      <c r="F920" s="84"/>
      <c r="G920" s="92"/>
      <c r="H920" s="92"/>
      <c r="I920" s="92"/>
      <c r="J920" s="93"/>
      <c r="K920" s="93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</row>
    <row r="921" spans="1:27" ht="12.75" customHeight="1" x14ac:dyDescent="0.25">
      <c r="A921" s="78"/>
      <c r="B921" s="112"/>
      <c r="C921" s="77"/>
      <c r="D921" s="77"/>
      <c r="E921" s="77"/>
      <c r="F921" s="84"/>
      <c r="G921" s="92"/>
      <c r="H921" s="92"/>
      <c r="I921" s="92"/>
      <c r="J921" s="93"/>
      <c r="K921" s="93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</row>
    <row r="922" spans="1:27" ht="12.75" customHeight="1" x14ac:dyDescent="0.25">
      <c r="A922" s="78"/>
      <c r="B922" s="112"/>
      <c r="C922" s="77"/>
      <c r="D922" s="77"/>
      <c r="E922" s="77"/>
      <c r="F922" s="84"/>
      <c r="G922" s="92"/>
      <c r="H922" s="92"/>
      <c r="I922" s="92"/>
      <c r="J922" s="93"/>
      <c r="K922" s="93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</row>
    <row r="923" spans="1:27" ht="12.75" customHeight="1" x14ac:dyDescent="0.25">
      <c r="A923" s="78"/>
      <c r="B923" s="112"/>
      <c r="C923" s="77"/>
      <c r="D923" s="77"/>
      <c r="E923" s="77"/>
      <c r="F923" s="84"/>
      <c r="G923" s="92"/>
      <c r="H923" s="92"/>
      <c r="I923" s="92"/>
      <c r="J923" s="93"/>
      <c r="K923" s="93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</row>
    <row r="924" spans="1:27" ht="12.75" customHeight="1" x14ac:dyDescent="0.25">
      <c r="A924" s="78"/>
      <c r="B924" s="112"/>
      <c r="C924" s="77"/>
      <c r="D924" s="77"/>
      <c r="E924" s="77"/>
      <c r="F924" s="84"/>
      <c r="G924" s="92"/>
      <c r="H924" s="92"/>
      <c r="I924" s="92"/>
      <c r="J924" s="93"/>
      <c r="K924" s="93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</row>
    <row r="925" spans="1:27" ht="12.75" customHeight="1" x14ac:dyDescent="0.25">
      <c r="A925" s="78"/>
      <c r="B925" s="112"/>
      <c r="C925" s="77"/>
      <c r="D925" s="77"/>
      <c r="E925" s="77"/>
      <c r="F925" s="84"/>
      <c r="G925" s="92"/>
      <c r="H925" s="92"/>
      <c r="I925" s="92"/>
      <c r="J925" s="93"/>
      <c r="K925" s="93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</row>
    <row r="926" spans="1:27" ht="12.75" customHeight="1" x14ac:dyDescent="0.25">
      <c r="A926" s="78"/>
      <c r="B926" s="112"/>
      <c r="C926" s="77"/>
      <c r="D926" s="77"/>
      <c r="E926" s="77"/>
      <c r="F926" s="84"/>
      <c r="G926" s="92"/>
      <c r="H926" s="92"/>
      <c r="I926" s="92"/>
      <c r="J926" s="93"/>
      <c r="K926" s="93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</row>
    <row r="927" spans="1:27" ht="12.75" customHeight="1" x14ac:dyDescent="0.25">
      <c r="A927" s="78"/>
      <c r="B927" s="112"/>
      <c r="C927" s="77"/>
      <c r="D927" s="77"/>
      <c r="E927" s="77"/>
      <c r="F927" s="84"/>
      <c r="G927" s="92"/>
      <c r="H927" s="92"/>
      <c r="I927" s="92"/>
      <c r="J927" s="93"/>
      <c r="K927" s="93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</row>
    <row r="928" spans="1:27" ht="12.75" customHeight="1" x14ac:dyDescent="0.25">
      <c r="A928" s="78"/>
      <c r="B928" s="112"/>
      <c r="C928" s="77"/>
      <c r="D928" s="77"/>
      <c r="E928" s="77"/>
      <c r="F928" s="84"/>
      <c r="G928" s="92"/>
      <c r="H928" s="92"/>
      <c r="I928" s="92"/>
      <c r="J928" s="93"/>
      <c r="K928" s="93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</row>
    <row r="929" spans="1:27" ht="12.75" customHeight="1" x14ac:dyDescent="0.25">
      <c r="A929" s="78"/>
      <c r="B929" s="112"/>
      <c r="C929" s="77"/>
      <c r="D929" s="77"/>
      <c r="E929" s="77"/>
      <c r="F929" s="84"/>
      <c r="G929" s="92"/>
      <c r="H929" s="92"/>
      <c r="I929" s="92"/>
      <c r="J929" s="93"/>
      <c r="K929" s="93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</row>
    <row r="930" spans="1:27" ht="12.75" customHeight="1" x14ac:dyDescent="0.25">
      <c r="A930" s="78"/>
      <c r="B930" s="112"/>
      <c r="C930" s="77"/>
      <c r="D930" s="77"/>
      <c r="E930" s="77"/>
      <c r="F930" s="84"/>
      <c r="G930" s="92"/>
      <c r="H930" s="92"/>
      <c r="I930" s="92"/>
      <c r="J930" s="93"/>
      <c r="K930" s="93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</row>
    <row r="931" spans="1:27" ht="12.75" customHeight="1" x14ac:dyDescent="0.25">
      <c r="A931" s="78"/>
      <c r="B931" s="112"/>
      <c r="C931" s="77"/>
      <c r="D931" s="77"/>
      <c r="E931" s="77"/>
      <c r="F931" s="84"/>
      <c r="G931" s="92"/>
      <c r="H931" s="92"/>
      <c r="I931" s="92"/>
      <c r="J931" s="93"/>
      <c r="K931" s="93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</row>
    <row r="932" spans="1:27" ht="12.75" customHeight="1" x14ac:dyDescent="0.25">
      <c r="A932" s="78"/>
      <c r="B932" s="112"/>
      <c r="C932" s="77"/>
      <c r="D932" s="77"/>
      <c r="E932" s="77"/>
      <c r="F932" s="84"/>
      <c r="G932" s="92"/>
      <c r="H932" s="92"/>
      <c r="I932" s="92"/>
      <c r="J932" s="93"/>
      <c r="K932" s="93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</row>
    <row r="933" spans="1:27" ht="12.75" customHeight="1" x14ac:dyDescent="0.25">
      <c r="A933" s="78"/>
      <c r="B933" s="112"/>
      <c r="C933" s="77"/>
      <c r="D933" s="77"/>
      <c r="E933" s="77"/>
      <c r="F933" s="84"/>
      <c r="G933" s="92"/>
      <c r="H933" s="92"/>
      <c r="I933" s="92"/>
      <c r="J933" s="93"/>
      <c r="K933" s="93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</row>
    <row r="934" spans="1:27" ht="12.75" customHeight="1" x14ac:dyDescent="0.25">
      <c r="A934" s="78"/>
      <c r="B934" s="112"/>
      <c r="C934" s="77"/>
      <c r="D934" s="77"/>
      <c r="E934" s="77"/>
      <c r="F934" s="84"/>
      <c r="G934" s="92"/>
      <c r="H934" s="92"/>
      <c r="I934" s="92"/>
      <c r="J934" s="93"/>
      <c r="K934" s="93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</row>
    <row r="935" spans="1:27" ht="12.75" customHeight="1" x14ac:dyDescent="0.25">
      <c r="A935" s="78"/>
      <c r="B935" s="112"/>
      <c r="C935" s="77"/>
      <c r="D935" s="77"/>
      <c r="E935" s="77"/>
      <c r="F935" s="84"/>
      <c r="G935" s="92"/>
      <c r="H935" s="92"/>
      <c r="I935" s="92"/>
      <c r="J935" s="93"/>
      <c r="K935" s="93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</row>
    <row r="936" spans="1:27" ht="12.75" customHeight="1" x14ac:dyDescent="0.25">
      <c r="A936" s="78"/>
      <c r="B936" s="112"/>
      <c r="C936" s="77"/>
      <c r="D936" s="77"/>
      <c r="E936" s="77"/>
      <c r="F936" s="84"/>
      <c r="G936" s="92"/>
      <c r="H936" s="92"/>
      <c r="I936" s="92"/>
      <c r="J936" s="93"/>
      <c r="K936" s="93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</row>
    <row r="937" spans="1:27" ht="12.75" customHeight="1" x14ac:dyDescent="0.25">
      <c r="A937" s="78"/>
      <c r="B937" s="112"/>
      <c r="C937" s="77"/>
      <c r="D937" s="77"/>
      <c r="E937" s="77"/>
      <c r="F937" s="84"/>
      <c r="G937" s="92"/>
      <c r="H937" s="92"/>
      <c r="I937" s="92"/>
      <c r="J937" s="93"/>
      <c r="K937" s="93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</row>
    <row r="938" spans="1:27" ht="12.75" customHeight="1" x14ac:dyDescent="0.25">
      <c r="A938" s="78"/>
      <c r="B938" s="112"/>
      <c r="C938" s="77"/>
      <c r="D938" s="77"/>
      <c r="E938" s="77"/>
      <c r="F938" s="84"/>
      <c r="G938" s="92"/>
      <c r="H938" s="92"/>
      <c r="I938" s="92"/>
      <c r="J938" s="93"/>
      <c r="K938" s="93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</row>
    <row r="939" spans="1:27" ht="12.75" customHeight="1" x14ac:dyDescent="0.25">
      <c r="A939" s="78"/>
      <c r="B939" s="112"/>
      <c r="C939" s="77"/>
      <c r="D939" s="77"/>
      <c r="E939" s="77"/>
      <c r="F939" s="84"/>
      <c r="G939" s="92"/>
      <c r="H939" s="92"/>
      <c r="I939" s="92"/>
      <c r="J939" s="93"/>
      <c r="K939" s="93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</row>
    <row r="940" spans="1:27" ht="12.75" customHeight="1" x14ac:dyDescent="0.25">
      <c r="A940" s="78"/>
      <c r="B940" s="112"/>
      <c r="C940" s="77"/>
      <c r="D940" s="77"/>
      <c r="E940" s="77"/>
      <c r="F940" s="84"/>
      <c r="G940" s="92"/>
      <c r="H940" s="92"/>
      <c r="I940" s="92"/>
      <c r="J940" s="93"/>
      <c r="K940" s="93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</row>
    <row r="941" spans="1:27" ht="12.75" customHeight="1" x14ac:dyDescent="0.25">
      <c r="A941" s="78"/>
      <c r="B941" s="112"/>
      <c r="C941" s="77"/>
      <c r="D941" s="77"/>
      <c r="E941" s="77"/>
      <c r="F941" s="84"/>
      <c r="G941" s="92"/>
      <c r="H941" s="92"/>
      <c r="I941" s="92"/>
      <c r="J941" s="93"/>
      <c r="K941" s="93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</row>
    <row r="942" spans="1:27" ht="12.75" customHeight="1" x14ac:dyDescent="0.25">
      <c r="A942" s="78"/>
      <c r="B942" s="112"/>
      <c r="C942" s="77"/>
      <c r="D942" s="77"/>
      <c r="E942" s="77"/>
      <c r="F942" s="84"/>
      <c r="G942" s="92"/>
      <c r="H942" s="92"/>
      <c r="I942" s="92"/>
      <c r="J942" s="93"/>
      <c r="K942" s="93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</row>
    <row r="943" spans="1:27" ht="12.75" customHeight="1" x14ac:dyDescent="0.25">
      <c r="A943" s="78"/>
      <c r="B943" s="112"/>
      <c r="C943" s="77"/>
      <c r="D943" s="77"/>
      <c r="E943" s="77"/>
      <c r="F943" s="84"/>
      <c r="G943" s="92"/>
      <c r="H943" s="92"/>
      <c r="I943" s="92"/>
      <c r="J943" s="93"/>
      <c r="K943" s="93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</row>
    <row r="944" spans="1:27" ht="12.75" customHeight="1" x14ac:dyDescent="0.25">
      <c r="A944" s="78"/>
      <c r="B944" s="112"/>
      <c r="C944" s="77"/>
      <c r="D944" s="77"/>
      <c r="E944" s="77"/>
      <c r="F944" s="84"/>
      <c r="G944" s="92"/>
      <c r="H944" s="92"/>
      <c r="I944" s="92"/>
      <c r="J944" s="93"/>
      <c r="K944" s="93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</row>
    <row r="945" spans="1:27" ht="12.75" customHeight="1" x14ac:dyDescent="0.25">
      <c r="A945" s="78"/>
      <c r="B945" s="112"/>
      <c r="C945" s="77"/>
      <c r="D945" s="77"/>
      <c r="E945" s="77"/>
      <c r="F945" s="84"/>
      <c r="G945" s="92"/>
      <c r="H945" s="92"/>
      <c r="I945" s="92"/>
      <c r="J945" s="93"/>
      <c r="K945" s="93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</row>
    <row r="946" spans="1:27" ht="12.75" customHeight="1" x14ac:dyDescent="0.25">
      <c r="A946" s="78"/>
      <c r="B946" s="112"/>
      <c r="C946" s="77"/>
      <c r="D946" s="77"/>
      <c r="E946" s="77"/>
      <c r="F946" s="84"/>
      <c r="G946" s="92"/>
      <c r="H946" s="92"/>
      <c r="I946" s="92"/>
      <c r="J946" s="93"/>
      <c r="K946" s="93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</row>
    <row r="947" spans="1:27" ht="12.75" customHeight="1" x14ac:dyDescent="0.25">
      <c r="A947" s="78"/>
      <c r="B947" s="112"/>
      <c r="C947" s="77"/>
      <c r="D947" s="77"/>
      <c r="E947" s="77"/>
      <c r="F947" s="84"/>
      <c r="G947" s="92"/>
      <c r="H947" s="92"/>
      <c r="I947" s="92"/>
      <c r="J947" s="93"/>
      <c r="K947" s="93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</row>
    <row r="948" spans="1:27" ht="12.75" customHeight="1" x14ac:dyDescent="0.25">
      <c r="A948" s="78"/>
      <c r="B948" s="112"/>
      <c r="C948" s="77"/>
      <c r="D948" s="77"/>
      <c r="E948" s="77"/>
      <c r="F948" s="84"/>
      <c r="G948" s="92"/>
      <c r="H948" s="92"/>
      <c r="I948" s="92"/>
      <c r="J948" s="93"/>
      <c r="K948" s="93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</row>
    <row r="949" spans="1:27" ht="12.75" customHeight="1" x14ac:dyDescent="0.25">
      <c r="A949" s="78"/>
      <c r="B949" s="112"/>
      <c r="C949" s="77"/>
      <c r="D949" s="77"/>
      <c r="E949" s="77"/>
      <c r="F949" s="84"/>
      <c r="G949" s="92"/>
      <c r="H949" s="92"/>
      <c r="I949" s="92"/>
      <c r="J949" s="93"/>
      <c r="K949" s="93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</row>
    <row r="950" spans="1:27" ht="12.75" customHeight="1" x14ac:dyDescent="0.25">
      <c r="A950" s="78"/>
      <c r="B950" s="112"/>
      <c r="C950" s="77"/>
      <c r="D950" s="77"/>
      <c r="E950" s="77"/>
      <c r="F950" s="84"/>
      <c r="G950" s="92"/>
      <c r="H950" s="92"/>
      <c r="I950" s="92"/>
      <c r="J950" s="93"/>
      <c r="K950" s="93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</row>
    <row r="951" spans="1:27" ht="12.75" customHeight="1" x14ac:dyDescent="0.25">
      <c r="A951" s="78"/>
      <c r="B951" s="112"/>
      <c r="C951" s="77"/>
      <c r="D951" s="77"/>
      <c r="E951" s="77"/>
      <c r="F951" s="84"/>
      <c r="G951" s="92"/>
      <c r="H951" s="92"/>
      <c r="I951" s="92"/>
      <c r="J951" s="93"/>
      <c r="K951" s="93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</row>
    <row r="952" spans="1:27" ht="12.75" customHeight="1" x14ac:dyDescent="0.25">
      <c r="A952" s="78"/>
      <c r="B952" s="112"/>
      <c r="C952" s="77"/>
      <c r="D952" s="77"/>
      <c r="E952" s="77"/>
      <c r="F952" s="84"/>
      <c r="G952" s="92"/>
      <c r="H952" s="92"/>
      <c r="I952" s="92"/>
      <c r="J952" s="93"/>
      <c r="K952" s="93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</row>
    <row r="953" spans="1:27" ht="12.75" customHeight="1" x14ac:dyDescent="0.25">
      <c r="A953" s="78"/>
      <c r="B953" s="112"/>
      <c r="C953" s="77"/>
      <c r="D953" s="77"/>
      <c r="E953" s="77"/>
      <c r="F953" s="84"/>
      <c r="G953" s="92"/>
      <c r="H953" s="92"/>
      <c r="I953" s="92"/>
      <c r="J953" s="93"/>
      <c r="K953" s="93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</row>
    <row r="954" spans="1:27" ht="12.75" customHeight="1" x14ac:dyDescent="0.25">
      <c r="A954" s="78"/>
      <c r="B954" s="112"/>
      <c r="C954" s="77"/>
      <c r="D954" s="77"/>
      <c r="E954" s="77"/>
      <c r="F954" s="84"/>
      <c r="G954" s="92"/>
      <c r="H954" s="92"/>
      <c r="I954" s="92"/>
      <c r="J954" s="93"/>
      <c r="K954" s="93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</row>
    <row r="955" spans="1:27" ht="12.75" customHeight="1" x14ac:dyDescent="0.25">
      <c r="A955" s="78"/>
      <c r="B955" s="112"/>
      <c r="C955" s="77"/>
      <c r="D955" s="77"/>
      <c r="E955" s="77"/>
      <c r="F955" s="84"/>
      <c r="G955" s="92"/>
      <c r="H955" s="92"/>
      <c r="I955" s="92"/>
      <c r="J955" s="93"/>
      <c r="K955" s="93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</row>
    <row r="956" spans="1:27" ht="12.75" customHeight="1" x14ac:dyDescent="0.25">
      <c r="A956" s="78"/>
      <c r="B956" s="112"/>
      <c r="C956" s="77"/>
      <c r="D956" s="77"/>
      <c r="E956" s="77"/>
      <c r="F956" s="84"/>
      <c r="G956" s="92"/>
      <c r="H956" s="92"/>
      <c r="I956" s="92"/>
      <c r="J956" s="93"/>
      <c r="K956" s="93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</row>
    <row r="957" spans="1:27" ht="12.75" customHeight="1" x14ac:dyDescent="0.25">
      <c r="A957" s="78"/>
      <c r="B957" s="112"/>
      <c r="C957" s="77"/>
      <c r="D957" s="77"/>
      <c r="E957" s="77"/>
      <c r="F957" s="84"/>
      <c r="G957" s="92"/>
      <c r="H957" s="92"/>
      <c r="I957" s="92"/>
      <c r="J957" s="93"/>
      <c r="K957" s="93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</row>
    <row r="958" spans="1:27" ht="12.75" customHeight="1" x14ac:dyDescent="0.25">
      <c r="A958" s="78"/>
      <c r="B958" s="112"/>
      <c r="C958" s="77"/>
      <c r="D958" s="77"/>
      <c r="E958" s="77"/>
      <c r="F958" s="84"/>
      <c r="G958" s="92"/>
      <c r="H958" s="92"/>
      <c r="I958" s="92"/>
      <c r="J958" s="93"/>
      <c r="K958" s="93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</row>
    <row r="959" spans="1:27" ht="12.75" customHeight="1" x14ac:dyDescent="0.25">
      <c r="A959" s="78"/>
      <c r="B959" s="112"/>
      <c r="C959" s="77"/>
      <c r="D959" s="77"/>
      <c r="E959" s="77"/>
      <c r="F959" s="84"/>
      <c r="G959" s="92"/>
      <c r="H959" s="92"/>
      <c r="I959" s="92"/>
      <c r="J959" s="93"/>
      <c r="K959" s="93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</row>
    <row r="960" spans="1:27" ht="12.75" customHeight="1" x14ac:dyDescent="0.25">
      <c r="A960" s="78"/>
      <c r="B960" s="112"/>
      <c r="C960" s="77"/>
      <c r="D960" s="77"/>
      <c r="E960" s="77"/>
      <c r="F960" s="84"/>
      <c r="G960" s="92"/>
      <c r="H960" s="92"/>
      <c r="I960" s="92"/>
      <c r="J960" s="93"/>
      <c r="K960" s="93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</row>
    <row r="961" spans="1:27" ht="12.75" customHeight="1" x14ac:dyDescent="0.25">
      <c r="A961" s="78"/>
      <c r="B961" s="112"/>
      <c r="C961" s="77"/>
      <c r="D961" s="77"/>
      <c r="E961" s="77"/>
      <c r="F961" s="84"/>
      <c r="G961" s="92"/>
      <c r="H961" s="92"/>
      <c r="I961" s="92"/>
      <c r="J961" s="93"/>
      <c r="K961" s="93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</row>
    <row r="962" spans="1:27" ht="12.75" customHeight="1" x14ac:dyDescent="0.25">
      <c r="A962" s="78"/>
      <c r="B962" s="112"/>
      <c r="C962" s="77"/>
      <c r="D962" s="77"/>
      <c r="E962" s="77"/>
      <c r="F962" s="84"/>
      <c r="G962" s="92"/>
      <c r="H962" s="92"/>
      <c r="I962" s="92"/>
      <c r="J962" s="93"/>
      <c r="K962" s="93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</row>
    <row r="963" spans="1:27" ht="12.75" customHeight="1" x14ac:dyDescent="0.25">
      <c r="A963" s="78"/>
      <c r="B963" s="112"/>
      <c r="C963" s="77"/>
      <c r="D963" s="77"/>
      <c r="E963" s="77"/>
      <c r="F963" s="84"/>
      <c r="G963" s="92"/>
      <c r="H963" s="92"/>
      <c r="I963" s="92"/>
      <c r="J963" s="93"/>
      <c r="K963" s="93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</row>
    <row r="964" spans="1:27" ht="12.75" customHeight="1" x14ac:dyDescent="0.25">
      <c r="A964" s="78"/>
      <c r="B964" s="112"/>
      <c r="C964" s="77"/>
      <c r="D964" s="77"/>
      <c r="E964" s="77"/>
      <c r="F964" s="84"/>
      <c r="G964" s="92"/>
      <c r="H964" s="92"/>
      <c r="I964" s="92"/>
      <c r="J964" s="93"/>
      <c r="K964" s="93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</row>
    <row r="965" spans="1:27" ht="12.75" customHeight="1" x14ac:dyDescent="0.25">
      <c r="A965" s="78"/>
      <c r="B965" s="112"/>
      <c r="C965" s="77"/>
      <c r="D965" s="77"/>
      <c r="E965" s="77"/>
      <c r="F965" s="84"/>
      <c r="G965" s="92"/>
      <c r="H965" s="92"/>
      <c r="I965" s="92"/>
      <c r="J965" s="93"/>
      <c r="K965" s="93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</row>
    <row r="966" spans="1:27" ht="12.75" customHeight="1" x14ac:dyDescent="0.25">
      <c r="A966" s="78"/>
      <c r="B966" s="112"/>
      <c r="C966" s="77"/>
      <c r="D966" s="77"/>
      <c r="E966" s="77"/>
      <c r="F966" s="84"/>
      <c r="G966" s="92"/>
      <c r="H966" s="92"/>
      <c r="I966" s="92"/>
      <c r="J966" s="93"/>
      <c r="K966" s="93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</row>
    <row r="967" spans="1:27" ht="12.75" customHeight="1" x14ac:dyDescent="0.25">
      <c r="A967" s="78"/>
      <c r="B967" s="112"/>
      <c r="C967" s="77"/>
      <c r="D967" s="77"/>
      <c r="E967" s="77"/>
      <c r="F967" s="84"/>
      <c r="G967" s="92"/>
      <c r="H967" s="92"/>
      <c r="I967" s="92"/>
      <c r="J967" s="93"/>
      <c r="K967" s="93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</row>
    <row r="968" spans="1:27" ht="12.75" customHeight="1" x14ac:dyDescent="0.25">
      <c r="A968" s="78"/>
      <c r="B968" s="112"/>
      <c r="C968" s="77"/>
      <c r="D968" s="77"/>
      <c r="E968" s="77"/>
      <c r="F968" s="84"/>
      <c r="G968" s="92"/>
      <c r="H968" s="92"/>
      <c r="I968" s="92"/>
      <c r="J968" s="93"/>
      <c r="K968" s="93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</row>
    <row r="969" spans="1:27" ht="12.75" customHeight="1" x14ac:dyDescent="0.25">
      <c r="A969" s="78"/>
      <c r="B969" s="112"/>
      <c r="C969" s="77"/>
      <c r="D969" s="77"/>
      <c r="E969" s="77"/>
      <c r="F969" s="84"/>
      <c r="G969" s="92"/>
      <c r="H969" s="92"/>
      <c r="I969" s="92"/>
      <c r="J969" s="93"/>
      <c r="K969" s="93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</row>
    <row r="970" spans="1:27" ht="12.75" customHeight="1" x14ac:dyDescent="0.25">
      <c r="A970" s="78"/>
      <c r="B970" s="112"/>
      <c r="C970" s="77"/>
      <c r="D970" s="77"/>
      <c r="E970" s="77"/>
      <c r="F970" s="84"/>
      <c r="G970" s="92"/>
      <c r="H970" s="92"/>
      <c r="I970" s="92"/>
      <c r="J970" s="93"/>
      <c r="K970" s="93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</row>
    <row r="971" spans="1:27" ht="12.75" customHeight="1" x14ac:dyDescent="0.25">
      <c r="A971" s="78"/>
      <c r="B971" s="112"/>
      <c r="C971" s="77"/>
      <c r="D971" s="77"/>
      <c r="E971" s="77"/>
      <c r="F971" s="84"/>
      <c r="G971" s="92"/>
      <c r="H971" s="92"/>
      <c r="I971" s="92"/>
      <c r="J971" s="93"/>
      <c r="K971" s="93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</row>
    <row r="972" spans="1:27" ht="12.75" customHeight="1" x14ac:dyDescent="0.25">
      <c r="A972" s="78"/>
      <c r="B972" s="112"/>
      <c r="C972" s="77"/>
      <c r="D972" s="77"/>
      <c r="E972" s="77"/>
      <c r="F972" s="84"/>
      <c r="G972" s="92"/>
      <c r="H972" s="92"/>
      <c r="I972" s="92"/>
      <c r="J972" s="93"/>
      <c r="K972" s="93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</row>
    <row r="973" spans="1:27" ht="12.75" customHeight="1" x14ac:dyDescent="0.25">
      <c r="A973" s="78"/>
      <c r="B973" s="112"/>
      <c r="C973" s="77"/>
      <c r="D973" s="77"/>
      <c r="E973" s="77"/>
      <c r="F973" s="84"/>
      <c r="G973" s="92"/>
      <c r="H973" s="92"/>
      <c r="I973" s="92"/>
      <c r="J973" s="93"/>
      <c r="K973" s="93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</row>
    <row r="974" spans="1:27" ht="12.75" customHeight="1" x14ac:dyDescent="0.25">
      <c r="A974" s="78"/>
      <c r="B974" s="112"/>
      <c r="C974" s="77"/>
      <c r="D974" s="77"/>
      <c r="E974" s="77"/>
      <c r="F974" s="84"/>
      <c r="G974" s="92"/>
      <c r="H974" s="92"/>
      <c r="I974" s="92"/>
      <c r="J974" s="93"/>
      <c r="K974" s="93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</row>
    <row r="975" spans="1:27" ht="12.75" customHeight="1" x14ac:dyDescent="0.25">
      <c r="A975" s="78"/>
      <c r="B975" s="112"/>
      <c r="C975" s="77"/>
      <c r="D975" s="77"/>
      <c r="E975" s="77"/>
      <c r="F975" s="84"/>
      <c r="G975" s="92"/>
      <c r="H975" s="92"/>
      <c r="I975" s="92"/>
      <c r="J975" s="93"/>
      <c r="K975" s="93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</row>
    <row r="976" spans="1:27" ht="12.75" customHeight="1" x14ac:dyDescent="0.25">
      <c r="A976" s="78"/>
      <c r="B976" s="112"/>
      <c r="C976" s="77"/>
      <c r="D976" s="77"/>
      <c r="E976" s="77"/>
      <c r="F976" s="84"/>
      <c r="G976" s="92"/>
      <c r="H976" s="92"/>
      <c r="I976" s="92"/>
      <c r="J976" s="93"/>
      <c r="K976" s="93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</row>
    <row r="977" spans="1:27" ht="12.75" customHeight="1" x14ac:dyDescent="0.25">
      <c r="A977" s="78"/>
      <c r="B977" s="112"/>
      <c r="C977" s="77"/>
      <c r="D977" s="77"/>
      <c r="E977" s="77"/>
      <c r="F977" s="84"/>
      <c r="G977" s="92"/>
      <c r="H977" s="92"/>
      <c r="I977" s="92"/>
      <c r="J977" s="93"/>
      <c r="K977" s="93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</row>
    <row r="978" spans="1:27" ht="12.75" customHeight="1" x14ac:dyDescent="0.25">
      <c r="A978" s="78"/>
      <c r="B978" s="112"/>
      <c r="C978" s="77"/>
      <c r="D978" s="77"/>
      <c r="E978" s="77"/>
      <c r="F978" s="84"/>
      <c r="G978" s="92"/>
      <c r="H978" s="92"/>
      <c r="I978" s="92"/>
      <c r="J978" s="93"/>
      <c r="K978" s="93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</row>
    <row r="979" spans="1:27" ht="12.75" customHeight="1" x14ac:dyDescent="0.25">
      <c r="A979" s="78"/>
      <c r="B979" s="112"/>
      <c r="C979" s="77"/>
      <c r="D979" s="77"/>
      <c r="E979" s="77"/>
      <c r="F979" s="84"/>
      <c r="G979" s="92"/>
      <c r="H979" s="92"/>
      <c r="I979" s="92"/>
      <c r="J979" s="93"/>
      <c r="K979" s="93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</row>
    <row r="980" spans="1:27" ht="12.75" customHeight="1" x14ac:dyDescent="0.25">
      <c r="A980" s="78"/>
      <c r="B980" s="112"/>
      <c r="C980" s="77"/>
      <c r="D980" s="77"/>
      <c r="E980" s="77"/>
      <c r="F980" s="84"/>
      <c r="G980" s="92"/>
      <c r="H980" s="92"/>
      <c r="I980" s="92"/>
      <c r="J980" s="93"/>
      <c r="K980" s="93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</row>
    <row r="981" spans="1:27" ht="12.75" customHeight="1" x14ac:dyDescent="0.25">
      <c r="A981" s="78"/>
      <c r="B981" s="112"/>
      <c r="C981" s="77"/>
      <c r="D981" s="77"/>
      <c r="E981" s="77"/>
      <c r="F981" s="84"/>
      <c r="G981" s="92"/>
      <c r="H981" s="92"/>
      <c r="I981" s="92"/>
      <c r="J981" s="93"/>
      <c r="K981" s="93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</row>
    <row r="982" spans="1:27" ht="12.75" customHeight="1" x14ac:dyDescent="0.25">
      <c r="A982" s="78"/>
      <c r="B982" s="112"/>
      <c r="C982" s="77"/>
      <c r="D982" s="77"/>
      <c r="E982" s="77"/>
      <c r="F982" s="84"/>
      <c r="G982" s="92"/>
      <c r="H982" s="92"/>
      <c r="I982" s="92"/>
      <c r="J982" s="93"/>
      <c r="K982" s="93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</row>
    <row r="983" spans="1:27" ht="12.75" customHeight="1" x14ac:dyDescent="0.25">
      <c r="A983" s="78"/>
      <c r="B983" s="112"/>
      <c r="C983" s="77"/>
      <c r="D983" s="77"/>
      <c r="E983" s="77"/>
      <c r="F983" s="84"/>
      <c r="G983" s="92"/>
      <c r="H983" s="92"/>
      <c r="I983" s="92"/>
      <c r="J983" s="93"/>
      <c r="K983" s="93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</row>
    <row r="984" spans="1:27" ht="12.75" customHeight="1" x14ac:dyDescent="0.25">
      <c r="A984" s="78"/>
      <c r="B984" s="112"/>
      <c r="C984" s="77"/>
      <c r="D984" s="77"/>
      <c r="E984" s="77"/>
      <c r="F984" s="84"/>
      <c r="G984" s="92"/>
      <c r="H984" s="92"/>
      <c r="I984" s="92"/>
      <c r="J984" s="93"/>
      <c r="K984" s="93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</row>
    <row r="985" spans="1:27" ht="12.75" customHeight="1" x14ac:dyDescent="0.25">
      <c r="A985" s="78"/>
      <c r="B985" s="112"/>
      <c r="C985" s="77"/>
      <c r="D985" s="77"/>
      <c r="E985" s="77"/>
      <c r="F985" s="84"/>
      <c r="G985" s="92"/>
      <c r="H985" s="92"/>
      <c r="I985" s="92"/>
      <c r="J985" s="93"/>
      <c r="K985" s="93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</row>
    <row r="986" spans="1:27" ht="12.75" customHeight="1" x14ac:dyDescent="0.25">
      <c r="A986" s="78"/>
      <c r="B986" s="112"/>
      <c r="C986" s="77"/>
      <c r="D986" s="77"/>
      <c r="E986" s="77"/>
      <c r="F986" s="84"/>
      <c r="G986" s="92"/>
      <c r="H986" s="92"/>
      <c r="I986" s="92"/>
      <c r="J986" s="93"/>
      <c r="K986" s="93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</row>
    <row r="987" spans="1:27" ht="12.75" customHeight="1" x14ac:dyDescent="0.25">
      <c r="A987" s="78"/>
      <c r="B987" s="112"/>
      <c r="C987" s="77"/>
      <c r="D987" s="77"/>
      <c r="E987" s="77"/>
      <c r="F987" s="84"/>
      <c r="G987" s="93"/>
      <c r="H987" s="93"/>
      <c r="I987" s="93"/>
      <c r="J987" s="93"/>
      <c r="K987" s="93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</row>
  </sheetData>
  <conditionalFormatting sqref="J5:J80">
    <cfRule type="cellIs" dxfId="5" priority="1" operator="equal">
      <formula>0</formula>
    </cfRule>
  </conditionalFormatting>
  <conditionalFormatting sqref="J5:K80">
    <cfRule type="cellIs" dxfId="4" priority="2" operator="equal">
      <formula>0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00"/>
  <sheetViews>
    <sheetView workbookViewId="0"/>
  </sheetViews>
  <sheetFormatPr defaultColWidth="12.6640625" defaultRowHeight="15" customHeight="1" x14ac:dyDescent="0.25"/>
  <cols>
    <col min="1" max="1" width="31" customWidth="1"/>
    <col min="2" max="9" width="11.6640625" customWidth="1"/>
    <col min="10" max="27" width="11" customWidth="1"/>
  </cols>
  <sheetData>
    <row r="1" spans="1:27" ht="12.75" customHeight="1" x14ac:dyDescent="0.25">
      <c r="A1" s="9" t="s">
        <v>14</v>
      </c>
      <c r="B1" s="46" t="s">
        <v>791</v>
      </c>
      <c r="C1" s="9" t="s">
        <v>15</v>
      </c>
      <c r="D1" s="9" t="s">
        <v>16</v>
      </c>
      <c r="E1" s="9" t="s">
        <v>17</v>
      </c>
      <c r="F1" s="84" t="s">
        <v>18</v>
      </c>
      <c r="G1" s="84" t="s">
        <v>19</v>
      </c>
      <c r="H1" s="84" t="s">
        <v>20</v>
      </c>
      <c r="I1" s="84" t="s">
        <v>21</v>
      </c>
      <c r="J1" s="85" t="s">
        <v>22</v>
      </c>
      <c r="K1" s="86" t="s">
        <v>23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2.75" customHeight="1" x14ac:dyDescent="0.3">
      <c r="A2" s="62" t="s">
        <v>841</v>
      </c>
      <c r="B2" s="51"/>
      <c r="C2" s="10"/>
      <c r="D2" s="10"/>
      <c r="E2" s="10"/>
      <c r="F2" s="88"/>
      <c r="G2" s="88"/>
      <c r="H2" s="88"/>
      <c r="I2" s="88"/>
      <c r="J2" s="89"/>
      <c r="K2" s="90">
        <f>SUM(K3:K103)</f>
        <v>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2.75" customHeight="1" x14ac:dyDescent="0.25">
      <c r="A3" s="14"/>
      <c r="B3" s="51"/>
      <c r="C3" s="14"/>
      <c r="D3" s="14"/>
      <c r="E3" s="14"/>
      <c r="F3" s="92"/>
      <c r="G3" s="92"/>
      <c r="H3" s="92"/>
      <c r="I3" s="92"/>
      <c r="J3" s="93"/>
      <c r="K3" s="9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2.75" customHeight="1" x14ac:dyDescent="0.25">
      <c r="A4" s="10" t="s">
        <v>842</v>
      </c>
      <c r="B4" s="65"/>
      <c r="C4" s="14"/>
      <c r="D4" s="5"/>
      <c r="E4" s="5">
        <v>1.75</v>
      </c>
      <c r="F4" s="91" t="s">
        <v>693</v>
      </c>
      <c r="G4" s="88"/>
      <c r="H4" s="88"/>
      <c r="I4" s="88"/>
      <c r="J4" s="94"/>
      <c r="K4" s="9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2.75" customHeight="1" x14ac:dyDescent="0.25">
      <c r="A5" s="10" t="s">
        <v>843</v>
      </c>
      <c r="B5" s="65"/>
      <c r="C5" s="5"/>
      <c r="D5" s="5"/>
      <c r="E5" s="5">
        <v>3.9</v>
      </c>
      <c r="F5" s="91" t="s">
        <v>693</v>
      </c>
      <c r="G5" s="92"/>
      <c r="H5" s="92"/>
      <c r="I5" s="92"/>
      <c r="J5" s="8">
        <f t="shared" ref="J5:J20" si="0">SUM(G5:I5)</f>
        <v>0</v>
      </c>
      <c r="K5" s="9">
        <f t="shared" ref="K5:K20" si="1">SUM(C5*J5)</f>
        <v>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2.75" customHeight="1" x14ac:dyDescent="0.25">
      <c r="A6" s="10" t="s">
        <v>844</v>
      </c>
      <c r="B6" s="65"/>
      <c r="C6" s="5"/>
      <c r="D6" s="5">
        <v>2.8</v>
      </c>
      <c r="E6" s="5">
        <v>2.8</v>
      </c>
      <c r="F6" s="91" t="s">
        <v>693</v>
      </c>
      <c r="G6" s="92"/>
      <c r="H6" s="92"/>
      <c r="I6" s="92"/>
      <c r="J6" s="8">
        <f t="shared" si="0"/>
        <v>0</v>
      </c>
      <c r="K6" s="9">
        <f t="shared" si="1"/>
        <v>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2.75" customHeight="1" x14ac:dyDescent="0.25">
      <c r="A7" s="10" t="s">
        <v>845</v>
      </c>
      <c r="B7" s="65" t="s">
        <v>63</v>
      </c>
      <c r="C7" s="14">
        <v>3.8</v>
      </c>
      <c r="D7" s="5">
        <v>4.8</v>
      </c>
      <c r="E7" s="5">
        <v>4.8</v>
      </c>
      <c r="F7" s="91" t="s">
        <v>693</v>
      </c>
      <c r="G7" s="92"/>
      <c r="H7" s="92"/>
      <c r="I7" s="92"/>
      <c r="J7" s="8">
        <f t="shared" si="0"/>
        <v>0</v>
      </c>
      <c r="K7" s="9">
        <f t="shared" si="1"/>
        <v>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2.75" customHeight="1" x14ac:dyDescent="0.25">
      <c r="A8" s="10" t="s">
        <v>846</v>
      </c>
      <c r="B8" s="65" t="s">
        <v>847</v>
      </c>
      <c r="C8" s="14">
        <v>1.66</v>
      </c>
      <c r="D8" s="5">
        <v>2.4</v>
      </c>
      <c r="E8" s="5">
        <v>2.4</v>
      </c>
      <c r="F8" s="91" t="s">
        <v>693</v>
      </c>
      <c r="G8" s="92"/>
      <c r="H8" s="92"/>
      <c r="I8" s="92"/>
      <c r="J8" s="8">
        <f t="shared" si="0"/>
        <v>0</v>
      </c>
      <c r="K8" s="9">
        <f t="shared" si="1"/>
        <v>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2.75" customHeight="1" x14ac:dyDescent="0.25">
      <c r="A9" s="10" t="s">
        <v>848</v>
      </c>
      <c r="B9" s="65"/>
      <c r="C9" s="14">
        <v>2.54</v>
      </c>
      <c r="D9" s="5">
        <v>3</v>
      </c>
      <c r="E9" s="5">
        <v>3</v>
      </c>
      <c r="F9" s="91" t="s">
        <v>508</v>
      </c>
      <c r="G9" s="92"/>
      <c r="H9" s="92"/>
      <c r="I9" s="92"/>
      <c r="J9" s="8">
        <f t="shared" si="0"/>
        <v>0</v>
      </c>
      <c r="K9" s="9">
        <f t="shared" si="1"/>
        <v>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0" t="s">
        <v>849</v>
      </c>
      <c r="B10" s="109"/>
      <c r="C10" s="108"/>
      <c r="D10" s="101"/>
      <c r="E10" s="5">
        <v>3</v>
      </c>
      <c r="F10" s="91" t="s">
        <v>693</v>
      </c>
      <c r="G10" s="92"/>
      <c r="H10" s="92"/>
      <c r="I10" s="92"/>
      <c r="J10" s="8">
        <f t="shared" si="0"/>
        <v>0</v>
      </c>
      <c r="K10" s="9">
        <f t="shared" si="1"/>
        <v>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0" t="s">
        <v>850</v>
      </c>
      <c r="B11" s="51"/>
      <c r="C11" s="14">
        <v>1.77</v>
      </c>
      <c r="D11" s="14"/>
      <c r="E11" s="14">
        <v>2.8</v>
      </c>
      <c r="F11" s="91" t="s">
        <v>693</v>
      </c>
      <c r="G11" s="92"/>
      <c r="H11" s="92"/>
      <c r="I11" s="92"/>
      <c r="J11" s="8">
        <f t="shared" si="0"/>
        <v>0</v>
      </c>
      <c r="K11" s="9">
        <f t="shared" si="1"/>
        <v>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0" t="s">
        <v>851</v>
      </c>
      <c r="B12" s="65"/>
      <c r="C12" s="14"/>
      <c r="D12" s="5">
        <v>4.5</v>
      </c>
      <c r="E12" s="5">
        <v>4.5</v>
      </c>
      <c r="F12" s="91" t="s">
        <v>693</v>
      </c>
      <c r="G12" s="92"/>
      <c r="H12" s="92"/>
      <c r="I12" s="92"/>
      <c r="J12" s="8">
        <f t="shared" si="0"/>
        <v>0</v>
      </c>
      <c r="K12" s="9">
        <f t="shared" si="1"/>
        <v>0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0" t="s">
        <v>852</v>
      </c>
      <c r="B13" s="65"/>
      <c r="C13" s="5"/>
      <c r="D13" s="5"/>
      <c r="E13" s="5">
        <v>2.8</v>
      </c>
      <c r="F13" s="91" t="s">
        <v>693</v>
      </c>
      <c r="G13" s="92"/>
      <c r="H13" s="92"/>
      <c r="I13" s="92"/>
      <c r="J13" s="8">
        <f t="shared" si="0"/>
        <v>0</v>
      </c>
      <c r="K13" s="9">
        <f t="shared" si="1"/>
        <v>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0" t="s">
        <v>853</v>
      </c>
      <c r="B14" s="65"/>
      <c r="C14" s="14"/>
      <c r="D14" s="5"/>
      <c r="E14" s="5">
        <v>1.3</v>
      </c>
      <c r="F14" s="91" t="s">
        <v>693</v>
      </c>
      <c r="G14" s="92"/>
      <c r="H14" s="92"/>
      <c r="I14" s="92"/>
      <c r="J14" s="8">
        <f t="shared" si="0"/>
        <v>0</v>
      </c>
      <c r="K14" s="9">
        <f t="shared" si="1"/>
        <v>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0" t="s">
        <v>854</v>
      </c>
      <c r="B15" s="51"/>
      <c r="C15" s="14"/>
      <c r="D15" s="14">
        <v>1.9500000000000002</v>
      </c>
      <c r="E15" s="14">
        <v>1.9500000000000002</v>
      </c>
      <c r="F15" s="91" t="s">
        <v>693</v>
      </c>
      <c r="G15" s="92"/>
      <c r="H15" s="92"/>
      <c r="I15" s="92"/>
      <c r="J15" s="8">
        <f t="shared" si="0"/>
        <v>0</v>
      </c>
      <c r="K15" s="9">
        <f t="shared" si="1"/>
        <v>0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0" t="s">
        <v>855</v>
      </c>
      <c r="B16" s="51"/>
      <c r="C16" s="14"/>
      <c r="D16" s="10">
        <v>3</v>
      </c>
      <c r="E16" s="14">
        <v>3</v>
      </c>
      <c r="F16" s="91" t="s">
        <v>693</v>
      </c>
      <c r="G16" s="92"/>
      <c r="H16" s="92"/>
      <c r="I16" s="92"/>
      <c r="J16" s="8">
        <f t="shared" si="0"/>
        <v>0</v>
      </c>
      <c r="K16" s="9">
        <f t="shared" si="1"/>
        <v>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0" t="s">
        <v>856</v>
      </c>
      <c r="B17" s="65"/>
      <c r="C17" s="14"/>
      <c r="D17" s="5">
        <v>1.8</v>
      </c>
      <c r="E17" s="5">
        <v>1.8</v>
      </c>
      <c r="F17" s="91" t="s">
        <v>693</v>
      </c>
      <c r="G17" s="92"/>
      <c r="H17" s="92"/>
      <c r="I17" s="92"/>
      <c r="J17" s="8">
        <f t="shared" si="0"/>
        <v>0</v>
      </c>
      <c r="K17" s="9">
        <f t="shared" si="1"/>
        <v>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0" t="s">
        <v>857</v>
      </c>
      <c r="B18" s="65"/>
      <c r="C18" s="14"/>
      <c r="D18" s="5">
        <v>1.8</v>
      </c>
      <c r="E18" s="5">
        <v>1.8</v>
      </c>
      <c r="F18" s="91" t="s">
        <v>693</v>
      </c>
      <c r="G18" s="92"/>
      <c r="H18" s="92"/>
      <c r="I18" s="92"/>
      <c r="J18" s="8">
        <f t="shared" si="0"/>
        <v>0</v>
      </c>
      <c r="K18" s="9">
        <f t="shared" si="1"/>
        <v>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0" t="s">
        <v>858</v>
      </c>
      <c r="B19" s="65"/>
      <c r="C19" s="14">
        <v>3.9</v>
      </c>
      <c r="D19" s="5">
        <v>4.5</v>
      </c>
      <c r="E19" s="5">
        <v>4.5</v>
      </c>
      <c r="F19" s="91" t="s">
        <v>693</v>
      </c>
      <c r="G19" s="92"/>
      <c r="H19" s="92"/>
      <c r="I19" s="92"/>
      <c r="J19" s="8">
        <f t="shared" si="0"/>
        <v>0</v>
      </c>
      <c r="K19" s="9">
        <f t="shared" si="1"/>
        <v>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0" t="s">
        <v>859</v>
      </c>
      <c r="B20" s="65"/>
      <c r="C20" s="14"/>
      <c r="D20" s="5">
        <v>2.4</v>
      </c>
      <c r="E20" s="5">
        <v>2.4</v>
      </c>
      <c r="F20" s="91" t="s">
        <v>693</v>
      </c>
      <c r="G20" s="92"/>
      <c r="H20" s="92"/>
      <c r="I20" s="92"/>
      <c r="J20" s="8">
        <f t="shared" si="0"/>
        <v>0</v>
      </c>
      <c r="K20" s="9">
        <f t="shared" si="1"/>
        <v>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0"/>
      <c r="B21" s="65"/>
      <c r="C21" s="14"/>
      <c r="D21" s="5"/>
      <c r="E21" s="5"/>
      <c r="F21" s="92"/>
      <c r="G21" s="92"/>
      <c r="H21" s="92"/>
      <c r="I21" s="92"/>
      <c r="J21" s="8"/>
      <c r="K21" s="9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0"/>
      <c r="B22" s="65"/>
      <c r="C22" s="14"/>
      <c r="D22" s="5"/>
      <c r="E22" s="5"/>
      <c r="F22" s="92"/>
      <c r="G22" s="92"/>
      <c r="H22" s="92"/>
      <c r="I22" s="92"/>
      <c r="J22" s="8"/>
      <c r="K22" s="9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F23" s="92"/>
      <c r="G23" s="92"/>
      <c r="H23" s="92"/>
      <c r="I23" s="92"/>
      <c r="J23" s="8"/>
      <c r="K23" s="9"/>
    </row>
    <row r="24" spans="1:27" ht="12.75" customHeight="1" x14ac:dyDescent="0.25">
      <c r="F24" s="92"/>
      <c r="G24" s="92"/>
      <c r="H24" s="92"/>
      <c r="I24" s="92"/>
      <c r="J24" s="8"/>
      <c r="K24" s="9"/>
    </row>
    <row r="25" spans="1:27" ht="12.75" customHeight="1" x14ac:dyDescent="0.25">
      <c r="F25" s="92"/>
      <c r="G25" s="92"/>
      <c r="H25" s="92"/>
      <c r="I25" s="92"/>
      <c r="J25" s="8"/>
      <c r="K25" s="9"/>
    </row>
    <row r="26" spans="1:27" ht="12.75" customHeight="1" x14ac:dyDescent="0.25">
      <c r="F26" s="92"/>
      <c r="G26" s="92"/>
      <c r="H26" s="92"/>
      <c r="I26" s="92"/>
      <c r="J26" s="8"/>
      <c r="K26" s="9"/>
    </row>
    <row r="27" spans="1:27" ht="12.75" customHeight="1" x14ac:dyDescent="0.25">
      <c r="F27" s="92"/>
      <c r="G27" s="92"/>
      <c r="H27" s="92"/>
      <c r="I27" s="92"/>
      <c r="J27" s="8"/>
      <c r="K27" s="9"/>
    </row>
    <row r="28" spans="1:27" ht="12.75" customHeight="1" x14ac:dyDescent="0.25">
      <c r="F28" s="92"/>
      <c r="G28" s="92"/>
      <c r="H28" s="92"/>
      <c r="I28" s="92"/>
      <c r="J28" s="8"/>
      <c r="K28" s="9"/>
    </row>
    <row r="29" spans="1:27" ht="12.75" customHeight="1" x14ac:dyDescent="0.25">
      <c r="F29" s="92"/>
      <c r="G29" s="92"/>
      <c r="H29" s="92"/>
      <c r="I29" s="92"/>
      <c r="J29" s="8"/>
      <c r="K29" s="9"/>
    </row>
    <row r="30" spans="1:27" ht="12.75" customHeight="1" x14ac:dyDescent="0.25">
      <c r="F30" s="92"/>
      <c r="G30" s="92"/>
      <c r="H30" s="92"/>
      <c r="I30" s="92"/>
      <c r="J30" s="8"/>
      <c r="K30" s="9"/>
    </row>
    <row r="31" spans="1:27" ht="12.75" customHeight="1" x14ac:dyDescent="0.25">
      <c r="F31" s="92"/>
      <c r="G31" s="92"/>
      <c r="H31" s="92"/>
      <c r="I31" s="92"/>
      <c r="J31" s="8"/>
      <c r="K31" s="9"/>
    </row>
    <row r="32" spans="1:27" ht="12.75" customHeight="1" x14ac:dyDescent="0.25">
      <c r="F32" s="92"/>
      <c r="G32" s="92"/>
      <c r="H32" s="92"/>
      <c r="I32" s="92"/>
      <c r="J32" s="8"/>
      <c r="K32" s="9"/>
    </row>
    <row r="33" spans="6:11" ht="12.75" customHeight="1" x14ac:dyDescent="0.25">
      <c r="F33" s="92"/>
      <c r="G33" s="92"/>
      <c r="H33" s="92"/>
      <c r="I33" s="92"/>
      <c r="J33" s="8"/>
      <c r="K33" s="9"/>
    </row>
    <row r="34" spans="6:11" ht="12.75" customHeight="1" x14ac:dyDescent="0.25">
      <c r="F34" s="92"/>
      <c r="G34" s="92"/>
      <c r="H34" s="92"/>
      <c r="I34" s="92"/>
      <c r="J34" s="8"/>
      <c r="K34" s="9"/>
    </row>
    <row r="35" spans="6:11" ht="12.75" customHeight="1" x14ac:dyDescent="0.25">
      <c r="F35" s="92"/>
      <c r="G35" s="92"/>
      <c r="H35" s="92"/>
      <c r="I35" s="92"/>
      <c r="J35" s="95"/>
      <c r="K35" s="93"/>
    </row>
    <row r="36" spans="6:11" ht="12.75" customHeight="1" x14ac:dyDescent="0.25">
      <c r="F36" s="92"/>
      <c r="G36" s="92"/>
      <c r="H36" s="92"/>
      <c r="I36" s="92"/>
      <c r="J36" s="95"/>
      <c r="K36" s="93"/>
    </row>
    <row r="37" spans="6:11" ht="12.75" customHeight="1" x14ac:dyDescent="0.25">
      <c r="F37" s="92"/>
      <c r="G37" s="92"/>
      <c r="H37" s="92"/>
      <c r="I37" s="92"/>
      <c r="J37" s="95"/>
      <c r="K37" s="93"/>
    </row>
    <row r="38" spans="6:11" ht="12.75" customHeight="1" x14ac:dyDescent="0.25">
      <c r="F38" s="92"/>
      <c r="G38" s="92"/>
      <c r="H38" s="92"/>
      <c r="I38" s="92"/>
      <c r="J38" s="95"/>
      <c r="K38" s="93"/>
    </row>
    <row r="39" spans="6:11" ht="12.75" customHeight="1" x14ac:dyDescent="0.25">
      <c r="F39" s="92"/>
      <c r="G39" s="92"/>
      <c r="H39" s="92"/>
      <c r="I39" s="92"/>
      <c r="J39" s="95"/>
      <c r="K39" s="93"/>
    </row>
    <row r="40" spans="6:11" ht="12.75" customHeight="1" x14ac:dyDescent="0.25">
      <c r="F40" s="92"/>
      <c r="G40" s="92"/>
      <c r="H40" s="92"/>
      <c r="I40" s="92"/>
      <c r="J40" s="95"/>
      <c r="K40" s="93"/>
    </row>
    <row r="41" spans="6:11" ht="12.75" customHeight="1" x14ac:dyDescent="0.25">
      <c r="F41" s="92"/>
      <c r="G41" s="92"/>
      <c r="H41" s="92"/>
      <c r="I41" s="92"/>
      <c r="J41" s="96">
        <f t="shared" ref="J41:J47" si="2">SUM(G41:I41)</f>
        <v>0</v>
      </c>
      <c r="K41" s="97">
        <f t="shared" ref="K41:K47" si="3">SUM(C41*J41)</f>
        <v>0</v>
      </c>
    </row>
    <row r="42" spans="6:11" ht="12.75" customHeight="1" x14ac:dyDescent="0.25">
      <c r="F42" s="92"/>
      <c r="G42" s="92"/>
      <c r="H42" s="92"/>
      <c r="I42" s="92"/>
      <c r="J42" s="96">
        <f t="shared" si="2"/>
        <v>0</v>
      </c>
      <c r="K42" s="97">
        <f t="shared" si="3"/>
        <v>0</v>
      </c>
    </row>
    <row r="43" spans="6:11" ht="12.75" customHeight="1" x14ac:dyDescent="0.25">
      <c r="F43" s="92"/>
      <c r="G43" s="92"/>
      <c r="H43" s="92"/>
      <c r="I43" s="92"/>
      <c r="J43" s="96">
        <f t="shared" si="2"/>
        <v>0</v>
      </c>
      <c r="K43" s="97">
        <f t="shared" si="3"/>
        <v>0</v>
      </c>
    </row>
    <row r="44" spans="6:11" ht="12.75" customHeight="1" x14ac:dyDescent="0.25">
      <c r="F44" s="92"/>
      <c r="G44" s="92"/>
      <c r="H44" s="92"/>
      <c r="I44" s="92"/>
      <c r="J44" s="96">
        <f t="shared" si="2"/>
        <v>0</v>
      </c>
      <c r="K44" s="97">
        <f t="shared" si="3"/>
        <v>0</v>
      </c>
    </row>
    <row r="45" spans="6:11" ht="12.75" customHeight="1" x14ac:dyDescent="0.25">
      <c r="F45" s="92"/>
      <c r="G45" s="92"/>
      <c r="H45" s="92"/>
      <c r="I45" s="92"/>
      <c r="J45" s="96">
        <f t="shared" si="2"/>
        <v>0</v>
      </c>
      <c r="K45" s="97">
        <f t="shared" si="3"/>
        <v>0</v>
      </c>
    </row>
    <row r="46" spans="6:11" ht="12.75" customHeight="1" x14ac:dyDescent="0.25">
      <c r="F46" s="92"/>
      <c r="G46" s="92"/>
      <c r="H46" s="92"/>
      <c r="I46" s="92"/>
      <c r="J46" s="96">
        <f t="shared" si="2"/>
        <v>0</v>
      </c>
      <c r="K46" s="97">
        <f t="shared" si="3"/>
        <v>0</v>
      </c>
    </row>
    <row r="47" spans="6:11" ht="12.75" customHeight="1" x14ac:dyDescent="0.25">
      <c r="F47" s="92"/>
      <c r="G47" s="92"/>
      <c r="H47" s="92"/>
      <c r="I47" s="92"/>
      <c r="J47" s="96">
        <f t="shared" si="2"/>
        <v>0</v>
      </c>
      <c r="K47" s="97">
        <f t="shared" si="3"/>
        <v>0</v>
      </c>
    </row>
    <row r="48" spans="6:11" ht="12.75" customHeight="1" x14ac:dyDescent="0.25">
      <c r="F48" s="92"/>
      <c r="G48" s="92"/>
      <c r="H48" s="92"/>
      <c r="I48" s="92"/>
      <c r="J48" s="93"/>
      <c r="K48" s="113"/>
    </row>
    <row r="49" spans="6:11" ht="12.75" customHeight="1" x14ac:dyDescent="0.25">
      <c r="F49" s="92"/>
      <c r="G49" s="92"/>
      <c r="H49" s="92"/>
      <c r="I49" s="92"/>
      <c r="J49" s="93"/>
      <c r="K49" s="113"/>
    </row>
    <row r="50" spans="6:11" ht="12.75" customHeight="1" x14ac:dyDescent="0.25">
      <c r="F50" s="92"/>
      <c r="G50" s="92"/>
      <c r="H50" s="92"/>
      <c r="I50" s="92"/>
      <c r="J50" s="95"/>
      <c r="K50" s="93"/>
    </row>
    <row r="51" spans="6:11" ht="12.75" customHeight="1" x14ac:dyDescent="0.25">
      <c r="F51" s="92"/>
      <c r="G51" s="92"/>
      <c r="H51" s="92"/>
      <c r="I51" s="92"/>
      <c r="J51" s="95"/>
      <c r="K51" s="93"/>
    </row>
    <row r="52" spans="6:11" ht="12.75" customHeight="1" x14ac:dyDescent="0.25">
      <c r="F52" s="92"/>
      <c r="G52" s="92"/>
      <c r="H52" s="92"/>
      <c r="I52" s="92"/>
      <c r="J52" s="95"/>
      <c r="K52" s="93"/>
    </row>
    <row r="53" spans="6:11" ht="12.75" customHeight="1" x14ac:dyDescent="0.25">
      <c r="F53" s="92"/>
      <c r="G53" s="92"/>
      <c r="H53" s="92"/>
      <c r="I53" s="92"/>
      <c r="J53" s="95"/>
      <c r="K53" s="93"/>
    </row>
    <row r="54" spans="6:11" ht="12.75" customHeight="1" x14ac:dyDescent="0.25">
      <c r="F54" s="92"/>
      <c r="G54" s="92"/>
      <c r="H54" s="92"/>
      <c r="I54" s="92"/>
      <c r="J54" s="95"/>
      <c r="K54" s="93"/>
    </row>
    <row r="55" spans="6:11" ht="12.75" customHeight="1" x14ac:dyDescent="0.25">
      <c r="F55" s="92"/>
      <c r="G55" s="92"/>
      <c r="H55" s="92"/>
      <c r="I55" s="92"/>
      <c r="J55" s="95"/>
      <c r="K55" s="93"/>
    </row>
    <row r="56" spans="6:11" ht="12.75" customHeight="1" x14ac:dyDescent="0.25">
      <c r="F56" s="92"/>
      <c r="G56" s="92"/>
      <c r="H56" s="92"/>
      <c r="I56" s="92"/>
      <c r="J56" s="95"/>
      <c r="K56" s="93"/>
    </row>
    <row r="57" spans="6:11" ht="12.75" customHeight="1" x14ac:dyDescent="0.25">
      <c r="F57" s="92"/>
      <c r="G57" s="92"/>
      <c r="H57" s="92"/>
      <c r="I57" s="92"/>
      <c r="J57" s="95"/>
      <c r="K57" s="93"/>
    </row>
    <row r="58" spans="6:11" ht="12.75" customHeight="1" x14ac:dyDescent="0.25">
      <c r="F58" s="92"/>
      <c r="G58" s="92"/>
      <c r="H58" s="92"/>
      <c r="I58" s="92"/>
      <c r="J58" s="95"/>
      <c r="K58" s="93"/>
    </row>
    <row r="59" spans="6:11" ht="12.75" customHeight="1" x14ac:dyDescent="0.25">
      <c r="F59" s="92"/>
      <c r="G59" s="92"/>
      <c r="H59" s="92"/>
      <c r="I59" s="92"/>
      <c r="J59" s="93"/>
      <c r="K59" s="113"/>
    </row>
    <row r="60" spans="6:11" ht="12.75" customHeight="1" x14ac:dyDescent="0.25">
      <c r="F60" s="92"/>
      <c r="G60" s="92"/>
      <c r="H60" s="92"/>
      <c r="I60" s="92"/>
      <c r="J60" s="95"/>
      <c r="K60" s="93"/>
    </row>
    <row r="61" spans="6:11" ht="12.75" customHeight="1" x14ac:dyDescent="0.25">
      <c r="F61" s="92"/>
      <c r="G61" s="92"/>
      <c r="H61" s="92"/>
      <c r="I61" s="92"/>
      <c r="J61" s="95"/>
      <c r="K61" s="93"/>
    </row>
    <row r="62" spans="6:11" ht="12.75" customHeight="1" x14ac:dyDescent="0.25">
      <c r="F62" s="92"/>
      <c r="G62" s="92"/>
      <c r="H62" s="92"/>
      <c r="I62" s="92"/>
      <c r="J62" s="95"/>
      <c r="K62" s="93"/>
    </row>
    <row r="63" spans="6:11" ht="12.75" customHeight="1" x14ac:dyDescent="0.25">
      <c r="F63" s="92"/>
      <c r="G63" s="92"/>
      <c r="H63" s="92"/>
      <c r="I63" s="92"/>
      <c r="J63" s="95"/>
      <c r="K63" s="93"/>
    </row>
    <row r="64" spans="6:11" ht="12.75" customHeight="1" x14ac:dyDescent="0.25">
      <c r="F64" s="92"/>
      <c r="G64" s="92"/>
      <c r="H64" s="92"/>
      <c r="I64" s="92"/>
      <c r="J64" s="95"/>
      <c r="K64" s="93"/>
    </row>
    <row r="65" spans="6:11" ht="12.75" customHeight="1" x14ac:dyDescent="0.25">
      <c r="F65" s="92"/>
      <c r="G65" s="92"/>
      <c r="H65" s="92"/>
      <c r="I65" s="92"/>
      <c r="J65" s="95"/>
      <c r="K65" s="93"/>
    </row>
    <row r="66" spans="6:11" ht="12.75" customHeight="1" x14ac:dyDescent="0.25">
      <c r="F66" s="92"/>
      <c r="G66" s="92"/>
      <c r="H66" s="92"/>
      <c r="I66" s="92"/>
      <c r="J66" s="95"/>
      <c r="K66" s="93"/>
    </row>
    <row r="67" spans="6:11" ht="12.75" customHeight="1" x14ac:dyDescent="0.25">
      <c r="F67" s="92"/>
      <c r="G67" s="92"/>
      <c r="H67" s="92"/>
      <c r="I67" s="92"/>
      <c r="J67" s="95"/>
      <c r="K67" s="93"/>
    </row>
    <row r="68" spans="6:11" ht="12.75" customHeight="1" x14ac:dyDescent="0.25">
      <c r="F68" s="92"/>
      <c r="G68" s="92"/>
      <c r="H68" s="92"/>
      <c r="I68" s="92"/>
      <c r="J68" s="95"/>
      <c r="K68" s="93"/>
    </row>
    <row r="69" spans="6:11" ht="12.75" customHeight="1" x14ac:dyDescent="0.25">
      <c r="F69" s="92"/>
      <c r="G69" s="92"/>
      <c r="H69" s="92"/>
      <c r="I69" s="92"/>
      <c r="J69" s="95"/>
      <c r="K69" s="93"/>
    </row>
    <row r="70" spans="6:11" ht="12.75" customHeight="1" x14ac:dyDescent="0.25">
      <c r="F70" s="92"/>
      <c r="G70" s="92"/>
      <c r="H70" s="92"/>
      <c r="I70" s="92"/>
      <c r="J70" s="95"/>
      <c r="K70" s="93"/>
    </row>
    <row r="71" spans="6:11" ht="12.75" customHeight="1" x14ac:dyDescent="0.25">
      <c r="F71" s="92"/>
      <c r="G71" s="92"/>
      <c r="H71" s="92"/>
      <c r="I71" s="92"/>
      <c r="J71" s="95"/>
      <c r="K71" s="93"/>
    </row>
    <row r="72" spans="6:11" ht="12.75" customHeight="1" x14ac:dyDescent="0.25">
      <c r="F72" s="92"/>
      <c r="G72" s="92"/>
      <c r="H72" s="92"/>
      <c r="I72" s="92"/>
      <c r="J72" s="95"/>
      <c r="K72" s="93"/>
    </row>
    <row r="73" spans="6:11" ht="12.75" customHeight="1" x14ac:dyDescent="0.25">
      <c r="F73" s="92"/>
      <c r="G73" s="92"/>
      <c r="H73" s="92"/>
      <c r="I73" s="92"/>
      <c r="J73" s="93"/>
      <c r="K73" s="93"/>
    </row>
    <row r="74" spans="6:11" ht="12.75" customHeight="1" x14ac:dyDescent="0.25">
      <c r="F74" s="92"/>
      <c r="G74" s="92"/>
      <c r="H74" s="92"/>
      <c r="I74" s="92"/>
      <c r="J74" s="93"/>
      <c r="K74" s="113"/>
    </row>
    <row r="75" spans="6:11" ht="12.75" customHeight="1" x14ac:dyDescent="0.25">
      <c r="F75" s="92"/>
      <c r="G75" s="92"/>
      <c r="H75" s="92"/>
      <c r="I75" s="92"/>
      <c r="J75" s="93"/>
      <c r="K75" s="113"/>
    </row>
    <row r="76" spans="6:11" ht="12.75" customHeight="1" x14ac:dyDescent="0.25">
      <c r="F76" s="92"/>
      <c r="G76" s="92"/>
      <c r="H76" s="92"/>
      <c r="I76" s="92"/>
      <c r="J76" s="93"/>
      <c r="K76" s="113"/>
    </row>
    <row r="77" spans="6:11" ht="12.75" customHeight="1" x14ac:dyDescent="0.25">
      <c r="F77" s="92"/>
      <c r="G77" s="92"/>
      <c r="H77" s="92"/>
      <c r="I77" s="92"/>
      <c r="J77" s="95"/>
      <c r="K77" s="93"/>
    </row>
    <row r="78" spans="6:11" ht="12.75" customHeight="1" x14ac:dyDescent="0.25">
      <c r="F78" s="92"/>
      <c r="G78" s="92"/>
      <c r="H78" s="92"/>
      <c r="I78" s="92"/>
      <c r="J78" s="95"/>
      <c r="K78" s="93"/>
    </row>
    <row r="79" spans="6:11" ht="12.75" customHeight="1" x14ac:dyDescent="0.25">
      <c r="F79" s="92"/>
      <c r="G79" s="92"/>
      <c r="H79" s="92"/>
      <c r="I79" s="92"/>
      <c r="J79" s="95"/>
      <c r="K79" s="93"/>
    </row>
    <row r="80" spans="6:11" ht="12.75" customHeight="1" x14ac:dyDescent="0.25">
      <c r="F80" s="92"/>
      <c r="G80" s="92"/>
      <c r="H80" s="92"/>
      <c r="I80" s="92"/>
      <c r="J80" s="95"/>
      <c r="K80" s="93"/>
    </row>
    <row r="81" spans="6:11" ht="12.75" customHeight="1" x14ac:dyDescent="0.25">
      <c r="F81" s="92"/>
      <c r="G81" s="92"/>
      <c r="H81" s="92"/>
      <c r="I81" s="92"/>
      <c r="J81" s="95"/>
      <c r="K81" s="93"/>
    </row>
    <row r="82" spans="6:11" ht="12.75" customHeight="1" x14ac:dyDescent="0.25">
      <c r="F82" s="92"/>
      <c r="G82" s="92"/>
      <c r="H82" s="92"/>
      <c r="I82" s="92"/>
      <c r="J82" s="93"/>
      <c r="K82" s="113"/>
    </row>
    <row r="83" spans="6:11" ht="12.75" customHeight="1" x14ac:dyDescent="0.25">
      <c r="F83" s="92"/>
      <c r="G83" s="92"/>
      <c r="H83" s="92"/>
      <c r="I83" s="92"/>
      <c r="J83" s="93"/>
      <c r="K83" s="113"/>
    </row>
    <row r="84" spans="6:11" ht="12.75" customHeight="1" x14ac:dyDescent="0.25">
      <c r="F84" s="92"/>
      <c r="G84" s="92"/>
      <c r="H84" s="92"/>
      <c r="I84" s="92"/>
      <c r="J84" s="93"/>
      <c r="K84" s="113"/>
    </row>
    <row r="85" spans="6:11" ht="12.75" customHeight="1" x14ac:dyDescent="0.25">
      <c r="F85" s="92"/>
      <c r="G85" s="92"/>
      <c r="H85" s="92"/>
      <c r="I85" s="92"/>
      <c r="J85" s="93"/>
      <c r="K85" s="113"/>
    </row>
    <row r="86" spans="6:11" ht="12.75" customHeight="1" x14ac:dyDescent="0.25">
      <c r="F86" s="92"/>
      <c r="G86" s="92"/>
      <c r="H86" s="92"/>
      <c r="I86" s="92"/>
      <c r="J86" s="93"/>
      <c r="K86" s="113"/>
    </row>
    <row r="87" spans="6:11" ht="12.75" customHeight="1" x14ac:dyDescent="0.25">
      <c r="F87" s="92"/>
      <c r="G87" s="92"/>
      <c r="H87" s="92"/>
      <c r="I87" s="92"/>
      <c r="J87" s="93"/>
      <c r="K87" s="113"/>
    </row>
    <row r="88" spans="6:11" ht="12.75" customHeight="1" x14ac:dyDescent="0.25">
      <c r="F88" s="92"/>
      <c r="G88" s="92"/>
      <c r="H88" s="92"/>
      <c r="I88" s="92"/>
      <c r="J88" s="93"/>
      <c r="K88" s="113"/>
    </row>
    <row r="89" spans="6:11" ht="12.75" customHeight="1" x14ac:dyDescent="0.25">
      <c r="F89" s="92"/>
      <c r="G89" s="92"/>
      <c r="H89" s="92"/>
      <c r="I89" s="92"/>
      <c r="J89" s="93"/>
      <c r="K89" s="93"/>
    </row>
    <row r="90" spans="6:11" ht="12.75" customHeight="1" x14ac:dyDescent="0.25">
      <c r="F90" s="92"/>
      <c r="G90" s="92"/>
      <c r="H90" s="92"/>
      <c r="I90" s="92"/>
      <c r="J90" s="93"/>
      <c r="K90" s="93"/>
    </row>
    <row r="91" spans="6:11" ht="12.75" customHeight="1" x14ac:dyDescent="0.25">
      <c r="F91" s="92"/>
      <c r="G91" s="92"/>
      <c r="H91" s="92"/>
      <c r="I91" s="92"/>
      <c r="J91" s="93"/>
      <c r="K91" s="93"/>
    </row>
    <row r="92" spans="6:11" ht="12.75" customHeight="1" x14ac:dyDescent="0.25">
      <c r="F92" s="92"/>
      <c r="G92" s="92"/>
      <c r="H92" s="92"/>
      <c r="I92" s="92"/>
      <c r="J92" s="93"/>
      <c r="K92" s="93"/>
    </row>
    <row r="93" spans="6:11" ht="12.75" customHeight="1" x14ac:dyDescent="0.25">
      <c r="F93" s="92"/>
      <c r="G93" s="92"/>
      <c r="H93" s="92"/>
      <c r="I93" s="92"/>
      <c r="J93" s="93"/>
      <c r="K93" s="93"/>
    </row>
    <row r="94" spans="6:11" ht="12.75" customHeight="1" x14ac:dyDescent="0.25">
      <c r="F94" s="92"/>
      <c r="G94" s="92"/>
      <c r="H94" s="92"/>
      <c r="I94" s="92"/>
      <c r="J94" s="93"/>
      <c r="K94" s="93"/>
    </row>
    <row r="95" spans="6:11" ht="12.75" customHeight="1" x14ac:dyDescent="0.25">
      <c r="F95" s="92"/>
      <c r="G95" s="92"/>
      <c r="H95" s="92"/>
      <c r="I95" s="92"/>
      <c r="J95" s="93"/>
      <c r="K95" s="93"/>
    </row>
    <row r="96" spans="6:11" ht="12.75" customHeight="1" x14ac:dyDescent="0.25">
      <c r="F96" s="92"/>
      <c r="G96" s="92"/>
      <c r="H96" s="92"/>
      <c r="I96" s="92"/>
      <c r="J96" s="93"/>
      <c r="K96" s="93"/>
    </row>
    <row r="97" spans="6:11" ht="12.75" customHeight="1" x14ac:dyDescent="0.25">
      <c r="F97" s="92"/>
      <c r="G97" s="92"/>
      <c r="H97" s="92"/>
      <c r="I97" s="92"/>
      <c r="J97" s="93"/>
      <c r="K97" s="113"/>
    </row>
    <row r="98" spans="6:11" ht="12.75" customHeight="1" x14ac:dyDescent="0.25">
      <c r="F98" s="92"/>
      <c r="G98" s="92"/>
      <c r="H98" s="92"/>
      <c r="I98" s="92"/>
      <c r="J98" s="93"/>
      <c r="K98" s="113"/>
    </row>
    <row r="99" spans="6:11" ht="12.75" customHeight="1" x14ac:dyDescent="0.25">
      <c r="F99" s="92"/>
      <c r="G99" s="92"/>
      <c r="H99" s="92"/>
      <c r="I99" s="92"/>
      <c r="J99" s="93"/>
      <c r="K99" s="113"/>
    </row>
    <row r="100" spans="6:11" ht="12.75" customHeight="1" x14ac:dyDescent="0.25">
      <c r="F100" s="92"/>
      <c r="G100" s="92"/>
      <c r="H100" s="92"/>
      <c r="I100" s="92"/>
      <c r="J100" s="93"/>
      <c r="K100" s="93"/>
    </row>
    <row r="101" spans="6:11" ht="12.75" customHeight="1" x14ac:dyDescent="0.25">
      <c r="F101" s="92"/>
      <c r="G101" s="92"/>
      <c r="H101" s="92"/>
      <c r="I101" s="92"/>
      <c r="J101" s="93"/>
      <c r="K101" s="93"/>
    </row>
    <row r="102" spans="6:11" ht="12.75" customHeight="1" x14ac:dyDescent="0.25">
      <c r="F102" s="92"/>
      <c r="G102" s="92"/>
      <c r="H102" s="92"/>
      <c r="I102" s="92"/>
      <c r="J102" s="93"/>
      <c r="K102" s="93"/>
    </row>
    <row r="103" spans="6:11" ht="12.75" customHeight="1" x14ac:dyDescent="0.25">
      <c r="F103" s="92"/>
      <c r="G103" s="92"/>
      <c r="H103" s="92"/>
      <c r="I103" s="92"/>
      <c r="J103" s="93"/>
      <c r="K103" s="113"/>
    </row>
    <row r="104" spans="6:11" ht="12.75" customHeight="1" x14ac:dyDescent="0.25">
      <c r="F104" s="92"/>
      <c r="G104" s="92"/>
      <c r="H104" s="92"/>
      <c r="I104" s="92"/>
      <c r="J104" s="93"/>
      <c r="K104" s="113"/>
    </row>
    <row r="105" spans="6:11" ht="12.75" customHeight="1" x14ac:dyDescent="0.25">
      <c r="F105" s="92"/>
      <c r="G105" s="92"/>
      <c r="H105" s="92"/>
      <c r="I105" s="92"/>
      <c r="J105" s="93"/>
      <c r="K105" s="113"/>
    </row>
    <row r="106" spans="6:11" ht="12.75" customHeight="1" x14ac:dyDescent="0.25">
      <c r="F106" s="92"/>
      <c r="G106" s="92"/>
      <c r="H106" s="92"/>
      <c r="I106" s="92"/>
      <c r="J106" s="93"/>
      <c r="K106" s="113"/>
    </row>
    <row r="107" spans="6:11" ht="12.75" customHeight="1" x14ac:dyDescent="0.25">
      <c r="F107" s="92"/>
      <c r="G107" s="92"/>
      <c r="H107" s="92"/>
      <c r="I107" s="92"/>
      <c r="J107" s="93"/>
      <c r="K107" s="113"/>
    </row>
    <row r="108" spans="6:11" ht="12.75" customHeight="1" x14ac:dyDescent="0.25">
      <c r="F108" s="92"/>
      <c r="G108" s="92"/>
      <c r="H108" s="92"/>
      <c r="I108" s="92"/>
      <c r="J108" s="93"/>
      <c r="K108" s="113"/>
    </row>
    <row r="109" spans="6:11" ht="12.75" customHeight="1" x14ac:dyDescent="0.25">
      <c r="F109" s="92"/>
      <c r="G109" s="92"/>
      <c r="H109" s="92"/>
      <c r="I109" s="92"/>
      <c r="J109" s="93"/>
      <c r="K109" s="113"/>
    </row>
    <row r="110" spans="6:11" ht="12.75" customHeight="1" x14ac:dyDescent="0.25">
      <c r="F110" s="92"/>
      <c r="G110" s="92"/>
      <c r="H110" s="92"/>
      <c r="I110" s="92"/>
      <c r="J110" s="93"/>
      <c r="K110" s="113"/>
    </row>
    <row r="111" spans="6:11" ht="12.75" customHeight="1" x14ac:dyDescent="0.25">
      <c r="F111" s="92"/>
      <c r="G111" s="92"/>
      <c r="H111" s="92"/>
      <c r="I111" s="92"/>
      <c r="J111" s="93"/>
      <c r="K111" s="113"/>
    </row>
    <row r="112" spans="6:11" ht="12.75" customHeight="1" x14ac:dyDescent="0.25">
      <c r="F112" s="92"/>
      <c r="G112" s="92"/>
      <c r="H112" s="92"/>
      <c r="I112" s="92"/>
      <c r="J112" s="93"/>
      <c r="K112" s="113"/>
    </row>
    <row r="113" spans="6:11" ht="12.75" customHeight="1" x14ac:dyDescent="0.25">
      <c r="F113" s="92"/>
      <c r="G113" s="92"/>
      <c r="H113" s="92"/>
      <c r="I113" s="92"/>
      <c r="J113" s="93"/>
      <c r="K113" s="113"/>
    </row>
    <row r="114" spans="6:11" ht="12.75" customHeight="1" x14ac:dyDescent="0.25">
      <c r="F114" s="92"/>
      <c r="G114" s="92"/>
      <c r="H114" s="92"/>
      <c r="I114" s="92"/>
      <c r="J114" s="93"/>
      <c r="K114" s="113"/>
    </row>
    <row r="115" spans="6:11" ht="12.75" customHeight="1" x14ac:dyDescent="0.25">
      <c r="F115" s="92"/>
      <c r="G115" s="92"/>
      <c r="H115" s="92"/>
      <c r="I115" s="92"/>
      <c r="J115" s="93"/>
      <c r="K115" s="113"/>
    </row>
    <row r="116" spans="6:11" ht="12.75" customHeight="1" x14ac:dyDescent="0.25">
      <c r="F116" s="92"/>
      <c r="G116" s="92"/>
      <c r="H116" s="92"/>
      <c r="I116" s="92"/>
      <c r="J116" s="93"/>
      <c r="K116" s="113"/>
    </row>
    <row r="117" spans="6:11" ht="12.75" customHeight="1" x14ac:dyDescent="0.25">
      <c r="F117" s="92"/>
      <c r="G117" s="92"/>
      <c r="H117" s="92"/>
      <c r="I117" s="92"/>
      <c r="J117" s="93"/>
      <c r="K117" s="113"/>
    </row>
    <row r="118" spans="6:11" ht="12.75" customHeight="1" x14ac:dyDescent="0.25">
      <c r="F118" s="92"/>
      <c r="G118" s="92"/>
      <c r="H118" s="92"/>
      <c r="I118" s="92"/>
      <c r="J118" s="93"/>
      <c r="K118" s="113"/>
    </row>
    <row r="119" spans="6:11" ht="12.75" customHeight="1" x14ac:dyDescent="0.25">
      <c r="F119" s="92"/>
      <c r="G119" s="92"/>
      <c r="H119" s="92"/>
      <c r="I119" s="92"/>
      <c r="J119" s="93"/>
      <c r="K119" s="113"/>
    </row>
    <row r="120" spans="6:11" ht="12.75" customHeight="1" x14ac:dyDescent="0.25">
      <c r="F120" s="92"/>
      <c r="G120" s="92"/>
      <c r="H120" s="92"/>
      <c r="I120" s="92"/>
      <c r="J120" s="93"/>
      <c r="K120" s="113"/>
    </row>
    <row r="121" spans="6:11" ht="12.75" customHeight="1" x14ac:dyDescent="0.25">
      <c r="F121" s="92"/>
      <c r="G121" s="92"/>
      <c r="H121" s="92"/>
      <c r="I121" s="92"/>
      <c r="J121" s="93"/>
      <c r="K121" s="113"/>
    </row>
    <row r="122" spans="6:11" ht="12.75" customHeight="1" x14ac:dyDescent="0.25">
      <c r="F122" s="92"/>
      <c r="G122" s="92"/>
      <c r="H122" s="92"/>
      <c r="I122" s="92"/>
      <c r="J122" s="93"/>
      <c r="K122" s="93"/>
    </row>
    <row r="123" spans="6:11" ht="12.75" customHeight="1" x14ac:dyDescent="0.25">
      <c r="F123" s="92"/>
      <c r="G123" s="92"/>
      <c r="H123" s="92"/>
      <c r="I123" s="92"/>
      <c r="J123" s="93"/>
      <c r="K123" s="113"/>
    </row>
    <row r="124" spans="6:11" ht="12.75" customHeight="1" x14ac:dyDescent="0.25">
      <c r="F124" s="92"/>
      <c r="G124" s="92"/>
      <c r="H124" s="92"/>
      <c r="I124" s="92"/>
      <c r="J124" s="93"/>
      <c r="K124" s="113"/>
    </row>
    <row r="125" spans="6:11" ht="12.75" customHeight="1" x14ac:dyDescent="0.25">
      <c r="F125" s="92"/>
      <c r="G125" s="92"/>
      <c r="H125" s="92"/>
      <c r="I125" s="92"/>
      <c r="J125" s="93"/>
      <c r="K125" s="113"/>
    </row>
    <row r="126" spans="6:11" ht="12.75" customHeight="1" x14ac:dyDescent="0.25">
      <c r="F126" s="92"/>
      <c r="G126" s="92"/>
      <c r="H126" s="92"/>
      <c r="I126" s="92"/>
      <c r="J126" s="93"/>
      <c r="K126" s="113"/>
    </row>
    <row r="127" spans="6:11" ht="12.75" customHeight="1" x14ac:dyDescent="0.25">
      <c r="F127" s="92"/>
      <c r="G127" s="92"/>
      <c r="H127" s="92"/>
      <c r="I127" s="92"/>
      <c r="J127" s="93"/>
      <c r="K127" s="113"/>
    </row>
    <row r="128" spans="6:11" ht="12.75" customHeight="1" x14ac:dyDescent="0.25">
      <c r="F128" s="92"/>
      <c r="G128" s="92"/>
      <c r="H128" s="92"/>
      <c r="I128" s="92"/>
      <c r="J128" s="93"/>
      <c r="K128" s="113"/>
    </row>
    <row r="129" spans="6:11" ht="12.75" customHeight="1" x14ac:dyDescent="0.25">
      <c r="F129" s="92"/>
      <c r="G129" s="92"/>
      <c r="H129" s="92"/>
      <c r="I129" s="92"/>
      <c r="J129" s="93"/>
      <c r="K129" s="113"/>
    </row>
    <row r="130" spans="6:11" ht="12.75" customHeight="1" x14ac:dyDescent="0.25">
      <c r="F130" s="92"/>
      <c r="G130" s="92"/>
      <c r="H130" s="92"/>
      <c r="I130" s="92"/>
      <c r="J130" s="93"/>
      <c r="K130" s="113"/>
    </row>
    <row r="131" spans="6:11" ht="12.75" customHeight="1" x14ac:dyDescent="0.25">
      <c r="F131" s="92"/>
      <c r="G131" s="92"/>
      <c r="H131" s="92"/>
      <c r="I131" s="92"/>
      <c r="J131" s="93"/>
      <c r="K131" s="113"/>
    </row>
    <row r="132" spans="6:11" ht="12.75" customHeight="1" x14ac:dyDescent="0.25">
      <c r="F132" s="92"/>
      <c r="G132" s="92"/>
      <c r="H132" s="92"/>
      <c r="I132" s="92"/>
      <c r="J132" s="93"/>
      <c r="K132" s="113"/>
    </row>
    <row r="133" spans="6:11" ht="12.75" customHeight="1" x14ac:dyDescent="0.25">
      <c r="F133" s="92"/>
      <c r="G133" s="92"/>
      <c r="H133" s="92"/>
      <c r="I133" s="92"/>
      <c r="J133" s="93"/>
      <c r="K133" s="113"/>
    </row>
    <row r="134" spans="6:11" ht="12.75" customHeight="1" x14ac:dyDescent="0.25">
      <c r="F134" s="92"/>
      <c r="G134" s="92"/>
      <c r="H134" s="92"/>
      <c r="I134" s="92"/>
      <c r="J134" s="93"/>
      <c r="K134" s="113"/>
    </row>
    <row r="135" spans="6:11" ht="12.75" customHeight="1" x14ac:dyDescent="0.25">
      <c r="F135" s="92"/>
      <c r="G135" s="92"/>
      <c r="H135" s="92"/>
      <c r="I135" s="92"/>
      <c r="J135" s="93"/>
      <c r="K135" s="113"/>
    </row>
    <row r="136" spans="6:11" ht="12.75" customHeight="1" x14ac:dyDescent="0.25">
      <c r="F136" s="92"/>
      <c r="G136" s="92"/>
      <c r="H136" s="92"/>
      <c r="I136" s="92"/>
      <c r="J136" s="93"/>
      <c r="K136" s="113"/>
    </row>
    <row r="137" spans="6:11" ht="12.75" customHeight="1" x14ac:dyDescent="0.25">
      <c r="F137" s="92"/>
      <c r="G137" s="92"/>
      <c r="H137" s="92"/>
      <c r="I137" s="92"/>
      <c r="J137" s="93"/>
      <c r="K137" s="113"/>
    </row>
    <row r="138" spans="6:11" ht="12.75" customHeight="1" x14ac:dyDescent="0.25">
      <c r="F138" s="92"/>
      <c r="G138" s="92"/>
      <c r="H138" s="92"/>
      <c r="I138" s="92"/>
      <c r="J138" s="93"/>
      <c r="K138" s="113"/>
    </row>
    <row r="139" spans="6:11" ht="12.75" customHeight="1" x14ac:dyDescent="0.25">
      <c r="F139" s="92"/>
      <c r="G139" s="92"/>
      <c r="H139" s="92"/>
      <c r="I139" s="92"/>
      <c r="J139" s="93"/>
      <c r="K139" s="113"/>
    </row>
    <row r="140" spans="6:11" ht="12.75" customHeight="1" x14ac:dyDescent="0.25">
      <c r="F140" s="92"/>
      <c r="G140" s="92"/>
      <c r="H140" s="92"/>
      <c r="I140" s="92"/>
      <c r="J140" s="93"/>
      <c r="K140" s="113"/>
    </row>
    <row r="141" spans="6:11" ht="12.75" customHeight="1" x14ac:dyDescent="0.25">
      <c r="F141" s="92"/>
      <c r="G141" s="92"/>
      <c r="H141" s="92"/>
      <c r="I141" s="92"/>
      <c r="J141" s="93"/>
      <c r="K141" s="93"/>
    </row>
    <row r="142" spans="6:11" ht="12.75" customHeight="1" x14ac:dyDescent="0.25">
      <c r="F142" s="92"/>
      <c r="G142" s="92"/>
      <c r="H142" s="92"/>
      <c r="I142" s="92"/>
      <c r="J142" s="93"/>
      <c r="K142" s="93"/>
    </row>
    <row r="143" spans="6:11" ht="12.75" customHeight="1" x14ac:dyDescent="0.25">
      <c r="F143" s="92"/>
      <c r="G143" s="92"/>
      <c r="H143" s="92"/>
      <c r="I143" s="92"/>
      <c r="J143" s="93"/>
      <c r="K143" s="93"/>
    </row>
    <row r="144" spans="6:11" ht="12.75" customHeight="1" x14ac:dyDescent="0.25">
      <c r="F144" s="92"/>
      <c r="G144" s="92"/>
      <c r="H144" s="92"/>
      <c r="I144" s="92"/>
      <c r="J144" s="93"/>
      <c r="K144" s="93"/>
    </row>
    <row r="145" spans="6:11" ht="12.75" customHeight="1" x14ac:dyDescent="0.25">
      <c r="F145" s="92"/>
      <c r="G145" s="92"/>
      <c r="H145" s="92"/>
      <c r="I145" s="92"/>
      <c r="J145" s="93"/>
      <c r="K145" s="93"/>
    </row>
    <row r="146" spans="6:11" ht="12.75" customHeight="1" x14ac:dyDescent="0.25">
      <c r="F146" s="92"/>
      <c r="G146" s="92"/>
      <c r="H146" s="92"/>
      <c r="I146" s="92"/>
      <c r="J146" s="93"/>
      <c r="K146" s="93"/>
    </row>
    <row r="147" spans="6:11" ht="12.75" customHeight="1" x14ac:dyDescent="0.25">
      <c r="F147" s="92"/>
      <c r="G147" s="92"/>
      <c r="H147" s="92"/>
      <c r="I147" s="92"/>
      <c r="J147" s="93"/>
      <c r="K147" s="93"/>
    </row>
    <row r="148" spans="6:11" ht="12.75" customHeight="1" x14ac:dyDescent="0.25">
      <c r="F148" s="92"/>
      <c r="G148" s="92"/>
      <c r="H148" s="92"/>
      <c r="I148" s="92"/>
      <c r="J148" s="93"/>
      <c r="K148" s="93"/>
    </row>
    <row r="149" spans="6:11" ht="12.75" customHeight="1" x14ac:dyDescent="0.25">
      <c r="F149" s="92"/>
      <c r="G149" s="92"/>
      <c r="H149" s="92"/>
      <c r="I149" s="92"/>
      <c r="J149" s="93"/>
      <c r="K149" s="93"/>
    </row>
    <row r="150" spans="6:11" ht="12.75" customHeight="1" x14ac:dyDescent="0.25">
      <c r="F150" s="92"/>
      <c r="G150" s="92"/>
      <c r="H150" s="92"/>
      <c r="I150" s="92"/>
      <c r="J150" s="93"/>
      <c r="K150" s="93"/>
    </row>
    <row r="151" spans="6:11" ht="12.75" customHeight="1" x14ac:dyDescent="0.25">
      <c r="F151" s="92"/>
      <c r="G151" s="92"/>
      <c r="H151" s="92"/>
      <c r="I151" s="92"/>
      <c r="J151" s="93"/>
      <c r="K151" s="93"/>
    </row>
    <row r="152" spans="6:11" ht="12.75" customHeight="1" x14ac:dyDescent="0.25">
      <c r="F152" s="92"/>
      <c r="G152" s="92"/>
      <c r="H152" s="92"/>
      <c r="I152" s="92"/>
      <c r="J152" s="93"/>
      <c r="K152" s="93"/>
    </row>
    <row r="153" spans="6:11" ht="12.75" customHeight="1" x14ac:dyDescent="0.25">
      <c r="F153" s="92"/>
      <c r="G153" s="92"/>
      <c r="H153" s="92"/>
      <c r="I153" s="92"/>
      <c r="J153" s="93"/>
      <c r="K153" s="93"/>
    </row>
    <row r="154" spans="6:11" ht="12.75" customHeight="1" x14ac:dyDescent="0.25">
      <c r="F154" s="92"/>
      <c r="G154" s="92"/>
      <c r="H154" s="92"/>
      <c r="I154" s="92"/>
      <c r="J154" s="93"/>
      <c r="K154" s="93"/>
    </row>
    <row r="155" spans="6:11" ht="12.75" customHeight="1" x14ac:dyDescent="0.25">
      <c r="F155" s="92"/>
      <c r="G155" s="92"/>
      <c r="H155" s="92"/>
      <c r="I155" s="92"/>
      <c r="J155" s="93"/>
      <c r="K155" s="93"/>
    </row>
    <row r="156" spans="6:11" ht="12.75" customHeight="1" x14ac:dyDescent="0.25">
      <c r="F156" s="92"/>
      <c r="G156" s="92"/>
      <c r="H156" s="92"/>
      <c r="I156" s="92"/>
      <c r="J156" s="93"/>
      <c r="K156" s="93"/>
    </row>
    <row r="157" spans="6:11" ht="12.75" customHeight="1" x14ac:dyDescent="0.25">
      <c r="F157" s="92"/>
      <c r="G157" s="92"/>
      <c r="H157" s="92"/>
      <c r="I157" s="92"/>
      <c r="J157" s="93"/>
      <c r="K157" s="93"/>
    </row>
    <row r="158" spans="6:11" ht="12.75" customHeight="1" x14ac:dyDescent="0.25">
      <c r="F158" s="92"/>
      <c r="G158" s="92"/>
      <c r="H158" s="92"/>
      <c r="I158" s="92"/>
      <c r="J158" s="93"/>
      <c r="K158" s="93"/>
    </row>
    <row r="159" spans="6:11" ht="12.75" customHeight="1" x14ac:dyDescent="0.25">
      <c r="F159" s="92"/>
      <c r="G159" s="92"/>
      <c r="H159" s="92"/>
      <c r="I159" s="92"/>
      <c r="J159" s="93"/>
      <c r="K159" s="93"/>
    </row>
    <row r="160" spans="6:11" ht="12.75" customHeight="1" x14ac:dyDescent="0.25">
      <c r="F160" s="92"/>
      <c r="G160" s="92"/>
      <c r="H160" s="92"/>
      <c r="I160" s="92"/>
      <c r="J160" s="93"/>
      <c r="K160" s="93"/>
    </row>
    <row r="161" spans="6:11" ht="12.75" customHeight="1" x14ac:dyDescent="0.25">
      <c r="F161" s="92"/>
      <c r="G161" s="92"/>
      <c r="H161" s="92"/>
      <c r="I161" s="92"/>
      <c r="J161" s="93"/>
      <c r="K161" s="93"/>
    </row>
    <row r="162" spans="6:11" ht="12.75" customHeight="1" x14ac:dyDescent="0.25">
      <c r="F162" s="92"/>
      <c r="G162" s="92"/>
      <c r="H162" s="92"/>
      <c r="I162" s="92"/>
      <c r="J162" s="93"/>
      <c r="K162" s="93"/>
    </row>
    <row r="163" spans="6:11" ht="12.75" customHeight="1" x14ac:dyDescent="0.25">
      <c r="F163" s="92"/>
      <c r="G163" s="92"/>
      <c r="H163" s="92"/>
      <c r="I163" s="92"/>
      <c r="J163" s="93"/>
      <c r="K163" s="93"/>
    </row>
    <row r="164" spans="6:11" ht="12.75" customHeight="1" x14ac:dyDescent="0.25">
      <c r="F164" s="92"/>
      <c r="G164" s="92"/>
      <c r="H164" s="92"/>
      <c r="I164" s="92"/>
      <c r="J164" s="93"/>
      <c r="K164" s="93"/>
    </row>
    <row r="165" spans="6:11" ht="12.75" customHeight="1" x14ac:dyDescent="0.25">
      <c r="F165" s="92"/>
      <c r="G165" s="92"/>
      <c r="H165" s="92"/>
      <c r="I165" s="92"/>
      <c r="J165" s="93"/>
      <c r="K165" s="93"/>
    </row>
    <row r="166" spans="6:11" ht="12.75" customHeight="1" x14ac:dyDescent="0.25">
      <c r="F166" s="92"/>
      <c r="G166" s="92"/>
      <c r="H166" s="92"/>
      <c r="I166" s="92"/>
      <c r="J166" s="93"/>
      <c r="K166" s="93"/>
    </row>
    <row r="167" spans="6:11" ht="12.75" customHeight="1" x14ac:dyDescent="0.25">
      <c r="F167" s="92"/>
      <c r="G167" s="92"/>
      <c r="H167" s="92"/>
      <c r="I167" s="92"/>
      <c r="J167" s="93"/>
      <c r="K167" s="93"/>
    </row>
    <row r="168" spans="6:11" ht="12.75" customHeight="1" x14ac:dyDescent="0.25">
      <c r="F168" s="92"/>
      <c r="G168" s="92"/>
      <c r="H168" s="92"/>
      <c r="I168" s="92"/>
      <c r="J168" s="93"/>
      <c r="K168" s="93"/>
    </row>
    <row r="169" spans="6:11" ht="12.75" customHeight="1" x14ac:dyDescent="0.25">
      <c r="F169" s="92"/>
      <c r="G169" s="92"/>
      <c r="H169" s="92"/>
      <c r="I169" s="92"/>
      <c r="J169" s="93"/>
      <c r="K169" s="93"/>
    </row>
    <row r="170" spans="6:11" ht="12.75" customHeight="1" x14ac:dyDescent="0.25">
      <c r="F170" s="92"/>
      <c r="G170" s="92"/>
      <c r="H170" s="92"/>
      <c r="I170" s="92"/>
      <c r="J170" s="93"/>
      <c r="K170" s="93"/>
    </row>
    <row r="171" spans="6:11" ht="12.75" customHeight="1" x14ac:dyDescent="0.25">
      <c r="F171" s="92"/>
      <c r="G171" s="92"/>
      <c r="H171" s="92"/>
      <c r="I171" s="92"/>
      <c r="J171" s="93"/>
      <c r="K171" s="93"/>
    </row>
    <row r="172" spans="6:11" ht="12.75" customHeight="1" x14ac:dyDescent="0.25">
      <c r="F172" s="92"/>
      <c r="G172" s="92"/>
      <c r="H172" s="92"/>
      <c r="I172" s="92"/>
      <c r="J172" s="93"/>
      <c r="K172" s="93"/>
    </row>
    <row r="173" spans="6:11" ht="12.75" customHeight="1" x14ac:dyDescent="0.25">
      <c r="F173" s="92"/>
      <c r="G173" s="92"/>
      <c r="H173" s="92"/>
      <c r="I173" s="92"/>
      <c r="J173" s="93"/>
      <c r="K173" s="93"/>
    </row>
    <row r="174" spans="6:11" ht="12.75" customHeight="1" x14ac:dyDescent="0.25">
      <c r="F174" s="92"/>
      <c r="G174" s="92"/>
      <c r="H174" s="92"/>
      <c r="I174" s="92"/>
      <c r="J174" s="93"/>
      <c r="K174" s="93"/>
    </row>
    <row r="175" spans="6:11" ht="12.75" customHeight="1" x14ac:dyDescent="0.25">
      <c r="F175" s="92"/>
      <c r="G175" s="92"/>
      <c r="H175" s="92"/>
      <c r="I175" s="92"/>
      <c r="J175" s="93"/>
      <c r="K175" s="93"/>
    </row>
    <row r="176" spans="6:11" ht="12.75" customHeight="1" x14ac:dyDescent="0.25">
      <c r="F176" s="92"/>
      <c r="G176" s="92"/>
      <c r="H176" s="92"/>
      <c r="I176" s="92"/>
      <c r="J176" s="93"/>
      <c r="K176" s="93"/>
    </row>
    <row r="177" spans="6:11" ht="12.75" customHeight="1" x14ac:dyDescent="0.25">
      <c r="F177" s="92"/>
      <c r="G177" s="92"/>
      <c r="H177" s="92"/>
      <c r="I177" s="92"/>
      <c r="J177" s="93"/>
      <c r="K177" s="93"/>
    </row>
    <row r="178" spans="6:11" ht="12.75" customHeight="1" x14ac:dyDescent="0.25">
      <c r="F178" s="92"/>
      <c r="G178" s="92"/>
      <c r="H178" s="92"/>
      <c r="I178" s="92"/>
      <c r="J178" s="93"/>
      <c r="K178" s="93"/>
    </row>
    <row r="179" spans="6:11" ht="12.75" customHeight="1" x14ac:dyDescent="0.25">
      <c r="F179" s="92"/>
      <c r="G179" s="92"/>
      <c r="H179" s="92"/>
      <c r="I179" s="92"/>
      <c r="J179" s="93"/>
      <c r="K179" s="93"/>
    </row>
    <row r="180" spans="6:11" ht="12.75" customHeight="1" x14ac:dyDescent="0.25">
      <c r="F180" s="92"/>
      <c r="G180" s="92"/>
      <c r="H180" s="92"/>
      <c r="I180" s="92"/>
      <c r="J180" s="93"/>
      <c r="K180" s="93"/>
    </row>
    <row r="181" spans="6:11" ht="12.75" customHeight="1" x14ac:dyDescent="0.25">
      <c r="F181" s="92"/>
      <c r="G181" s="92"/>
      <c r="H181" s="92"/>
      <c r="I181" s="92"/>
      <c r="J181" s="93"/>
      <c r="K181" s="93"/>
    </row>
    <row r="182" spans="6:11" ht="12.75" customHeight="1" x14ac:dyDescent="0.25">
      <c r="F182" s="92"/>
      <c r="G182" s="92"/>
      <c r="H182" s="92"/>
      <c r="I182" s="92"/>
      <c r="J182" s="93"/>
      <c r="K182" s="93"/>
    </row>
    <row r="183" spans="6:11" ht="12.75" customHeight="1" x14ac:dyDescent="0.25">
      <c r="F183" s="92"/>
      <c r="G183" s="92"/>
      <c r="H183" s="92"/>
      <c r="I183" s="92"/>
      <c r="J183" s="93"/>
      <c r="K183" s="93"/>
    </row>
    <row r="184" spans="6:11" ht="12.75" customHeight="1" x14ac:dyDescent="0.25">
      <c r="F184" s="92"/>
      <c r="G184" s="92"/>
      <c r="H184" s="92"/>
      <c r="I184" s="92"/>
      <c r="J184" s="93"/>
      <c r="K184" s="93"/>
    </row>
    <row r="185" spans="6:11" ht="12.75" customHeight="1" x14ac:dyDescent="0.25">
      <c r="F185" s="92"/>
      <c r="G185" s="92"/>
      <c r="H185" s="92"/>
      <c r="I185" s="92"/>
      <c r="J185" s="93"/>
      <c r="K185" s="93"/>
    </row>
    <row r="186" spans="6:11" ht="12.75" customHeight="1" x14ac:dyDescent="0.25">
      <c r="F186" s="92"/>
      <c r="G186" s="92"/>
      <c r="H186" s="92"/>
      <c r="I186" s="92"/>
      <c r="J186" s="93"/>
      <c r="K186" s="93"/>
    </row>
    <row r="187" spans="6:11" ht="12.75" customHeight="1" x14ac:dyDescent="0.25">
      <c r="F187" s="92"/>
      <c r="G187" s="92"/>
      <c r="H187" s="92"/>
      <c r="I187" s="92"/>
      <c r="J187" s="93"/>
      <c r="K187" s="93"/>
    </row>
    <row r="188" spans="6:11" ht="12.75" customHeight="1" x14ac:dyDescent="0.25">
      <c r="F188" s="92"/>
      <c r="G188" s="92"/>
      <c r="H188" s="92"/>
      <c r="I188" s="92"/>
      <c r="J188" s="93"/>
      <c r="K188" s="93"/>
    </row>
    <row r="189" spans="6:11" ht="12.75" customHeight="1" x14ac:dyDescent="0.25">
      <c r="F189" s="92"/>
      <c r="G189" s="92"/>
      <c r="H189" s="92"/>
      <c r="I189" s="92"/>
      <c r="J189" s="93"/>
      <c r="K189" s="93"/>
    </row>
    <row r="190" spans="6:11" ht="12.75" customHeight="1" x14ac:dyDescent="0.25">
      <c r="F190" s="92"/>
      <c r="G190" s="92"/>
      <c r="H190" s="92"/>
      <c r="I190" s="92"/>
      <c r="J190" s="93"/>
      <c r="K190" s="93"/>
    </row>
    <row r="191" spans="6:11" ht="12.75" customHeight="1" x14ac:dyDescent="0.25">
      <c r="F191" s="92"/>
      <c r="G191" s="92"/>
      <c r="H191" s="92"/>
      <c r="I191" s="92"/>
      <c r="J191" s="93"/>
      <c r="K191" s="93"/>
    </row>
    <row r="192" spans="6:11" ht="12.75" customHeight="1" x14ac:dyDescent="0.25">
      <c r="F192" s="92"/>
      <c r="G192" s="92"/>
      <c r="H192" s="92"/>
      <c r="I192" s="92"/>
      <c r="J192" s="93"/>
      <c r="K192" s="93"/>
    </row>
    <row r="193" spans="6:11" ht="12.75" customHeight="1" x14ac:dyDescent="0.25">
      <c r="F193" s="92"/>
      <c r="G193" s="92"/>
      <c r="H193" s="92"/>
      <c r="I193" s="92"/>
      <c r="J193" s="93"/>
      <c r="K193" s="93"/>
    </row>
    <row r="194" spans="6:11" ht="12.75" customHeight="1" x14ac:dyDescent="0.25">
      <c r="F194" s="92"/>
      <c r="G194" s="92"/>
      <c r="H194" s="92"/>
      <c r="I194" s="92"/>
      <c r="J194" s="93"/>
      <c r="K194" s="93"/>
    </row>
    <row r="195" spans="6:11" ht="12.75" customHeight="1" x14ac:dyDescent="0.25">
      <c r="F195" s="92"/>
      <c r="G195" s="92"/>
      <c r="H195" s="92"/>
      <c r="I195" s="92"/>
      <c r="J195" s="93"/>
      <c r="K195" s="93"/>
    </row>
    <row r="196" spans="6:11" ht="12.75" customHeight="1" x14ac:dyDescent="0.25">
      <c r="F196" s="92"/>
      <c r="G196" s="92"/>
      <c r="H196" s="92"/>
      <c r="I196" s="92"/>
      <c r="J196" s="93"/>
      <c r="K196" s="93"/>
    </row>
    <row r="197" spans="6:11" ht="12.75" customHeight="1" x14ac:dyDescent="0.25">
      <c r="F197" s="92"/>
      <c r="G197" s="92"/>
      <c r="H197" s="92"/>
      <c r="I197" s="92"/>
      <c r="J197" s="93"/>
      <c r="K197" s="93"/>
    </row>
    <row r="198" spans="6:11" ht="12.75" customHeight="1" x14ac:dyDescent="0.25">
      <c r="F198" s="92"/>
      <c r="G198" s="92"/>
      <c r="H198" s="92"/>
      <c r="I198" s="92"/>
      <c r="J198" s="93"/>
      <c r="K198" s="93"/>
    </row>
    <row r="199" spans="6:11" ht="12.75" customHeight="1" x14ac:dyDescent="0.25">
      <c r="F199" s="92"/>
      <c r="G199" s="92"/>
      <c r="H199" s="92"/>
      <c r="I199" s="92"/>
      <c r="J199" s="93"/>
      <c r="K199" s="93"/>
    </row>
    <row r="200" spans="6:11" ht="12.75" customHeight="1" x14ac:dyDescent="0.25">
      <c r="F200" s="92"/>
      <c r="G200" s="92"/>
      <c r="H200" s="92"/>
      <c r="I200" s="92"/>
      <c r="J200" s="93"/>
      <c r="K200" s="93"/>
    </row>
    <row r="201" spans="6:11" ht="12.75" customHeight="1" x14ac:dyDescent="0.25">
      <c r="F201" s="92"/>
      <c r="G201" s="92"/>
      <c r="H201" s="92"/>
      <c r="I201" s="92"/>
      <c r="J201" s="93"/>
      <c r="K201" s="93"/>
    </row>
    <row r="202" spans="6:11" ht="12.75" customHeight="1" x14ac:dyDescent="0.25">
      <c r="F202" s="92"/>
      <c r="G202" s="92"/>
      <c r="H202" s="92"/>
      <c r="I202" s="92"/>
      <c r="J202" s="93"/>
      <c r="K202" s="113"/>
    </row>
    <row r="203" spans="6:11" ht="12.75" customHeight="1" x14ac:dyDescent="0.25">
      <c r="F203" s="92"/>
      <c r="G203" s="92"/>
      <c r="H203" s="92"/>
      <c r="I203" s="92"/>
      <c r="J203" s="93"/>
      <c r="K203" s="93"/>
    </row>
    <row r="204" spans="6:11" ht="12.75" customHeight="1" x14ac:dyDescent="0.25">
      <c r="F204" s="92"/>
      <c r="G204" s="92"/>
      <c r="H204" s="92"/>
      <c r="I204" s="92"/>
      <c r="J204" s="93"/>
      <c r="K204" s="93"/>
    </row>
    <row r="205" spans="6:11" ht="12.75" customHeight="1" x14ac:dyDescent="0.25">
      <c r="F205" s="92"/>
      <c r="G205" s="92"/>
      <c r="H205" s="92"/>
      <c r="I205" s="92"/>
      <c r="J205" s="93"/>
      <c r="K205" s="93"/>
    </row>
    <row r="206" spans="6:11" ht="12.75" customHeight="1" x14ac:dyDescent="0.25">
      <c r="F206" s="92"/>
      <c r="G206" s="92"/>
      <c r="H206" s="92"/>
      <c r="I206" s="92"/>
      <c r="J206" s="93"/>
      <c r="K206" s="93"/>
    </row>
    <row r="207" spans="6:11" ht="12.75" customHeight="1" x14ac:dyDescent="0.25">
      <c r="F207" s="92"/>
      <c r="G207" s="92"/>
      <c r="H207" s="92"/>
      <c r="I207" s="92"/>
      <c r="J207" s="93"/>
      <c r="K207" s="93"/>
    </row>
    <row r="208" spans="6:11" ht="12.75" customHeight="1" x14ac:dyDescent="0.25">
      <c r="F208" s="92"/>
      <c r="G208" s="92"/>
      <c r="H208" s="92"/>
      <c r="I208" s="92"/>
      <c r="J208" s="93"/>
      <c r="K208" s="93"/>
    </row>
    <row r="209" spans="6:11" ht="12.75" customHeight="1" x14ac:dyDescent="0.25">
      <c r="F209" s="92"/>
      <c r="G209" s="92"/>
      <c r="H209" s="92"/>
      <c r="I209" s="92"/>
      <c r="J209" s="93"/>
      <c r="K209" s="93"/>
    </row>
    <row r="210" spans="6:11" ht="12.75" customHeight="1" x14ac:dyDescent="0.25">
      <c r="F210" s="92"/>
      <c r="G210" s="92"/>
      <c r="H210" s="92"/>
      <c r="I210" s="92"/>
      <c r="J210" s="93"/>
      <c r="K210" s="93"/>
    </row>
    <row r="211" spans="6:11" ht="12.75" customHeight="1" x14ac:dyDescent="0.25">
      <c r="F211" s="92"/>
      <c r="G211" s="92"/>
      <c r="H211" s="92"/>
      <c r="I211" s="92"/>
      <c r="J211" s="93"/>
      <c r="K211" s="93"/>
    </row>
    <row r="212" spans="6:11" ht="12.75" customHeight="1" x14ac:dyDescent="0.25">
      <c r="F212" s="92"/>
      <c r="G212" s="92"/>
      <c r="H212" s="92"/>
      <c r="I212" s="92"/>
      <c r="J212" s="93"/>
      <c r="K212" s="93"/>
    </row>
    <row r="213" spans="6:11" ht="12.75" customHeight="1" x14ac:dyDescent="0.25">
      <c r="F213" s="92"/>
      <c r="G213" s="92"/>
      <c r="H213" s="92"/>
      <c r="I213" s="92"/>
      <c r="J213" s="93"/>
      <c r="K213" s="93"/>
    </row>
    <row r="214" spans="6:11" ht="12.75" customHeight="1" x14ac:dyDescent="0.25">
      <c r="F214" s="92"/>
      <c r="G214" s="92"/>
      <c r="H214" s="92"/>
      <c r="I214" s="92"/>
      <c r="J214" s="93"/>
      <c r="K214" s="93"/>
    </row>
    <row r="215" spans="6:11" ht="12.75" customHeight="1" x14ac:dyDescent="0.25">
      <c r="F215" s="92"/>
      <c r="G215" s="92"/>
      <c r="H215" s="92"/>
      <c r="I215" s="92"/>
      <c r="J215" s="93"/>
      <c r="K215" s="93"/>
    </row>
    <row r="216" spans="6:11" ht="12.75" customHeight="1" x14ac:dyDescent="0.25">
      <c r="F216" s="92"/>
      <c r="G216" s="92"/>
      <c r="H216" s="92"/>
      <c r="I216" s="92"/>
      <c r="J216" s="93"/>
      <c r="K216" s="93"/>
    </row>
    <row r="217" spans="6:11" ht="12.75" customHeight="1" x14ac:dyDescent="0.25">
      <c r="F217" s="92"/>
      <c r="G217" s="92"/>
      <c r="H217" s="92"/>
      <c r="I217" s="92"/>
      <c r="J217" s="93"/>
      <c r="K217" s="93"/>
    </row>
    <row r="218" spans="6:11" ht="12.75" customHeight="1" x14ac:dyDescent="0.25">
      <c r="F218" s="92"/>
      <c r="G218" s="92"/>
      <c r="H218" s="92"/>
      <c r="I218" s="92"/>
      <c r="J218" s="93"/>
      <c r="K218" s="93"/>
    </row>
    <row r="219" spans="6:11" ht="12.75" customHeight="1" x14ac:dyDescent="0.25">
      <c r="F219" s="92"/>
      <c r="G219" s="92"/>
      <c r="H219" s="92"/>
      <c r="I219" s="92"/>
      <c r="J219" s="93"/>
      <c r="K219" s="93"/>
    </row>
    <row r="220" spans="6:11" ht="12.75" customHeight="1" x14ac:dyDescent="0.25">
      <c r="F220" s="92"/>
      <c r="G220" s="92"/>
      <c r="H220" s="92"/>
      <c r="I220" s="92"/>
      <c r="J220" s="93"/>
      <c r="K220" s="93"/>
    </row>
    <row r="221" spans="6:11" ht="12.75" customHeight="1" x14ac:dyDescent="0.25">
      <c r="F221" s="92"/>
      <c r="G221" s="92"/>
      <c r="H221" s="92"/>
      <c r="I221" s="92"/>
      <c r="J221" s="93"/>
      <c r="K221" s="93"/>
    </row>
    <row r="222" spans="6:11" ht="12.75" customHeight="1" x14ac:dyDescent="0.25">
      <c r="F222" s="92"/>
      <c r="G222" s="92"/>
      <c r="H222" s="92"/>
      <c r="I222" s="92"/>
      <c r="J222" s="93"/>
      <c r="K222" s="93"/>
    </row>
    <row r="223" spans="6:11" ht="12.75" customHeight="1" x14ac:dyDescent="0.25">
      <c r="F223" s="92"/>
      <c r="G223" s="92"/>
      <c r="H223" s="92"/>
      <c r="I223" s="92"/>
      <c r="J223" s="93"/>
      <c r="K223" s="93"/>
    </row>
    <row r="224" spans="6:11" ht="12.75" customHeight="1" x14ac:dyDescent="0.25">
      <c r="F224" s="92"/>
      <c r="G224" s="92"/>
      <c r="H224" s="92"/>
      <c r="I224" s="92"/>
      <c r="J224" s="93"/>
      <c r="K224" s="93"/>
    </row>
    <row r="225" spans="6:11" ht="12.75" customHeight="1" x14ac:dyDescent="0.25">
      <c r="F225" s="92"/>
      <c r="G225" s="92"/>
      <c r="H225" s="92"/>
      <c r="I225" s="92"/>
      <c r="J225" s="93"/>
      <c r="K225" s="93"/>
    </row>
    <row r="226" spans="6:11" ht="12.75" customHeight="1" x14ac:dyDescent="0.25">
      <c r="F226" s="92"/>
      <c r="G226" s="92"/>
      <c r="H226" s="92"/>
      <c r="I226" s="92"/>
      <c r="J226" s="93"/>
      <c r="K226" s="93"/>
    </row>
    <row r="227" spans="6:11" ht="12.75" customHeight="1" x14ac:dyDescent="0.25">
      <c r="F227" s="92"/>
      <c r="G227" s="92"/>
      <c r="H227" s="92"/>
      <c r="I227" s="92"/>
      <c r="J227" s="93"/>
      <c r="K227" s="93"/>
    </row>
    <row r="228" spans="6:11" ht="12.75" customHeight="1" x14ac:dyDescent="0.25">
      <c r="F228" s="92"/>
      <c r="G228" s="92"/>
      <c r="H228" s="92"/>
      <c r="I228" s="92"/>
      <c r="J228" s="93"/>
      <c r="K228" s="93"/>
    </row>
    <row r="229" spans="6:11" ht="12.75" customHeight="1" x14ac:dyDescent="0.25">
      <c r="F229" s="92"/>
      <c r="G229" s="92"/>
      <c r="H229" s="92"/>
      <c r="I229" s="92"/>
      <c r="J229" s="93"/>
      <c r="K229" s="93"/>
    </row>
    <row r="230" spans="6:11" ht="12.75" customHeight="1" x14ac:dyDescent="0.25">
      <c r="F230" s="92"/>
      <c r="G230" s="92"/>
      <c r="H230" s="92"/>
      <c r="I230" s="92"/>
      <c r="J230" s="93"/>
      <c r="K230" s="93"/>
    </row>
    <row r="231" spans="6:11" ht="12.75" customHeight="1" x14ac:dyDescent="0.25">
      <c r="F231" s="92"/>
      <c r="G231" s="92"/>
      <c r="H231" s="92"/>
      <c r="I231" s="92"/>
      <c r="J231" s="93"/>
      <c r="K231" s="93"/>
    </row>
    <row r="232" spans="6:11" ht="12.75" customHeight="1" x14ac:dyDescent="0.25">
      <c r="F232" s="92"/>
      <c r="G232" s="92"/>
      <c r="H232" s="92"/>
      <c r="I232" s="92"/>
      <c r="J232" s="93"/>
      <c r="K232" s="93"/>
    </row>
    <row r="233" spans="6:11" ht="12.75" customHeight="1" x14ac:dyDescent="0.25">
      <c r="F233" s="92"/>
      <c r="G233" s="92"/>
      <c r="H233" s="92"/>
      <c r="I233" s="92"/>
      <c r="J233" s="93"/>
      <c r="K233" s="93"/>
    </row>
    <row r="234" spans="6:11" ht="12.75" customHeight="1" x14ac:dyDescent="0.25">
      <c r="F234" s="92"/>
      <c r="G234" s="92"/>
      <c r="H234" s="92"/>
      <c r="I234" s="92"/>
      <c r="J234" s="93"/>
      <c r="K234" s="93"/>
    </row>
    <row r="235" spans="6:11" ht="12.75" customHeight="1" x14ac:dyDescent="0.25">
      <c r="F235" s="92"/>
      <c r="G235" s="92"/>
      <c r="H235" s="92"/>
      <c r="I235" s="92"/>
      <c r="J235" s="93"/>
      <c r="K235" s="93"/>
    </row>
    <row r="236" spans="6:11" ht="12.75" customHeight="1" x14ac:dyDescent="0.25">
      <c r="F236" s="92"/>
      <c r="G236" s="92"/>
      <c r="H236" s="92"/>
      <c r="I236" s="92"/>
      <c r="J236" s="93"/>
      <c r="K236" s="93"/>
    </row>
    <row r="237" spans="6:11" ht="12.75" customHeight="1" x14ac:dyDescent="0.25">
      <c r="F237" s="92"/>
      <c r="G237" s="92"/>
      <c r="H237" s="92"/>
      <c r="I237" s="92"/>
      <c r="J237" s="93"/>
      <c r="K237" s="93"/>
    </row>
    <row r="238" spans="6:11" ht="12.75" customHeight="1" x14ac:dyDescent="0.25">
      <c r="F238" s="92"/>
      <c r="G238" s="92"/>
      <c r="H238" s="92"/>
      <c r="I238" s="92"/>
      <c r="J238" s="93"/>
      <c r="K238" s="93"/>
    </row>
    <row r="239" spans="6:11" ht="12.75" customHeight="1" x14ac:dyDescent="0.25">
      <c r="F239" s="92"/>
      <c r="G239" s="92"/>
      <c r="H239" s="92"/>
      <c r="I239" s="92"/>
      <c r="J239" s="93"/>
      <c r="K239" s="93"/>
    </row>
    <row r="240" spans="6:11" ht="12.75" customHeight="1" x14ac:dyDescent="0.25">
      <c r="F240" s="92"/>
      <c r="G240" s="92"/>
      <c r="H240" s="92"/>
      <c r="I240" s="92"/>
      <c r="J240" s="93"/>
      <c r="K240" s="93"/>
    </row>
    <row r="241" spans="6:11" ht="12.75" customHeight="1" x14ac:dyDescent="0.25">
      <c r="F241" s="92"/>
      <c r="G241" s="92"/>
      <c r="H241" s="92"/>
      <c r="I241" s="92"/>
      <c r="J241" s="93"/>
      <c r="K241" s="93"/>
    </row>
    <row r="242" spans="6:11" ht="12.75" customHeight="1" x14ac:dyDescent="0.25">
      <c r="F242" s="92"/>
      <c r="G242" s="92"/>
      <c r="H242" s="92"/>
      <c r="I242" s="92"/>
      <c r="J242" s="93"/>
      <c r="K242" s="93"/>
    </row>
    <row r="243" spans="6:11" ht="12.75" customHeight="1" x14ac:dyDescent="0.25">
      <c r="F243" s="92"/>
      <c r="G243" s="92"/>
      <c r="H243" s="92"/>
      <c r="I243" s="92"/>
      <c r="J243" s="93"/>
      <c r="K243" s="93"/>
    </row>
    <row r="244" spans="6:11" ht="12.75" customHeight="1" x14ac:dyDescent="0.25">
      <c r="F244" s="92"/>
      <c r="G244" s="92"/>
      <c r="H244" s="92"/>
      <c r="I244" s="92"/>
      <c r="J244" s="93"/>
      <c r="K244" s="93"/>
    </row>
    <row r="245" spans="6:11" ht="12.75" customHeight="1" x14ac:dyDescent="0.25">
      <c r="F245" s="92"/>
      <c r="G245" s="92"/>
      <c r="H245" s="92"/>
      <c r="I245" s="92"/>
      <c r="J245" s="93"/>
      <c r="K245" s="93"/>
    </row>
    <row r="246" spans="6:11" ht="12.75" customHeight="1" x14ac:dyDescent="0.25">
      <c r="F246" s="92"/>
      <c r="G246" s="92"/>
      <c r="H246" s="92"/>
      <c r="I246" s="92"/>
      <c r="J246" s="93"/>
      <c r="K246" s="93"/>
    </row>
    <row r="247" spans="6:11" ht="12.75" customHeight="1" x14ac:dyDescent="0.25">
      <c r="F247" s="92"/>
      <c r="G247" s="92"/>
      <c r="H247" s="92"/>
      <c r="I247" s="92"/>
      <c r="J247" s="93"/>
      <c r="K247" s="93"/>
    </row>
    <row r="248" spans="6:11" ht="12.75" customHeight="1" x14ac:dyDescent="0.25">
      <c r="F248" s="92"/>
      <c r="G248" s="92"/>
      <c r="H248" s="92"/>
      <c r="I248" s="92"/>
      <c r="J248" s="93"/>
      <c r="K248" s="93"/>
    </row>
    <row r="249" spans="6:11" ht="12.75" customHeight="1" x14ac:dyDescent="0.25">
      <c r="F249" s="92"/>
      <c r="G249" s="92"/>
      <c r="H249" s="92"/>
      <c r="I249" s="92"/>
      <c r="J249" s="93"/>
      <c r="K249" s="93"/>
    </row>
    <row r="250" spans="6:11" ht="12.75" customHeight="1" x14ac:dyDescent="0.25">
      <c r="F250" s="92"/>
      <c r="G250" s="92"/>
      <c r="H250" s="92"/>
      <c r="I250" s="92"/>
      <c r="J250" s="93"/>
      <c r="K250" s="93"/>
    </row>
    <row r="251" spans="6:11" ht="12.75" customHeight="1" x14ac:dyDescent="0.25">
      <c r="F251" s="92"/>
      <c r="G251" s="92"/>
      <c r="H251" s="92"/>
      <c r="I251" s="92"/>
      <c r="J251" s="93"/>
      <c r="K251" s="93"/>
    </row>
    <row r="252" spans="6:11" ht="12.75" customHeight="1" x14ac:dyDescent="0.25">
      <c r="F252" s="92"/>
      <c r="G252" s="92"/>
      <c r="H252" s="92"/>
      <c r="I252" s="92"/>
      <c r="J252" s="93"/>
      <c r="K252" s="93"/>
    </row>
    <row r="253" spans="6:11" ht="12.75" customHeight="1" x14ac:dyDescent="0.25">
      <c r="F253" s="92"/>
      <c r="G253" s="92"/>
      <c r="H253" s="92"/>
      <c r="I253" s="92"/>
      <c r="J253" s="93"/>
      <c r="K253" s="93"/>
    </row>
    <row r="254" spans="6:11" ht="12.75" customHeight="1" x14ac:dyDescent="0.25">
      <c r="F254" s="92"/>
      <c r="G254" s="92"/>
      <c r="H254" s="92"/>
      <c r="I254" s="92"/>
      <c r="J254" s="93"/>
      <c r="K254" s="93"/>
    </row>
    <row r="255" spans="6:11" ht="12.75" customHeight="1" x14ac:dyDescent="0.25">
      <c r="F255" s="92"/>
      <c r="G255" s="92"/>
      <c r="H255" s="92"/>
      <c r="I255" s="92"/>
      <c r="J255" s="93"/>
      <c r="K255" s="93"/>
    </row>
    <row r="256" spans="6:11" ht="12.75" customHeight="1" x14ac:dyDescent="0.25">
      <c r="F256" s="92"/>
      <c r="G256" s="92"/>
      <c r="H256" s="92"/>
      <c r="I256" s="92"/>
      <c r="J256" s="93"/>
      <c r="K256" s="93"/>
    </row>
    <row r="257" spans="6:11" ht="12.75" customHeight="1" x14ac:dyDescent="0.25">
      <c r="F257" s="92"/>
      <c r="G257" s="92"/>
      <c r="H257" s="92"/>
      <c r="I257" s="92"/>
      <c r="J257" s="93"/>
      <c r="K257" s="113"/>
    </row>
    <row r="258" spans="6:11" ht="12.75" customHeight="1" x14ac:dyDescent="0.25">
      <c r="F258" s="92"/>
      <c r="G258" s="92"/>
      <c r="H258" s="92"/>
      <c r="I258" s="92"/>
      <c r="J258" s="93"/>
      <c r="K258" s="93"/>
    </row>
    <row r="259" spans="6:11" ht="12.75" customHeight="1" x14ac:dyDescent="0.25">
      <c r="F259" s="92"/>
      <c r="G259" s="92"/>
      <c r="H259" s="92"/>
      <c r="I259" s="92"/>
      <c r="J259" s="93"/>
      <c r="K259" s="93"/>
    </row>
    <row r="260" spans="6:11" ht="12.75" customHeight="1" x14ac:dyDescent="0.25">
      <c r="F260" s="92"/>
      <c r="G260" s="92"/>
      <c r="H260" s="92"/>
      <c r="I260" s="92"/>
      <c r="J260" s="93"/>
      <c r="K260" s="93"/>
    </row>
    <row r="261" spans="6:11" ht="12.75" customHeight="1" x14ac:dyDescent="0.25">
      <c r="F261" s="92"/>
      <c r="G261" s="92"/>
      <c r="H261" s="92"/>
      <c r="I261" s="92"/>
      <c r="J261" s="93"/>
      <c r="K261" s="93"/>
    </row>
    <row r="262" spans="6:11" ht="12.75" customHeight="1" x14ac:dyDescent="0.25">
      <c r="F262" s="92"/>
      <c r="G262" s="92"/>
      <c r="H262" s="92"/>
      <c r="I262" s="92"/>
      <c r="J262" s="93"/>
      <c r="K262" s="113"/>
    </row>
    <row r="263" spans="6:11" ht="12.75" customHeight="1" x14ac:dyDescent="0.25">
      <c r="F263" s="92"/>
      <c r="G263" s="92"/>
      <c r="H263" s="92"/>
      <c r="I263" s="92"/>
      <c r="J263" s="93"/>
      <c r="K263" s="113"/>
    </row>
    <row r="264" spans="6:11" ht="12.75" customHeight="1" x14ac:dyDescent="0.25">
      <c r="F264" s="92"/>
      <c r="G264" s="92"/>
      <c r="H264" s="92"/>
      <c r="I264" s="92"/>
      <c r="J264" s="93"/>
      <c r="K264" s="113"/>
    </row>
    <row r="265" spans="6:11" ht="12.75" customHeight="1" x14ac:dyDescent="0.25">
      <c r="F265" s="92"/>
      <c r="G265" s="92"/>
      <c r="H265" s="92"/>
      <c r="I265" s="92"/>
      <c r="J265" s="93"/>
      <c r="K265" s="113"/>
    </row>
    <row r="266" spans="6:11" ht="12.75" customHeight="1" x14ac:dyDescent="0.25">
      <c r="F266" s="92"/>
      <c r="G266" s="92"/>
      <c r="H266" s="92"/>
      <c r="I266" s="92"/>
      <c r="J266" s="93"/>
      <c r="K266" s="113"/>
    </row>
    <row r="267" spans="6:11" ht="12.75" customHeight="1" x14ac:dyDescent="0.25">
      <c r="F267" s="92"/>
      <c r="G267" s="92"/>
      <c r="H267" s="92"/>
      <c r="I267" s="92"/>
      <c r="J267" s="93"/>
      <c r="K267" s="113"/>
    </row>
    <row r="268" spans="6:11" ht="12.75" customHeight="1" x14ac:dyDescent="0.25">
      <c r="F268" s="92"/>
      <c r="G268" s="92"/>
      <c r="H268" s="92"/>
      <c r="I268" s="92"/>
      <c r="J268" s="93"/>
      <c r="K268" s="113"/>
    </row>
    <row r="269" spans="6:11" ht="12.75" customHeight="1" x14ac:dyDescent="0.25">
      <c r="F269" s="92"/>
      <c r="G269" s="92"/>
      <c r="H269" s="92"/>
      <c r="I269" s="92"/>
      <c r="J269" s="93"/>
      <c r="K269" s="113"/>
    </row>
    <row r="270" spans="6:11" ht="12.75" customHeight="1" x14ac:dyDescent="0.25">
      <c r="F270" s="92"/>
      <c r="G270" s="92"/>
      <c r="H270" s="92"/>
      <c r="I270" s="92"/>
      <c r="J270" s="93"/>
      <c r="K270" s="113"/>
    </row>
    <row r="271" spans="6:11" ht="12.75" customHeight="1" x14ac:dyDescent="0.25">
      <c r="F271" s="92"/>
      <c r="G271" s="92"/>
      <c r="H271" s="92"/>
      <c r="I271" s="92"/>
      <c r="J271" s="93"/>
      <c r="K271" s="113"/>
    </row>
    <row r="272" spans="6:11" ht="12.75" customHeight="1" x14ac:dyDescent="0.25">
      <c r="F272" s="92"/>
      <c r="G272" s="92"/>
      <c r="H272" s="92"/>
      <c r="I272" s="92"/>
      <c r="J272" s="93"/>
      <c r="K272" s="113"/>
    </row>
    <row r="273" spans="6:11" ht="12.75" customHeight="1" x14ac:dyDescent="0.25">
      <c r="F273" s="92"/>
      <c r="G273" s="92"/>
      <c r="H273" s="92"/>
      <c r="I273" s="92"/>
      <c r="J273" s="93"/>
      <c r="K273" s="113"/>
    </row>
    <row r="274" spans="6:11" ht="12.75" customHeight="1" x14ac:dyDescent="0.25">
      <c r="F274" s="92"/>
      <c r="G274" s="92"/>
      <c r="H274" s="92"/>
      <c r="I274" s="92"/>
      <c r="J274" s="93"/>
      <c r="K274" s="113"/>
    </row>
    <row r="275" spans="6:11" ht="12.75" customHeight="1" x14ac:dyDescent="0.25">
      <c r="F275" s="92"/>
      <c r="G275" s="92"/>
      <c r="H275" s="92"/>
      <c r="I275" s="92"/>
      <c r="J275" s="93"/>
      <c r="K275" s="113"/>
    </row>
    <row r="276" spans="6:11" ht="12.75" customHeight="1" x14ac:dyDescent="0.25">
      <c r="F276" s="92"/>
      <c r="G276" s="92"/>
      <c r="H276" s="92"/>
      <c r="I276" s="92"/>
      <c r="J276" s="93"/>
      <c r="K276" s="113"/>
    </row>
    <row r="277" spans="6:11" ht="12.75" customHeight="1" x14ac:dyDescent="0.25">
      <c r="F277" s="92"/>
      <c r="G277" s="92"/>
      <c r="H277" s="92"/>
      <c r="I277" s="92"/>
      <c r="J277" s="93"/>
      <c r="K277" s="113"/>
    </row>
    <row r="278" spans="6:11" ht="12.75" customHeight="1" x14ac:dyDescent="0.25">
      <c r="F278" s="92"/>
      <c r="G278" s="92"/>
      <c r="H278" s="92"/>
      <c r="I278" s="92"/>
      <c r="J278" s="93"/>
      <c r="K278" s="93"/>
    </row>
    <row r="279" spans="6:11" ht="12.75" customHeight="1" x14ac:dyDescent="0.25">
      <c r="F279" s="92"/>
      <c r="G279" s="92"/>
      <c r="H279" s="92"/>
      <c r="I279" s="92"/>
      <c r="J279" s="93"/>
      <c r="K279" s="113"/>
    </row>
    <row r="280" spans="6:11" ht="12.75" customHeight="1" x14ac:dyDescent="0.25">
      <c r="F280" s="92"/>
      <c r="G280" s="92"/>
      <c r="H280" s="92"/>
      <c r="I280" s="92"/>
      <c r="J280" s="93"/>
      <c r="K280" s="113"/>
    </row>
    <row r="281" spans="6:11" ht="12.75" customHeight="1" x14ac:dyDescent="0.25">
      <c r="F281" s="92"/>
      <c r="G281" s="92"/>
      <c r="H281" s="92"/>
      <c r="I281" s="92"/>
      <c r="J281" s="93"/>
      <c r="K281" s="113"/>
    </row>
    <row r="282" spans="6:11" ht="12.75" customHeight="1" x14ac:dyDescent="0.25">
      <c r="F282" s="92"/>
      <c r="G282" s="92"/>
      <c r="H282" s="92"/>
      <c r="I282" s="92"/>
      <c r="J282" s="93"/>
      <c r="K282" s="113"/>
    </row>
    <row r="283" spans="6:11" ht="12.75" customHeight="1" x14ac:dyDescent="0.25">
      <c r="F283" s="92"/>
      <c r="G283" s="92"/>
      <c r="H283" s="92"/>
      <c r="I283" s="92"/>
      <c r="J283" s="93"/>
      <c r="K283" s="113"/>
    </row>
    <row r="284" spans="6:11" ht="12.75" customHeight="1" x14ac:dyDescent="0.25">
      <c r="F284" s="92"/>
      <c r="G284" s="92"/>
      <c r="H284" s="92"/>
      <c r="I284" s="92"/>
      <c r="J284" s="93"/>
      <c r="K284" s="113"/>
    </row>
    <row r="285" spans="6:11" ht="12.75" customHeight="1" x14ac:dyDescent="0.25">
      <c r="F285" s="92"/>
      <c r="G285" s="92"/>
      <c r="H285" s="92"/>
      <c r="I285" s="92"/>
      <c r="J285" s="93"/>
      <c r="K285" s="113"/>
    </row>
    <row r="286" spans="6:11" ht="12.75" customHeight="1" x14ac:dyDescent="0.25">
      <c r="F286" s="92"/>
      <c r="G286" s="92"/>
      <c r="H286" s="92"/>
      <c r="I286" s="92"/>
      <c r="J286" s="93"/>
      <c r="K286" s="113"/>
    </row>
    <row r="287" spans="6:11" ht="12.75" customHeight="1" x14ac:dyDescent="0.25">
      <c r="F287" s="92"/>
      <c r="G287" s="92"/>
      <c r="H287" s="92"/>
      <c r="I287" s="92"/>
      <c r="J287" s="93"/>
      <c r="K287" s="113"/>
    </row>
    <row r="288" spans="6:11" ht="12.75" customHeight="1" x14ac:dyDescent="0.25">
      <c r="F288" s="92"/>
      <c r="G288" s="92"/>
      <c r="H288" s="92"/>
      <c r="I288" s="92"/>
      <c r="J288" s="93"/>
      <c r="K288" s="113"/>
    </row>
    <row r="289" spans="6:11" ht="12.75" customHeight="1" x14ac:dyDescent="0.25">
      <c r="F289" s="92"/>
      <c r="G289" s="92"/>
      <c r="H289" s="92"/>
      <c r="I289" s="92"/>
      <c r="J289" s="93"/>
      <c r="K289" s="113"/>
    </row>
    <row r="290" spans="6:11" ht="12.75" customHeight="1" x14ac:dyDescent="0.25">
      <c r="F290" s="92"/>
      <c r="G290" s="92"/>
      <c r="H290" s="92"/>
      <c r="I290" s="92"/>
      <c r="J290" s="93"/>
      <c r="K290" s="113"/>
    </row>
    <row r="291" spans="6:11" ht="12.75" customHeight="1" x14ac:dyDescent="0.25">
      <c r="F291" s="92"/>
      <c r="G291" s="92"/>
      <c r="H291" s="92"/>
      <c r="I291" s="92"/>
      <c r="J291" s="93"/>
      <c r="K291" s="113"/>
    </row>
    <row r="292" spans="6:11" ht="12.75" customHeight="1" x14ac:dyDescent="0.25">
      <c r="F292" s="92"/>
      <c r="G292" s="92"/>
      <c r="H292" s="92"/>
      <c r="I292" s="92"/>
      <c r="J292" s="93"/>
      <c r="K292" s="113"/>
    </row>
    <row r="293" spans="6:11" ht="12.75" customHeight="1" x14ac:dyDescent="0.25">
      <c r="F293" s="92"/>
      <c r="G293" s="92"/>
      <c r="H293" s="92"/>
      <c r="I293" s="92"/>
      <c r="J293" s="93"/>
      <c r="K293" s="113"/>
    </row>
    <row r="294" spans="6:11" ht="12.75" customHeight="1" x14ac:dyDescent="0.25">
      <c r="F294" s="92"/>
      <c r="G294" s="92"/>
      <c r="H294" s="92"/>
      <c r="I294" s="92"/>
      <c r="J294" s="93"/>
      <c r="K294" s="113"/>
    </row>
    <row r="295" spans="6:11" ht="12.75" customHeight="1" x14ac:dyDescent="0.25">
      <c r="F295" s="92"/>
      <c r="G295" s="92"/>
      <c r="H295" s="92"/>
      <c r="I295" s="92"/>
      <c r="J295" s="93"/>
      <c r="K295" s="113"/>
    </row>
    <row r="296" spans="6:11" ht="12.75" customHeight="1" x14ac:dyDescent="0.25">
      <c r="F296" s="92"/>
      <c r="G296" s="92"/>
      <c r="H296" s="92"/>
      <c r="I296" s="92"/>
      <c r="J296" s="93"/>
      <c r="K296" s="113"/>
    </row>
    <row r="297" spans="6:11" ht="12.75" customHeight="1" x14ac:dyDescent="0.25">
      <c r="F297" s="92"/>
      <c r="G297" s="92"/>
      <c r="H297" s="92"/>
      <c r="I297" s="92"/>
      <c r="J297" s="93"/>
      <c r="K297" s="113"/>
    </row>
    <row r="298" spans="6:11" ht="12.75" customHeight="1" x14ac:dyDescent="0.25">
      <c r="F298" s="92"/>
      <c r="G298" s="92"/>
      <c r="H298" s="92"/>
      <c r="I298" s="92"/>
      <c r="J298" s="93"/>
      <c r="K298" s="113"/>
    </row>
    <row r="299" spans="6:11" ht="12.75" customHeight="1" x14ac:dyDescent="0.25">
      <c r="F299" s="92"/>
      <c r="G299" s="92"/>
      <c r="H299" s="92"/>
      <c r="I299" s="92"/>
      <c r="J299" s="93"/>
      <c r="K299" s="113"/>
    </row>
    <row r="300" spans="6:11" ht="12.75" customHeight="1" x14ac:dyDescent="0.25">
      <c r="F300" s="92"/>
      <c r="G300" s="92"/>
      <c r="H300" s="92"/>
      <c r="I300" s="92"/>
      <c r="J300" s="93"/>
      <c r="K300" s="113"/>
    </row>
    <row r="301" spans="6:11" ht="12.75" customHeight="1" x14ac:dyDescent="0.25">
      <c r="F301" s="92"/>
      <c r="G301" s="92"/>
      <c r="H301" s="92"/>
      <c r="I301" s="92"/>
      <c r="J301" s="93"/>
      <c r="K301" s="113"/>
    </row>
    <row r="302" spans="6:11" ht="12.75" customHeight="1" x14ac:dyDescent="0.25">
      <c r="F302" s="92"/>
      <c r="G302" s="92"/>
      <c r="H302" s="92"/>
      <c r="I302" s="92"/>
      <c r="J302" s="93"/>
      <c r="K302" s="113"/>
    </row>
    <row r="303" spans="6:11" ht="12.75" customHeight="1" x14ac:dyDescent="0.25">
      <c r="F303" s="92"/>
      <c r="G303" s="92"/>
      <c r="H303" s="92"/>
      <c r="I303" s="92"/>
      <c r="J303" s="93"/>
      <c r="K303" s="113"/>
    </row>
    <row r="304" spans="6:11" ht="12.75" customHeight="1" x14ac:dyDescent="0.25">
      <c r="F304" s="92"/>
      <c r="G304" s="92"/>
      <c r="H304" s="92"/>
      <c r="I304" s="92"/>
      <c r="J304" s="93"/>
      <c r="K304" s="113"/>
    </row>
    <row r="305" spans="6:11" ht="12.75" customHeight="1" x14ac:dyDescent="0.25">
      <c r="F305" s="92"/>
      <c r="G305" s="92"/>
      <c r="H305" s="92"/>
      <c r="I305" s="92"/>
      <c r="J305" s="93"/>
      <c r="K305" s="113"/>
    </row>
    <row r="306" spans="6:11" ht="12.75" customHeight="1" x14ac:dyDescent="0.25">
      <c r="F306" s="92"/>
      <c r="G306" s="92"/>
      <c r="H306" s="92"/>
      <c r="I306" s="92"/>
      <c r="J306" s="93"/>
      <c r="K306" s="113"/>
    </row>
    <row r="307" spans="6:11" ht="12.75" customHeight="1" x14ac:dyDescent="0.25">
      <c r="F307" s="92"/>
      <c r="G307" s="92"/>
      <c r="H307" s="92"/>
      <c r="I307" s="92"/>
      <c r="J307" s="93"/>
      <c r="K307" s="113"/>
    </row>
    <row r="308" spans="6:11" ht="12.75" customHeight="1" x14ac:dyDescent="0.25">
      <c r="F308" s="92"/>
      <c r="G308" s="92"/>
      <c r="H308" s="92"/>
      <c r="I308" s="92"/>
      <c r="J308" s="93"/>
      <c r="K308" s="113"/>
    </row>
    <row r="309" spans="6:11" ht="12.75" customHeight="1" x14ac:dyDescent="0.25">
      <c r="F309" s="92"/>
      <c r="G309" s="92"/>
      <c r="H309" s="92"/>
      <c r="I309" s="92"/>
      <c r="J309" s="93"/>
      <c r="K309" s="113"/>
    </row>
    <row r="310" spans="6:11" ht="12.75" customHeight="1" x14ac:dyDescent="0.25">
      <c r="F310" s="92"/>
      <c r="G310" s="92"/>
      <c r="H310" s="92"/>
      <c r="I310" s="92"/>
      <c r="J310" s="93"/>
      <c r="K310" s="113"/>
    </row>
    <row r="311" spans="6:11" ht="12.75" customHeight="1" x14ac:dyDescent="0.25">
      <c r="F311" s="92"/>
      <c r="G311" s="92"/>
      <c r="H311" s="92"/>
      <c r="I311" s="92"/>
      <c r="J311" s="93"/>
      <c r="K311" s="113"/>
    </row>
    <row r="312" spans="6:11" ht="12.75" customHeight="1" x14ac:dyDescent="0.25">
      <c r="F312" s="92"/>
      <c r="G312" s="92"/>
      <c r="H312" s="92"/>
      <c r="I312" s="92"/>
      <c r="J312" s="93"/>
      <c r="K312" s="113"/>
    </row>
    <row r="313" spans="6:11" ht="12.75" customHeight="1" x14ac:dyDescent="0.25">
      <c r="F313" s="92"/>
      <c r="G313" s="92"/>
      <c r="H313" s="92"/>
      <c r="I313" s="92"/>
      <c r="J313" s="93"/>
      <c r="K313" s="113"/>
    </row>
    <row r="314" spans="6:11" ht="12.75" customHeight="1" x14ac:dyDescent="0.25">
      <c r="F314" s="92"/>
      <c r="G314" s="92"/>
      <c r="H314" s="92"/>
      <c r="I314" s="92"/>
      <c r="J314" s="93"/>
      <c r="K314" s="113"/>
    </row>
    <row r="315" spans="6:11" ht="12.75" customHeight="1" x14ac:dyDescent="0.25">
      <c r="F315" s="92"/>
      <c r="G315" s="92"/>
      <c r="H315" s="92"/>
      <c r="I315" s="92"/>
      <c r="J315" s="93"/>
      <c r="K315" s="113"/>
    </row>
    <row r="316" spans="6:11" ht="12.75" customHeight="1" x14ac:dyDescent="0.25">
      <c r="F316" s="92"/>
      <c r="G316" s="92"/>
      <c r="H316" s="92"/>
      <c r="I316" s="92"/>
      <c r="J316" s="93"/>
      <c r="K316" s="113"/>
    </row>
    <row r="317" spans="6:11" ht="12.75" customHeight="1" x14ac:dyDescent="0.25">
      <c r="F317" s="92"/>
      <c r="G317" s="92"/>
      <c r="H317" s="92"/>
      <c r="I317" s="92"/>
      <c r="J317" s="93"/>
      <c r="K317" s="113"/>
    </row>
    <row r="318" spans="6:11" ht="12.75" customHeight="1" x14ac:dyDescent="0.25">
      <c r="F318" s="92"/>
      <c r="G318" s="92"/>
      <c r="H318" s="92"/>
      <c r="I318" s="92"/>
      <c r="J318" s="93"/>
      <c r="K318" s="113"/>
    </row>
    <row r="319" spans="6:11" ht="12.75" customHeight="1" x14ac:dyDescent="0.25">
      <c r="F319" s="92"/>
      <c r="G319" s="92"/>
      <c r="H319" s="92"/>
      <c r="I319" s="92"/>
      <c r="J319" s="93"/>
      <c r="K319" s="113"/>
    </row>
    <row r="320" spans="6:11" ht="12.75" customHeight="1" x14ac:dyDescent="0.25">
      <c r="F320" s="92"/>
      <c r="G320" s="92"/>
      <c r="H320" s="92"/>
      <c r="I320" s="92"/>
      <c r="J320" s="93"/>
      <c r="K320" s="113"/>
    </row>
    <row r="321" spans="6:11" ht="12.75" customHeight="1" x14ac:dyDescent="0.25">
      <c r="F321" s="92"/>
      <c r="G321" s="92"/>
      <c r="H321" s="92"/>
      <c r="I321" s="92"/>
      <c r="J321" s="93"/>
      <c r="K321" s="113"/>
    </row>
    <row r="322" spans="6:11" ht="12.75" customHeight="1" x14ac:dyDescent="0.25">
      <c r="F322" s="92"/>
      <c r="G322" s="92"/>
      <c r="H322" s="92"/>
      <c r="I322" s="92"/>
      <c r="J322" s="93"/>
      <c r="K322" s="113"/>
    </row>
    <row r="323" spans="6:11" ht="12.75" customHeight="1" x14ac:dyDescent="0.25">
      <c r="F323" s="92"/>
      <c r="G323" s="92"/>
      <c r="H323" s="92"/>
      <c r="I323" s="92"/>
      <c r="J323" s="93"/>
      <c r="K323" s="113"/>
    </row>
    <row r="324" spans="6:11" ht="12.75" customHeight="1" x14ac:dyDescent="0.25">
      <c r="F324" s="92"/>
      <c r="G324" s="92"/>
      <c r="H324" s="92"/>
      <c r="I324" s="92"/>
      <c r="J324" s="93"/>
      <c r="K324" s="113"/>
    </row>
    <row r="325" spans="6:11" ht="12.75" customHeight="1" x14ac:dyDescent="0.25">
      <c r="F325" s="92"/>
      <c r="G325" s="92"/>
      <c r="H325" s="92"/>
      <c r="I325" s="92"/>
      <c r="J325" s="93"/>
      <c r="K325" s="113"/>
    </row>
    <row r="326" spans="6:11" ht="12.75" customHeight="1" x14ac:dyDescent="0.25">
      <c r="F326" s="92"/>
      <c r="G326" s="92"/>
      <c r="H326" s="92"/>
      <c r="I326" s="92"/>
      <c r="J326" s="93"/>
      <c r="K326" s="113"/>
    </row>
    <row r="327" spans="6:11" ht="12.75" customHeight="1" x14ac:dyDescent="0.25">
      <c r="F327" s="92"/>
      <c r="G327" s="92"/>
      <c r="H327" s="92"/>
      <c r="I327" s="92"/>
      <c r="J327" s="93"/>
      <c r="K327" s="113"/>
    </row>
    <row r="328" spans="6:11" ht="12.75" customHeight="1" x14ac:dyDescent="0.25">
      <c r="F328" s="92"/>
      <c r="G328" s="92"/>
      <c r="H328" s="92"/>
      <c r="I328" s="92"/>
      <c r="J328" s="93"/>
      <c r="K328" s="113"/>
    </row>
    <row r="329" spans="6:11" ht="12.75" customHeight="1" x14ac:dyDescent="0.25">
      <c r="F329" s="92"/>
      <c r="G329" s="92"/>
      <c r="H329" s="92"/>
      <c r="I329" s="92"/>
      <c r="J329" s="93"/>
      <c r="K329" s="113"/>
    </row>
    <row r="330" spans="6:11" ht="12.75" customHeight="1" x14ac:dyDescent="0.25">
      <c r="F330" s="92"/>
      <c r="G330" s="92"/>
      <c r="H330" s="92"/>
      <c r="I330" s="92"/>
      <c r="J330" s="93"/>
      <c r="K330" s="113"/>
    </row>
    <row r="331" spans="6:11" ht="12.75" customHeight="1" x14ac:dyDescent="0.25">
      <c r="F331" s="92"/>
      <c r="G331" s="92"/>
      <c r="H331" s="92"/>
      <c r="I331" s="92"/>
      <c r="J331" s="93"/>
      <c r="K331" s="113"/>
    </row>
    <row r="332" spans="6:11" ht="12.75" customHeight="1" x14ac:dyDescent="0.25">
      <c r="F332" s="92"/>
      <c r="G332" s="92"/>
      <c r="H332" s="92"/>
      <c r="I332" s="92"/>
      <c r="J332" s="93"/>
      <c r="K332" s="113"/>
    </row>
    <row r="333" spans="6:11" ht="12.75" customHeight="1" x14ac:dyDescent="0.25">
      <c r="F333" s="92"/>
      <c r="G333" s="92"/>
      <c r="H333" s="92"/>
      <c r="I333" s="92"/>
      <c r="J333" s="93"/>
      <c r="K333" s="113"/>
    </row>
    <row r="334" spans="6:11" ht="12.75" customHeight="1" x14ac:dyDescent="0.25">
      <c r="F334" s="92"/>
      <c r="G334" s="92"/>
      <c r="H334" s="92"/>
      <c r="I334" s="92"/>
      <c r="J334" s="93"/>
      <c r="K334" s="113"/>
    </row>
    <row r="335" spans="6:11" ht="12.75" customHeight="1" x14ac:dyDescent="0.25">
      <c r="F335" s="92"/>
      <c r="G335" s="92"/>
      <c r="H335" s="92"/>
      <c r="I335" s="92"/>
      <c r="J335" s="93"/>
      <c r="K335" s="113"/>
    </row>
    <row r="336" spans="6:11" ht="12.75" customHeight="1" x14ac:dyDescent="0.25">
      <c r="F336" s="92"/>
      <c r="G336" s="92"/>
      <c r="H336" s="92"/>
      <c r="I336" s="92"/>
      <c r="J336" s="93"/>
      <c r="K336" s="113"/>
    </row>
    <row r="337" spans="6:11" ht="12.75" customHeight="1" x14ac:dyDescent="0.25">
      <c r="F337" s="92"/>
      <c r="G337" s="92"/>
      <c r="H337" s="92"/>
      <c r="I337" s="92"/>
      <c r="J337" s="93"/>
      <c r="K337" s="113"/>
    </row>
    <row r="338" spans="6:11" ht="12.75" customHeight="1" x14ac:dyDescent="0.25">
      <c r="F338" s="92"/>
      <c r="G338" s="92"/>
      <c r="H338" s="92"/>
      <c r="I338" s="92"/>
      <c r="J338" s="93"/>
      <c r="K338" s="113"/>
    </row>
    <row r="339" spans="6:11" ht="12.75" customHeight="1" x14ac:dyDescent="0.25">
      <c r="F339" s="92"/>
      <c r="G339" s="92"/>
      <c r="H339" s="92"/>
      <c r="I339" s="92"/>
      <c r="J339" s="93"/>
      <c r="K339" s="113"/>
    </row>
    <row r="340" spans="6:11" ht="12.75" customHeight="1" x14ac:dyDescent="0.25">
      <c r="F340" s="92"/>
      <c r="G340" s="92"/>
      <c r="H340" s="92"/>
      <c r="I340" s="92"/>
      <c r="J340" s="93"/>
      <c r="K340" s="113"/>
    </row>
    <row r="341" spans="6:11" ht="12.75" customHeight="1" x14ac:dyDescent="0.25">
      <c r="F341" s="92"/>
      <c r="G341" s="92"/>
      <c r="H341" s="92"/>
      <c r="I341" s="92"/>
      <c r="J341" s="93"/>
      <c r="K341" s="113"/>
    </row>
    <row r="342" spans="6:11" ht="12.75" customHeight="1" x14ac:dyDescent="0.25">
      <c r="F342" s="92"/>
      <c r="G342" s="92"/>
      <c r="H342" s="92"/>
      <c r="I342" s="92"/>
      <c r="J342" s="93"/>
      <c r="K342" s="113"/>
    </row>
    <row r="343" spans="6:11" ht="12.75" customHeight="1" x14ac:dyDescent="0.25">
      <c r="F343" s="92"/>
      <c r="G343" s="92"/>
      <c r="H343" s="92"/>
      <c r="I343" s="92"/>
      <c r="J343" s="93"/>
      <c r="K343" s="113"/>
    </row>
    <row r="344" spans="6:11" ht="12.75" customHeight="1" x14ac:dyDescent="0.25">
      <c r="F344" s="92"/>
      <c r="G344" s="92"/>
      <c r="H344" s="92"/>
      <c r="I344" s="92"/>
      <c r="J344" s="93"/>
      <c r="K344" s="113"/>
    </row>
    <row r="345" spans="6:11" ht="12.75" customHeight="1" x14ac:dyDescent="0.25">
      <c r="F345" s="92"/>
      <c r="G345" s="92"/>
      <c r="H345" s="92"/>
      <c r="I345" s="92"/>
      <c r="J345" s="93"/>
      <c r="K345" s="113"/>
    </row>
    <row r="346" spans="6:11" ht="12.75" customHeight="1" x14ac:dyDescent="0.25">
      <c r="F346" s="92"/>
      <c r="G346" s="92"/>
      <c r="H346" s="92"/>
      <c r="I346" s="92"/>
      <c r="J346" s="93"/>
      <c r="K346" s="113"/>
    </row>
    <row r="347" spans="6:11" ht="12.75" customHeight="1" x14ac:dyDescent="0.25">
      <c r="F347" s="92"/>
      <c r="G347" s="92"/>
      <c r="H347" s="92"/>
      <c r="I347" s="92"/>
      <c r="J347" s="93"/>
      <c r="K347" s="113"/>
    </row>
    <row r="348" spans="6:11" ht="12.75" customHeight="1" x14ac:dyDescent="0.25">
      <c r="F348" s="92"/>
      <c r="G348" s="92"/>
      <c r="H348" s="92"/>
      <c r="I348" s="92"/>
      <c r="J348" s="93"/>
      <c r="K348" s="113"/>
    </row>
    <row r="349" spans="6:11" ht="12.75" customHeight="1" x14ac:dyDescent="0.25">
      <c r="F349" s="92"/>
      <c r="G349" s="92"/>
      <c r="H349" s="92"/>
      <c r="I349" s="92"/>
      <c r="J349" s="93"/>
      <c r="K349" s="113"/>
    </row>
    <row r="350" spans="6:11" ht="12.75" customHeight="1" x14ac:dyDescent="0.25">
      <c r="F350" s="92"/>
      <c r="G350" s="92"/>
      <c r="H350" s="92"/>
      <c r="I350" s="92"/>
      <c r="J350" s="93"/>
      <c r="K350" s="113"/>
    </row>
    <row r="351" spans="6:11" ht="12.75" customHeight="1" x14ac:dyDescent="0.25">
      <c r="F351" s="92"/>
      <c r="G351" s="92"/>
      <c r="H351" s="92"/>
      <c r="I351" s="92"/>
      <c r="J351" s="93"/>
      <c r="K351" s="113"/>
    </row>
    <row r="352" spans="6:11" ht="12.75" customHeight="1" x14ac:dyDescent="0.25">
      <c r="F352" s="92"/>
      <c r="G352" s="92"/>
      <c r="H352" s="92"/>
      <c r="I352" s="92"/>
      <c r="J352" s="93"/>
      <c r="K352" s="113"/>
    </row>
    <row r="353" spans="6:11" ht="12.75" customHeight="1" x14ac:dyDescent="0.25">
      <c r="F353" s="92"/>
      <c r="G353" s="92"/>
      <c r="H353" s="92"/>
      <c r="I353" s="92"/>
      <c r="J353" s="93"/>
      <c r="K353" s="113"/>
    </row>
    <row r="354" spans="6:11" ht="12.75" customHeight="1" x14ac:dyDescent="0.25">
      <c r="F354" s="92"/>
      <c r="G354" s="92"/>
      <c r="H354" s="92"/>
      <c r="I354" s="92"/>
      <c r="J354" s="93"/>
      <c r="K354" s="113"/>
    </row>
    <row r="355" spans="6:11" ht="12.75" customHeight="1" x14ac:dyDescent="0.25">
      <c r="F355" s="92"/>
      <c r="G355" s="92"/>
      <c r="H355" s="92"/>
      <c r="I355" s="92"/>
      <c r="J355" s="93"/>
      <c r="K355" s="113"/>
    </row>
    <row r="356" spans="6:11" ht="12.75" customHeight="1" x14ac:dyDescent="0.25">
      <c r="F356" s="92"/>
      <c r="G356" s="92"/>
      <c r="H356" s="92"/>
      <c r="I356" s="92"/>
      <c r="J356" s="93"/>
      <c r="K356" s="113"/>
    </row>
    <row r="357" spans="6:11" ht="12.75" customHeight="1" x14ac:dyDescent="0.25">
      <c r="F357" s="92"/>
      <c r="G357" s="92"/>
      <c r="H357" s="92"/>
      <c r="I357" s="92"/>
      <c r="J357" s="93"/>
      <c r="K357" s="113"/>
    </row>
    <row r="358" spans="6:11" ht="12.75" customHeight="1" x14ac:dyDescent="0.25">
      <c r="F358" s="92"/>
      <c r="G358" s="92"/>
      <c r="H358" s="92"/>
      <c r="I358" s="92"/>
      <c r="J358" s="93"/>
      <c r="K358" s="113"/>
    </row>
    <row r="359" spans="6:11" ht="12.75" customHeight="1" x14ac:dyDescent="0.25">
      <c r="F359" s="92"/>
      <c r="G359" s="92"/>
      <c r="H359" s="92"/>
      <c r="I359" s="92"/>
      <c r="J359" s="93"/>
      <c r="K359" s="113"/>
    </row>
    <row r="360" spans="6:11" ht="12.75" customHeight="1" x14ac:dyDescent="0.25">
      <c r="F360" s="92"/>
      <c r="G360" s="92"/>
      <c r="H360" s="92"/>
      <c r="I360" s="92"/>
      <c r="J360" s="93"/>
      <c r="K360" s="113"/>
    </row>
    <row r="361" spans="6:11" ht="12.75" customHeight="1" x14ac:dyDescent="0.25">
      <c r="F361" s="92"/>
      <c r="G361" s="92"/>
      <c r="H361" s="92"/>
      <c r="I361" s="92"/>
      <c r="J361" s="93"/>
      <c r="K361" s="113"/>
    </row>
    <row r="362" spans="6:11" ht="12.75" customHeight="1" x14ac:dyDescent="0.25">
      <c r="F362" s="92"/>
      <c r="G362" s="92"/>
      <c r="H362" s="92"/>
      <c r="I362" s="92"/>
      <c r="J362" s="93"/>
      <c r="K362" s="113"/>
    </row>
    <row r="363" spans="6:11" ht="12.75" customHeight="1" x14ac:dyDescent="0.25">
      <c r="F363" s="92"/>
      <c r="G363" s="92"/>
      <c r="H363" s="92"/>
      <c r="I363" s="92"/>
      <c r="J363" s="93"/>
      <c r="K363" s="113"/>
    </row>
    <row r="364" spans="6:11" ht="12.75" customHeight="1" x14ac:dyDescent="0.25">
      <c r="F364" s="92"/>
      <c r="G364" s="92"/>
      <c r="H364" s="92"/>
      <c r="I364" s="92"/>
      <c r="J364" s="93"/>
      <c r="K364" s="113"/>
    </row>
    <row r="365" spans="6:11" ht="12.75" customHeight="1" x14ac:dyDescent="0.25">
      <c r="F365" s="92"/>
      <c r="G365" s="92"/>
      <c r="H365" s="92"/>
      <c r="I365" s="92"/>
      <c r="J365" s="93"/>
      <c r="K365" s="113"/>
    </row>
    <row r="366" spans="6:11" ht="12.75" customHeight="1" x14ac:dyDescent="0.25">
      <c r="F366" s="92"/>
      <c r="G366" s="92"/>
      <c r="H366" s="92"/>
      <c r="I366" s="92"/>
      <c r="J366" s="93"/>
      <c r="K366" s="113"/>
    </row>
    <row r="367" spans="6:11" ht="12.75" customHeight="1" x14ac:dyDescent="0.25">
      <c r="F367" s="92"/>
      <c r="G367" s="92"/>
      <c r="H367" s="92"/>
      <c r="I367" s="92"/>
      <c r="J367" s="93"/>
      <c r="K367" s="113"/>
    </row>
    <row r="368" spans="6:11" ht="12.75" customHeight="1" x14ac:dyDescent="0.25">
      <c r="F368" s="92"/>
      <c r="G368" s="92"/>
      <c r="H368" s="92"/>
      <c r="I368" s="92"/>
      <c r="J368" s="93"/>
      <c r="K368" s="113"/>
    </row>
    <row r="369" spans="6:11" ht="12.75" customHeight="1" x14ac:dyDescent="0.25">
      <c r="F369" s="92"/>
      <c r="G369" s="92"/>
      <c r="H369" s="92"/>
      <c r="I369" s="92"/>
      <c r="J369" s="93"/>
      <c r="K369" s="113"/>
    </row>
    <row r="370" spans="6:11" ht="12.75" customHeight="1" x14ac:dyDescent="0.25">
      <c r="F370" s="92"/>
      <c r="G370" s="92"/>
      <c r="H370" s="92"/>
      <c r="I370" s="92"/>
      <c r="J370" s="93"/>
      <c r="K370" s="113"/>
    </row>
    <row r="371" spans="6:11" ht="12.75" customHeight="1" x14ac:dyDescent="0.25">
      <c r="F371" s="92"/>
      <c r="G371" s="92"/>
      <c r="H371" s="92"/>
      <c r="I371" s="92"/>
      <c r="J371" s="93"/>
      <c r="K371" s="113"/>
    </row>
    <row r="372" spans="6:11" ht="12.75" customHeight="1" x14ac:dyDescent="0.25">
      <c r="F372" s="92"/>
      <c r="G372" s="92"/>
      <c r="H372" s="92"/>
      <c r="I372" s="92"/>
      <c r="J372" s="93"/>
      <c r="K372" s="113"/>
    </row>
    <row r="373" spans="6:11" ht="12.75" customHeight="1" x14ac:dyDescent="0.25">
      <c r="F373" s="92"/>
      <c r="G373" s="92"/>
      <c r="H373" s="92"/>
      <c r="I373" s="92"/>
      <c r="J373" s="93"/>
      <c r="K373" s="113"/>
    </row>
    <row r="374" spans="6:11" ht="12.75" customHeight="1" x14ac:dyDescent="0.25">
      <c r="F374" s="92"/>
      <c r="G374" s="92"/>
      <c r="H374" s="92"/>
      <c r="I374" s="92"/>
      <c r="J374" s="93"/>
      <c r="K374" s="113"/>
    </row>
    <row r="375" spans="6:11" ht="12.75" customHeight="1" x14ac:dyDescent="0.25">
      <c r="F375" s="92"/>
      <c r="G375" s="92"/>
      <c r="H375" s="92"/>
      <c r="I375" s="92"/>
      <c r="J375" s="93"/>
      <c r="K375" s="113"/>
    </row>
    <row r="376" spans="6:11" ht="12.75" customHeight="1" x14ac:dyDescent="0.25">
      <c r="F376" s="92"/>
      <c r="G376" s="92"/>
      <c r="H376" s="92"/>
      <c r="I376" s="92"/>
      <c r="J376" s="93"/>
      <c r="K376" s="113"/>
    </row>
    <row r="377" spans="6:11" ht="12.75" customHeight="1" x14ac:dyDescent="0.25">
      <c r="F377" s="92"/>
      <c r="G377" s="92"/>
      <c r="H377" s="92"/>
      <c r="I377" s="92"/>
      <c r="J377" s="93"/>
      <c r="K377" s="113"/>
    </row>
    <row r="378" spans="6:11" ht="12.75" customHeight="1" x14ac:dyDescent="0.25">
      <c r="F378" s="92"/>
      <c r="G378" s="92"/>
      <c r="H378" s="92"/>
      <c r="I378" s="92"/>
      <c r="J378" s="93"/>
      <c r="K378" s="113"/>
    </row>
    <row r="379" spans="6:11" ht="12.75" customHeight="1" x14ac:dyDescent="0.25">
      <c r="F379" s="92"/>
      <c r="G379" s="92"/>
      <c r="H379" s="92"/>
      <c r="I379" s="92"/>
      <c r="J379" s="93"/>
      <c r="K379" s="113"/>
    </row>
    <row r="380" spans="6:11" ht="12.75" customHeight="1" x14ac:dyDescent="0.25">
      <c r="F380" s="92"/>
      <c r="G380" s="92"/>
      <c r="H380" s="92"/>
      <c r="I380" s="92"/>
      <c r="J380" s="93"/>
      <c r="K380" s="113"/>
    </row>
    <row r="381" spans="6:11" ht="12.75" customHeight="1" x14ac:dyDescent="0.25">
      <c r="F381" s="92"/>
      <c r="G381" s="92"/>
      <c r="H381" s="92"/>
      <c r="I381" s="92"/>
      <c r="J381" s="93"/>
      <c r="K381" s="113"/>
    </row>
    <row r="382" spans="6:11" ht="12.75" customHeight="1" x14ac:dyDescent="0.25">
      <c r="F382" s="92"/>
      <c r="G382" s="92"/>
      <c r="H382" s="92"/>
      <c r="I382" s="92"/>
      <c r="J382" s="93"/>
      <c r="K382" s="113"/>
    </row>
    <row r="383" spans="6:11" ht="12.75" customHeight="1" x14ac:dyDescent="0.25">
      <c r="F383" s="92"/>
      <c r="G383" s="92"/>
      <c r="H383" s="92"/>
      <c r="I383" s="92"/>
      <c r="J383" s="93"/>
      <c r="K383" s="113"/>
    </row>
    <row r="384" spans="6:11" ht="12.75" customHeight="1" x14ac:dyDescent="0.25">
      <c r="F384" s="92"/>
      <c r="G384" s="92"/>
      <c r="H384" s="92"/>
      <c r="I384" s="92"/>
      <c r="J384" s="93"/>
      <c r="K384" s="113"/>
    </row>
    <row r="385" spans="6:11" ht="12.75" customHeight="1" x14ac:dyDescent="0.25">
      <c r="F385" s="92"/>
      <c r="G385" s="92"/>
      <c r="H385" s="92"/>
      <c r="I385" s="92"/>
      <c r="J385" s="93"/>
      <c r="K385" s="113"/>
    </row>
    <row r="386" spans="6:11" ht="12.75" customHeight="1" x14ac:dyDescent="0.25">
      <c r="F386" s="92"/>
      <c r="G386" s="92"/>
      <c r="H386" s="92"/>
      <c r="I386" s="92"/>
      <c r="J386" s="93"/>
      <c r="K386" s="113"/>
    </row>
    <row r="387" spans="6:11" ht="12.75" customHeight="1" x14ac:dyDescent="0.25">
      <c r="F387" s="92"/>
      <c r="G387" s="92"/>
      <c r="H387" s="92"/>
      <c r="I387" s="92"/>
      <c r="J387" s="93"/>
      <c r="K387" s="113"/>
    </row>
    <row r="388" spans="6:11" ht="12.75" customHeight="1" x14ac:dyDescent="0.25">
      <c r="F388" s="92"/>
      <c r="G388" s="92"/>
      <c r="H388" s="92"/>
      <c r="I388" s="92"/>
      <c r="J388" s="93"/>
      <c r="K388" s="113"/>
    </row>
    <row r="389" spans="6:11" ht="12.75" customHeight="1" x14ac:dyDescent="0.25">
      <c r="F389" s="92"/>
      <c r="G389" s="92"/>
      <c r="H389" s="92"/>
      <c r="I389" s="92"/>
      <c r="J389" s="93"/>
      <c r="K389" s="113"/>
    </row>
    <row r="390" spans="6:11" ht="12.75" customHeight="1" x14ac:dyDescent="0.25">
      <c r="F390" s="92"/>
      <c r="G390" s="92"/>
      <c r="H390" s="92"/>
      <c r="I390" s="92"/>
      <c r="J390" s="93"/>
      <c r="K390" s="113"/>
    </row>
    <row r="391" spans="6:11" ht="12.75" customHeight="1" x14ac:dyDescent="0.25">
      <c r="F391" s="92"/>
      <c r="G391" s="92"/>
      <c r="H391" s="92"/>
      <c r="I391" s="92"/>
      <c r="J391" s="93"/>
      <c r="K391" s="113"/>
    </row>
    <row r="392" spans="6:11" ht="12.75" customHeight="1" x14ac:dyDescent="0.25">
      <c r="F392" s="92"/>
      <c r="G392" s="92"/>
      <c r="H392" s="92"/>
      <c r="I392" s="92"/>
      <c r="J392" s="93"/>
      <c r="K392" s="113"/>
    </row>
    <row r="393" spans="6:11" ht="12.75" customHeight="1" x14ac:dyDescent="0.25">
      <c r="F393" s="92"/>
      <c r="G393" s="92"/>
      <c r="H393" s="92"/>
      <c r="I393" s="92"/>
      <c r="J393" s="93"/>
      <c r="K393" s="113"/>
    </row>
    <row r="394" spans="6:11" ht="12.75" customHeight="1" x14ac:dyDescent="0.25">
      <c r="F394" s="92"/>
      <c r="G394" s="92"/>
      <c r="H394" s="92"/>
      <c r="I394" s="92"/>
      <c r="J394" s="93"/>
      <c r="K394" s="113"/>
    </row>
    <row r="395" spans="6:11" ht="12.75" customHeight="1" x14ac:dyDescent="0.25">
      <c r="F395" s="92"/>
      <c r="G395" s="92"/>
      <c r="H395" s="92"/>
      <c r="I395" s="92"/>
      <c r="J395" s="93"/>
      <c r="K395" s="113"/>
    </row>
    <row r="396" spans="6:11" ht="12.75" customHeight="1" x14ac:dyDescent="0.25">
      <c r="F396" s="92"/>
      <c r="G396" s="92"/>
      <c r="H396" s="92"/>
      <c r="I396" s="92"/>
      <c r="J396" s="93"/>
      <c r="K396" s="113"/>
    </row>
    <row r="397" spans="6:11" ht="12.75" customHeight="1" x14ac:dyDescent="0.25">
      <c r="F397" s="92"/>
      <c r="G397" s="92"/>
      <c r="H397" s="92"/>
      <c r="I397" s="92"/>
      <c r="J397" s="93"/>
      <c r="K397" s="113"/>
    </row>
    <row r="398" spans="6:11" ht="12.75" customHeight="1" x14ac:dyDescent="0.25">
      <c r="F398" s="92"/>
      <c r="G398" s="92"/>
      <c r="H398" s="92"/>
      <c r="I398" s="92"/>
      <c r="J398" s="93"/>
      <c r="K398" s="113"/>
    </row>
    <row r="399" spans="6:11" ht="12.75" customHeight="1" x14ac:dyDescent="0.25">
      <c r="F399" s="92"/>
      <c r="G399" s="92"/>
      <c r="H399" s="92"/>
      <c r="I399" s="92"/>
      <c r="J399" s="93"/>
      <c r="K399" s="113"/>
    </row>
    <row r="400" spans="6:11" ht="12.75" customHeight="1" x14ac:dyDescent="0.25">
      <c r="F400" s="92"/>
      <c r="G400" s="92"/>
      <c r="H400" s="92"/>
      <c r="I400" s="92"/>
      <c r="J400" s="93"/>
      <c r="K400" s="113"/>
    </row>
    <row r="401" spans="6:11" ht="12.75" customHeight="1" x14ac:dyDescent="0.25">
      <c r="F401" s="92"/>
      <c r="G401" s="92"/>
      <c r="H401" s="92"/>
      <c r="I401" s="92"/>
      <c r="J401" s="93"/>
      <c r="K401" s="113"/>
    </row>
    <row r="402" spans="6:11" ht="12.75" customHeight="1" x14ac:dyDescent="0.25">
      <c r="F402" s="92"/>
      <c r="G402" s="92"/>
      <c r="H402" s="92"/>
      <c r="I402" s="92"/>
      <c r="J402" s="93"/>
      <c r="K402" s="113"/>
    </row>
    <row r="403" spans="6:11" ht="12.75" customHeight="1" x14ac:dyDescent="0.25">
      <c r="F403" s="92"/>
      <c r="G403" s="92"/>
      <c r="H403" s="92"/>
      <c r="I403" s="92"/>
      <c r="J403" s="93"/>
      <c r="K403" s="113"/>
    </row>
    <row r="404" spans="6:11" ht="12.75" customHeight="1" x14ac:dyDescent="0.25">
      <c r="F404" s="92"/>
      <c r="G404" s="92"/>
      <c r="H404" s="92"/>
      <c r="I404" s="92"/>
      <c r="J404" s="93"/>
      <c r="K404" s="113"/>
    </row>
    <row r="405" spans="6:11" ht="12.75" customHeight="1" x14ac:dyDescent="0.25">
      <c r="F405" s="92"/>
      <c r="G405" s="92"/>
      <c r="H405" s="92"/>
      <c r="I405" s="92"/>
      <c r="J405" s="93"/>
      <c r="K405" s="113"/>
    </row>
    <row r="406" spans="6:11" ht="12.75" customHeight="1" x14ac:dyDescent="0.25">
      <c r="F406" s="92"/>
      <c r="G406" s="92"/>
      <c r="H406" s="92"/>
      <c r="I406" s="92"/>
      <c r="J406" s="93"/>
      <c r="K406" s="113"/>
    </row>
    <row r="407" spans="6:11" ht="12.75" customHeight="1" x14ac:dyDescent="0.25">
      <c r="F407" s="92"/>
      <c r="G407" s="92"/>
      <c r="H407" s="92"/>
      <c r="I407" s="92"/>
      <c r="J407" s="93"/>
      <c r="K407" s="113"/>
    </row>
    <row r="408" spans="6:11" ht="12.75" customHeight="1" x14ac:dyDescent="0.25">
      <c r="F408" s="92"/>
      <c r="G408" s="92"/>
      <c r="H408" s="92"/>
      <c r="I408" s="92"/>
      <c r="J408" s="93"/>
      <c r="K408" s="113"/>
    </row>
    <row r="409" spans="6:11" ht="12.75" customHeight="1" x14ac:dyDescent="0.25">
      <c r="F409" s="92"/>
      <c r="G409" s="92"/>
      <c r="H409" s="92"/>
      <c r="I409" s="92"/>
      <c r="J409" s="93"/>
      <c r="K409" s="113"/>
    </row>
    <row r="410" spans="6:11" ht="12.75" customHeight="1" x14ac:dyDescent="0.25">
      <c r="F410" s="92"/>
      <c r="G410" s="92"/>
      <c r="H410" s="92"/>
      <c r="I410" s="92"/>
      <c r="J410" s="93"/>
      <c r="K410" s="113"/>
    </row>
    <row r="411" spans="6:11" ht="12.75" customHeight="1" x14ac:dyDescent="0.25">
      <c r="F411" s="92"/>
      <c r="G411" s="92"/>
      <c r="H411" s="92"/>
      <c r="I411" s="92"/>
      <c r="J411" s="93"/>
      <c r="K411" s="113"/>
    </row>
    <row r="412" spans="6:11" ht="12.75" customHeight="1" x14ac:dyDescent="0.25">
      <c r="F412" s="92"/>
      <c r="G412" s="92"/>
      <c r="H412" s="92"/>
      <c r="I412" s="92"/>
      <c r="J412" s="93"/>
      <c r="K412" s="113"/>
    </row>
    <row r="413" spans="6:11" ht="12.75" customHeight="1" x14ac:dyDescent="0.25">
      <c r="F413" s="92"/>
      <c r="G413" s="92"/>
      <c r="H413" s="92"/>
      <c r="I413" s="92"/>
      <c r="J413" s="93"/>
      <c r="K413" s="113"/>
    </row>
    <row r="414" spans="6:11" ht="12.75" customHeight="1" x14ac:dyDescent="0.25">
      <c r="F414" s="92"/>
      <c r="G414" s="92"/>
      <c r="H414" s="92"/>
      <c r="I414" s="92"/>
      <c r="J414" s="93"/>
      <c r="K414" s="113"/>
    </row>
    <row r="415" spans="6:11" ht="12.75" customHeight="1" x14ac:dyDescent="0.25">
      <c r="F415" s="92"/>
      <c r="G415" s="92"/>
      <c r="H415" s="92"/>
      <c r="I415" s="92"/>
      <c r="J415" s="93"/>
      <c r="K415" s="113"/>
    </row>
    <row r="416" spans="6:11" ht="12.75" customHeight="1" x14ac:dyDescent="0.25">
      <c r="F416" s="92"/>
      <c r="G416" s="92"/>
      <c r="H416" s="92"/>
      <c r="I416" s="92"/>
      <c r="J416" s="93"/>
      <c r="K416" s="113"/>
    </row>
    <row r="417" spans="6:11" ht="12.75" customHeight="1" x14ac:dyDescent="0.25">
      <c r="F417" s="92"/>
      <c r="G417" s="92"/>
      <c r="H417" s="92"/>
      <c r="I417" s="92"/>
      <c r="J417" s="93"/>
      <c r="K417" s="113"/>
    </row>
    <row r="418" spans="6:11" ht="12.75" customHeight="1" x14ac:dyDescent="0.25">
      <c r="F418" s="92"/>
      <c r="G418" s="92"/>
      <c r="H418" s="92"/>
      <c r="I418" s="92"/>
      <c r="J418" s="93"/>
      <c r="K418" s="113"/>
    </row>
    <row r="419" spans="6:11" ht="12.75" customHeight="1" x14ac:dyDescent="0.25">
      <c r="F419" s="92"/>
      <c r="G419" s="92"/>
      <c r="H419" s="92"/>
      <c r="I419" s="92"/>
      <c r="J419" s="93"/>
      <c r="K419" s="113"/>
    </row>
    <row r="420" spans="6:11" ht="12.75" customHeight="1" x14ac:dyDescent="0.25">
      <c r="F420" s="92"/>
      <c r="G420" s="92"/>
      <c r="H420" s="92"/>
      <c r="I420" s="92"/>
      <c r="J420" s="93"/>
      <c r="K420" s="113"/>
    </row>
    <row r="421" spans="6:11" ht="12.75" customHeight="1" x14ac:dyDescent="0.25">
      <c r="F421" s="92"/>
      <c r="G421" s="92"/>
      <c r="H421" s="92"/>
      <c r="I421" s="92"/>
      <c r="J421" s="93"/>
      <c r="K421" s="113"/>
    </row>
    <row r="422" spans="6:11" ht="12.75" customHeight="1" x14ac:dyDescent="0.25">
      <c r="F422" s="92"/>
      <c r="G422" s="92"/>
      <c r="H422" s="92"/>
      <c r="I422" s="92"/>
      <c r="J422" s="93"/>
      <c r="K422" s="113"/>
    </row>
    <row r="423" spans="6:11" ht="12.75" customHeight="1" x14ac:dyDescent="0.25">
      <c r="F423" s="92"/>
      <c r="G423" s="92"/>
      <c r="H423" s="92"/>
      <c r="I423" s="92"/>
      <c r="J423" s="93"/>
      <c r="K423" s="113"/>
    </row>
    <row r="424" spans="6:11" ht="12.75" customHeight="1" x14ac:dyDescent="0.25">
      <c r="F424" s="92"/>
      <c r="G424" s="92"/>
      <c r="H424" s="92"/>
      <c r="I424" s="92"/>
      <c r="J424" s="93"/>
      <c r="K424" s="113"/>
    </row>
    <row r="425" spans="6:11" ht="12.75" customHeight="1" x14ac:dyDescent="0.25">
      <c r="F425" s="92"/>
      <c r="G425" s="92"/>
      <c r="H425" s="92"/>
      <c r="I425" s="92"/>
      <c r="J425" s="93"/>
      <c r="K425" s="113"/>
    </row>
    <row r="426" spans="6:11" ht="12.75" customHeight="1" x14ac:dyDescent="0.25">
      <c r="F426" s="92"/>
      <c r="G426" s="92"/>
      <c r="H426" s="92"/>
      <c r="I426" s="92"/>
      <c r="J426" s="93"/>
      <c r="K426" s="113"/>
    </row>
    <row r="427" spans="6:11" ht="12.75" customHeight="1" x14ac:dyDescent="0.25">
      <c r="F427" s="92"/>
      <c r="G427" s="92"/>
      <c r="H427" s="92"/>
      <c r="I427" s="92"/>
      <c r="J427" s="93"/>
      <c r="K427" s="113"/>
    </row>
    <row r="428" spans="6:11" ht="12.75" customHeight="1" x14ac:dyDescent="0.25">
      <c r="F428" s="92"/>
      <c r="G428" s="92"/>
      <c r="H428" s="92"/>
      <c r="I428" s="92"/>
      <c r="J428" s="93"/>
      <c r="K428" s="113"/>
    </row>
    <row r="429" spans="6:11" ht="12.75" customHeight="1" x14ac:dyDescent="0.25">
      <c r="F429" s="92"/>
      <c r="G429" s="92"/>
      <c r="H429" s="92"/>
      <c r="I429" s="92"/>
      <c r="J429" s="93"/>
      <c r="K429" s="113"/>
    </row>
    <row r="430" spans="6:11" ht="12.75" customHeight="1" x14ac:dyDescent="0.25">
      <c r="F430" s="92"/>
      <c r="G430" s="92"/>
      <c r="H430" s="92"/>
      <c r="I430" s="92"/>
      <c r="J430" s="93"/>
      <c r="K430" s="113"/>
    </row>
    <row r="431" spans="6:11" ht="12.75" customHeight="1" x14ac:dyDescent="0.25">
      <c r="F431" s="92"/>
      <c r="G431" s="92"/>
      <c r="H431" s="92"/>
      <c r="I431" s="92"/>
      <c r="J431" s="93"/>
      <c r="K431" s="113"/>
    </row>
    <row r="432" spans="6:11" ht="12.75" customHeight="1" x14ac:dyDescent="0.25">
      <c r="F432" s="92"/>
      <c r="G432" s="92"/>
      <c r="H432" s="92"/>
      <c r="I432" s="92"/>
      <c r="J432" s="93"/>
      <c r="K432" s="113"/>
    </row>
    <row r="433" spans="6:11" ht="12.75" customHeight="1" x14ac:dyDescent="0.25">
      <c r="F433" s="92"/>
      <c r="G433" s="92"/>
      <c r="H433" s="92"/>
      <c r="I433" s="92"/>
      <c r="J433" s="93"/>
      <c r="K433" s="113"/>
    </row>
    <row r="434" spans="6:11" ht="12.75" customHeight="1" x14ac:dyDescent="0.25">
      <c r="F434" s="92"/>
      <c r="G434" s="92"/>
      <c r="H434" s="92"/>
      <c r="I434" s="92"/>
      <c r="J434" s="93"/>
      <c r="K434" s="113"/>
    </row>
    <row r="435" spans="6:11" ht="12.75" customHeight="1" x14ac:dyDescent="0.25">
      <c r="F435" s="92"/>
      <c r="G435" s="92"/>
      <c r="H435" s="92"/>
      <c r="I435" s="92"/>
      <c r="J435" s="93"/>
      <c r="K435" s="113"/>
    </row>
    <row r="436" spans="6:11" ht="12.75" customHeight="1" x14ac:dyDescent="0.25">
      <c r="F436" s="92"/>
      <c r="G436" s="92"/>
      <c r="H436" s="92"/>
      <c r="I436" s="92"/>
      <c r="J436" s="93"/>
      <c r="K436" s="113"/>
    </row>
    <row r="437" spans="6:11" ht="12.75" customHeight="1" x14ac:dyDescent="0.25">
      <c r="F437" s="92"/>
      <c r="G437" s="92"/>
      <c r="H437" s="92"/>
      <c r="I437" s="92"/>
      <c r="J437" s="93"/>
      <c r="K437" s="113"/>
    </row>
    <row r="438" spans="6:11" ht="12.75" customHeight="1" x14ac:dyDescent="0.25">
      <c r="F438" s="92"/>
      <c r="G438" s="92"/>
      <c r="H438" s="92"/>
      <c r="I438" s="92"/>
      <c r="J438" s="93"/>
      <c r="K438" s="113"/>
    </row>
    <row r="439" spans="6:11" ht="12.75" customHeight="1" x14ac:dyDescent="0.25">
      <c r="F439" s="92"/>
      <c r="G439" s="92"/>
      <c r="H439" s="92"/>
      <c r="I439" s="92"/>
      <c r="J439" s="93"/>
      <c r="K439" s="113"/>
    </row>
    <row r="440" spans="6:11" ht="12.75" customHeight="1" x14ac:dyDescent="0.25">
      <c r="F440" s="92"/>
      <c r="G440" s="92"/>
      <c r="H440" s="92"/>
      <c r="I440" s="92"/>
      <c r="J440" s="93"/>
      <c r="K440" s="113"/>
    </row>
    <row r="441" spans="6:11" ht="12.75" customHeight="1" x14ac:dyDescent="0.25">
      <c r="F441" s="92"/>
      <c r="G441" s="92"/>
      <c r="H441" s="92"/>
      <c r="I441" s="92"/>
      <c r="J441" s="93"/>
      <c r="K441" s="113"/>
    </row>
    <row r="442" spans="6:11" ht="12.75" customHeight="1" x14ac:dyDescent="0.25">
      <c r="F442" s="92"/>
      <c r="G442" s="92"/>
      <c r="H442" s="92"/>
      <c r="I442" s="92"/>
      <c r="J442" s="93"/>
      <c r="K442" s="113"/>
    </row>
    <row r="443" spans="6:11" ht="12.75" customHeight="1" x14ac:dyDescent="0.25">
      <c r="F443" s="92"/>
      <c r="G443" s="92"/>
      <c r="H443" s="92"/>
      <c r="I443" s="92"/>
      <c r="J443" s="93"/>
      <c r="K443" s="113"/>
    </row>
    <row r="444" spans="6:11" ht="12.75" customHeight="1" x14ac:dyDescent="0.25">
      <c r="F444" s="92"/>
      <c r="G444" s="92"/>
      <c r="H444" s="92"/>
      <c r="I444" s="92"/>
      <c r="J444" s="93"/>
      <c r="K444" s="113"/>
    </row>
    <row r="445" spans="6:11" ht="12.75" customHeight="1" x14ac:dyDescent="0.25">
      <c r="F445" s="92"/>
      <c r="G445" s="92"/>
      <c r="H445" s="92"/>
      <c r="I445" s="92"/>
      <c r="J445" s="93"/>
      <c r="K445" s="113"/>
    </row>
    <row r="446" spans="6:11" ht="12.75" customHeight="1" x14ac:dyDescent="0.25">
      <c r="F446" s="92"/>
      <c r="G446" s="92"/>
      <c r="H446" s="92"/>
      <c r="I446" s="92"/>
      <c r="J446" s="93"/>
      <c r="K446" s="113"/>
    </row>
    <row r="447" spans="6:11" ht="12.75" customHeight="1" x14ac:dyDescent="0.25">
      <c r="F447" s="92"/>
      <c r="G447" s="92"/>
      <c r="H447" s="92"/>
      <c r="I447" s="92"/>
      <c r="J447" s="93"/>
      <c r="K447" s="113"/>
    </row>
    <row r="448" spans="6:11" ht="12.75" customHeight="1" x14ac:dyDescent="0.25">
      <c r="F448" s="92"/>
      <c r="G448" s="92"/>
      <c r="H448" s="92"/>
      <c r="I448" s="92"/>
      <c r="J448" s="93"/>
      <c r="K448" s="113"/>
    </row>
    <row r="449" spans="6:11" ht="12.75" customHeight="1" x14ac:dyDescent="0.25">
      <c r="F449" s="92"/>
      <c r="G449" s="92"/>
      <c r="H449" s="92"/>
      <c r="I449" s="92"/>
      <c r="J449" s="93"/>
      <c r="K449" s="113"/>
    </row>
    <row r="450" spans="6:11" ht="12.75" customHeight="1" x14ac:dyDescent="0.25">
      <c r="F450" s="92"/>
      <c r="G450" s="92"/>
      <c r="H450" s="92"/>
      <c r="I450" s="92"/>
      <c r="J450" s="93"/>
      <c r="K450" s="113"/>
    </row>
    <row r="451" spans="6:11" ht="12.75" customHeight="1" x14ac:dyDescent="0.25">
      <c r="F451" s="92"/>
      <c r="G451" s="92"/>
      <c r="H451" s="92"/>
      <c r="I451" s="92"/>
      <c r="J451" s="93"/>
      <c r="K451" s="113"/>
    </row>
    <row r="452" spans="6:11" ht="12.75" customHeight="1" x14ac:dyDescent="0.25">
      <c r="F452" s="92"/>
      <c r="G452" s="92"/>
      <c r="H452" s="92"/>
      <c r="I452" s="92"/>
      <c r="J452" s="93"/>
      <c r="K452" s="113"/>
    </row>
    <row r="453" spans="6:11" ht="12.75" customHeight="1" x14ac:dyDescent="0.25">
      <c r="F453" s="92"/>
      <c r="G453" s="92"/>
      <c r="H453" s="92"/>
      <c r="I453" s="92"/>
      <c r="J453" s="93"/>
      <c r="K453" s="113"/>
    </row>
    <row r="454" spans="6:11" ht="12.75" customHeight="1" x14ac:dyDescent="0.25">
      <c r="F454" s="92"/>
      <c r="G454" s="92"/>
      <c r="H454" s="92"/>
      <c r="I454" s="92"/>
      <c r="J454" s="93"/>
      <c r="K454" s="113"/>
    </row>
    <row r="455" spans="6:11" ht="12.75" customHeight="1" x14ac:dyDescent="0.25">
      <c r="F455" s="92"/>
      <c r="G455" s="92"/>
      <c r="H455" s="92"/>
      <c r="I455" s="92"/>
      <c r="J455" s="93"/>
      <c r="K455" s="113"/>
    </row>
    <row r="456" spans="6:11" ht="12.75" customHeight="1" x14ac:dyDescent="0.25">
      <c r="F456" s="92"/>
      <c r="G456" s="92"/>
      <c r="H456" s="92"/>
      <c r="I456" s="92"/>
      <c r="J456" s="93"/>
      <c r="K456" s="113"/>
    </row>
    <row r="457" spans="6:11" ht="12.75" customHeight="1" x14ac:dyDescent="0.25">
      <c r="F457" s="92"/>
      <c r="G457" s="92"/>
      <c r="H457" s="92"/>
      <c r="I457" s="92"/>
      <c r="J457" s="93"/>
      <c r="K457" s="113"/>
    </row>
    <row r="458" spans="6:11" ht="12.75" customHeight="1" x14ac:dyDescent="0.25">
      <c r="F458" s="92"/>
      <c r="G458" s="92"/>
      <c r="H458" s="92"/>
      <c r="I458" s="92"/>
      <c r="J458" s="93"/>
      <c r="K458" s="113"/>
    </row>
    <row r="459" spans="6:11" ht="12.75" customHeight="1" x14ac:dyDescent="0.25">
      <c r="F459" s="92"/>
      <c r="G459" s="92"/>
      <c r="H459" s="92"/>
      <c r="I459" s="92"/>
      <c r="J459" s="93"/>
      <c r="K459" s="113"/>
    </row>
    <row r="460" spans="6:11" ht="12.75" customHeight="1" x14ac:dyDescent="0.25">
      <c r="F460" s="92"/>
      <c r="G460" s="92"/>
      <c r="H460" s="92"/>
      <c r="I460" s="92"/>
      <c r="J460" s="93"/>
      <c r="K460" s="113"/>
    </row>
    <row r="461" spans="6:11" ht="12.75" customHeight="1" x14ac:dyDescent="0.25">
      <c r="F461" s="92"/>
      <c r="G461" s="92"/>
      <c r="H461" s="92"/>
      <c r="I461" s="92"/>
      <c r="J461" s="93"/>
      <c r="K461" s="113"/>
    </row>
    <row r="462" spans="6:11" ht="12.75" customHeight="1" x14ac:dyDescent="0.25">
      <c r="F462" s="92"/>
      <c r="G462" s="92"/>
      <c r="H462" s="92"/>
      <c r="I462" s="92"/>
      <c r="J462" s="93"/>
      <c r="K462" s="113"/>
    </row>
    <row r="463" spans="6:11" ht="12.75" customHeight="1" x14ac:dyDescent="0.25">
      <c r="F463" s="92"/>
      <c r="G463" s="92"/>
      <c r="H463" s="92"/>
      <c r="I463" s="92"/>
      <c r="J463" s="93"/>
      <c r="K463" s="113"/>
    </row>
    <row r="464" spans="6:11" ht="12.75" customHeight="1" x14ac:dyDescent="0.25">
      <c r="F464" s="92"/>
      <c r="G464" s="92"/>
      <c r="H464" s="92"/>
      <c r="I464" s="92"/>
      <c r="J464" s="93"/>
      <c r="K464" s="113"/>
    </row>
    <row r="465" spans="6:11" ht="12.75" customHeight="1" x14ac:dyDescent="0.25">
      <c r="F465" s="92"/>
      <c r="G465" s="92"/>
      <c r="H465" s="92"/>
      <c r="I465" s="92"/>
      <c r="J465" s="93"/>
      <c r="K465" s="113"/>
    </row>
    <row r="466" spans="6:11" ht="12.75" customHeight="1" x14ac:dyDescent="0.25">
      <c r="F466" s="92"/>
      <c r="G466" s="92"/>
      <c r="H466" s="92"/>
      <c r="I466" s="92"/>
      <c r="J466" s="93"/>
      <c r="K466" s="113"/>
    </row>
    <row r="467" spans="6:11" ht="12.75" customHeight="1" x14ac:dyDescent="0.25">
      <c r="F467" s="92"/>
      <c r="G467" s="92"/>
      <c r="H467" s="92"/>
      <c r="I467" s="92"/>
      <c r="J467" s="93"/>
      <c r="K467" s="113"/>
    </row>
    <row r="468" spans="6:11" ht="12.75" customHeight="1" x14ac:dyDescent="0.25">
      <c r="F468" s="92"/>
      <c r="G468" s="92"/>
      <c r="H468" s="92"/>
      <c r="I468" s="92"/>
      <c r="J468" s="93"/>
      <c r="K468" s="113"/>
    </row>
    <row r="469" spans="6:11" ht="12.75" customHeight="1" x14ac:dyDescent="0.25">
      <c r="F469" s="92"/>
      <c r="G469" s="92"/>
      <c r="H469" s="92"/>
      <c r="I469" s="92"/>
      <c r="J469" s="93"/>
      <c r="K469" s="113"/>
    </row>
    <row r="470" spans="6:11" ht="12.75" customHeight="1" x14ac:dyDescent="0.25">
      <c r="F470" s="92"/>
      <c r="G470" s="92"/>
      <c r="H470" s="92"/>
      <c r="I470" s="92"/>
      <c r="J470" s="93"/>
      <c r="K470" s="113"/>
    </row>
    <row r="471" spans="6:11" ht="12.75" customHeight="1" x14ac:dyDescent="0.25">
      <c r="F471" s="92"/>
      <c r="G471" s="92"/>
      <c r="H471" s="92"/>
      <c r="I471" s="92"/>
      <c r="J471" s="93"/>
      <c r="K471" s="113"/>
    </row>
    <row r="472" spans="6:11" ht="12.75" customHeight="1" x14ac:dyDescent="0.25">
      <c r="F472" s="92"/>
      <c r="G472" s="92"/>
      <c r="H472" s="92"/>
      <c r="I472" s="92"/>
      <c r="J472" s="93"/>
      <c r="K472" s="113"/>
    </row>
    <row r="473" spans="6:11" ht="12.75" customHeight="1" x14ac:dyDescent="0.25">
      <c r="F473" s="92"/>
      <c r="G473" s="92"/>
      <c r="H473" s="92"/>
      <c r="I473" s="92"/>
      <c r="J473" s="93"/>
      <c r="K473" s="113"/>
    </row>
    <row r="474" spans="6:11" ht="12.75" customHeight="1" x14ac:dyDescent="0.25">
      <c r="F474" s="92"/>
      <c r="G474" s="92"/>
      <c r="H474" s="92"/>
      <c r="I474" s="92"/>
      <c r="J474" s="93"/>
      <c r="K474" s="113"/>
    </row>
    <row r="475" spans="6:11" ht="12.75" customHeight="1" x14ac:dyDescent="0.25">
      <c r="F475" s="92"/>
      <c r="G475" s="92"/>
      <c r="H475" s="92"/>
      <c r="I475" s="92"/>
      <c r="J475" s="93"/>
      <c r="K475" s="113"/>
    </row>
    <row r="476" spans="6:11" ht="12.75" customHeight="1" x14ac:dyDescent="0.25">
      <c r="F476" s="92"/>
      <c r="G476" s="92"/>
      <c r="H476" s="92"/>
      <c r="I476" s="92"/>
      <c r="J476" s="93"/>
      <c r="K476" s="113"/>
    </row>
    <row r="477" spans="6:11" ht="12.75" customHeight="1" x14ac:dyDescent="0.25">
      <c r="F477" s="92"/>
      <c r="G477" s="92"/>
      <c r="H477" s="92"/>
      <c r="I477" s="92"/>
      <c r="J477" s="93"/>
      <c r="K477" s="113"/>
    </row>
    <row r="478" spans="6:11" ht="12.75" customHeight="1" x14ac:dyDescent="0.25">
      <c r="F478" s="92"/>
      <c r="G478" s="92"/>
      <c r="H478" s="92"/>
      <c r="I478" s="92"/>
      <c r="J478" s="93"/>
      <c r="K478" s="113"/>
    </row>
    <row r="479" spans="6:11" ht="12.75" customHeight="1" x14ac:dyDescent="0.25">
      <c r="F479" s="92"/>
      <c r="G479" s="92"/>
      <c r="H479" s="92"/>
      <c r="I479" s="92"/>
      <c r="J479" s="93"/>
      <c r="K479" s="113"/>
    </row>
    <row r="480" spans="6:11" ht="12.75" customHeight="1" x14ac:dyDescent="0.25">
      <c r="F480" s="92"/>
      <c r="G480" s="92"/>
      <c r="H480" s="92"/>
      <c r="I480" s="92"/>
      <c r="J480" s="93"/>
      <c r="K480" s="113"/>
    </row>
    <row r="481" spans="6:11" ht="12.75" customHeight="1" x14ac:dyDescent="0.25">
      <c r="F481" s="92"/>
      <c r="G481" s="92"/>
      <c r="H481" s="92"/>
      <c r="I481" s="92"/>
      <c r="J481" s="93"/>
      <c r="K481" s="113"/>
    </row>
    <row r="482" spans="6:11" ht="12.75" customHeight="1" x14ac:dyDescent="0.25">
      <c r="F482" s="92"/>
      <c r="G482" s="92"/>
      <c r="H482" s="92"/>
      <c r="I482" s="92"/>
      <c r="J482" s="93"/>
      <c r="K482" s="113"/>
    </row>
    <row r="483" spans="6:11" ht="12.75" customHeight="1" x14ac:dyDescent="0.25">
      <c r="F483" s="92"/>
      <c r="G483" s="92"/>
      <c r="H483" s="92"/>
      <c r="I483" s="92"/>
      <c r="J483" s="93"/>
      <c r="K483" s="113"/>
    </row>
    <row r="484" spans="6:11" ht="12.75" customHeight="1" x14ac:dyDescent="0.25">
      <c r="F484" s="92"/>
      <c r="G484" s="92"/>
      <c r="H484" s="92"/>
      <c r="I484" s="92"/>
      <c r="J484" s="93"/>
      <c r="K484" s="113"/>
    </row>
    <row r="485" spans="6:11" ht="12.75" customHeight="1" x14ac:dyDescent="0.25">
      <c r="F485" s="92"/>
      <c r="G485" s="92"/>
      <c r="H485" s="92"/>
      <c r="I485" s="92"/>
      <c r="J485" s="93"/>
      <c r="K485" s="113"/>
    </row>
    <row r="486" spans="6:11" ht="12.75" customHeight="1" x14ac:dyDescent="0.25">
      <c r="F486" s="92"/>
      <c r="G486" s="92"/>
      <c r="H486" s="92"/>
      <c r="I486" s="92"/>
      <c r="J486" s="93"/>
      <c r="K486" s="113"/>
    </row>
    <row r="487" spans="6:11" ht="12.75" customHeight="1" x14ac:dyDescent="0.25">
      <c r="F487" s="92"/>
      <c r="G487" s="92"/>
      <c r="H487" s="92"/>
      <c r="I487" s="92"/>
      <c r="J487" s="93"/>
      <c r="K487" s="113"/>
    </row>
    <row r="488" spans="6:11" ht="12.75" customHeight="1" x14ac:dyDescent="0.25">
      <c r="F488" s="92"/>
      <c r="G488" s="92"/>
      <c r="H488" s="92"/>
      <c r="I488" s="92"/>
      <c r="J488" s="93"/>
      <c r="K488" s="113"/>
    </row>
    <row r="489" spans="6:11" ht="12.75" customHeight="1" x14ac:dyDescent="0.25">
      <c r="F489" s="92"/>
      <c r="G489" s="92"/>
      <c r="H489" s="92"/>
      <c r="I489" s="92"/>
      <c r="J489" s="93"/>
      <c r="K489" s="113"/>
    </row>
    <row r="490" spans="6:11" ht="12.75" customHeight="1" x14ac:dyDescent="0.25">
      <c r="F490" s="92"/>
      <c r="G490" s="92"/>
      <c r="H490" s="92"/>
      <c r="I490" s="92"/>
      <c r="J490" s="93"/>
      <c r="K490" s="113"/>
    </row>
    <row r="491" spans="6:11" ht="12.75" customHeight="1" x14ac:dyDescent="0.25">
      <c r="F491" s="92"/>
      <c r="G491" s="92"/>
      <c r="H491" s="92"/>
      <c r="I491" s="92"/>
      <c r="J491" s="93"/>
      <c r="K491" s="113"/>
    </row>
    <row r="492" spans="6:11" ht="12.75" customHeight="1" x14ac:dyDescent="0.25">
      <c r="F492" s="92"/>
      <c r="G492" s="92"/>
      <c r="H492" s="92"/>
      <c r="I492" s="92"/>
      <c r="J492" s="93"/>
      <c r="K492" s="113"/>
    </row>
    <row r="493" spans="6:11" ht="12.75" customHeight="1" x14ac:dyDescent="0.25">
      <c r="F493" s="92"/>
      <c r="G493" s="92"/>
      <c r="H493" s="92"/>
      <c r="I493" s="92"/>
      <c r="J493" s="93"/>
      <c r="K493" s="113"/>
    </row>
    <row r="494" spans="6:11" ht="12.75" customHeight="1" x14ac:dyDescent="0.25">
      <c r="F494" s="92"/>
      <c r="G494" s="92"/>
      <c r="H494" s="92"/>
      <c r="I494" s="92"/>
      <c r="J494" s="93"/>
      <c r="K494" s="113"/>
    </row>
    <row r="495" spans="6:11" ht="12.75" customHeight="1" x14ac:dyDescent="0.25">
      <c r="F495" s="92"/>
      <c r="G495" s="92"/>
      <c r="H495" s="92"/>
      <c r="I495" s="92"/>
      <c r="J495" s="93"/>
      <c r="K495" s="113"/>
    </row>
    <row r="496" spans="6:11" ht="12.75" customHeight="1" x14ac:dyDescent="0.25">
      <c r="F496" s="92"/>
      <c r="G496" s="92"/>
      <c r="H496" s="92"/>
      <c r="I496" s="92"/>
      <c r="J496" s="93"/>
      <c r="K496" s="113"/>
    </row>
    <row r="497" spans="6:11" ht="12.75" customHeight="1" x14ac:dyDescent="0.25">
      <c r="F497" s="92"/>
      <c r="G497" s="92"/>
      <c r="H497" s="92"/>
      <c r="I497" s="92"/>
      <c r="J497" s="93"/>
      <c r="K497" s="113"/>
    </row>
    <row r="498" spans="6:11" ht="12.75" customHeight="1" x14ac:dyDescent="0.25">
      <c r="F498" s="92"/>
      <c r="G498" s="92"/>
      <c r="H498" s="92"/>
      <c r="I498" s="92"/>
      <c r="J498" s="93"/>
      <c r="K498" s="113"/>
    </row>
    <row r="499" spans="6:11" ht="12.75" customHeight="1" x14ac:dyDescent="0.25">
      <c r="F499" s="92"/>
      <c r="G499" s="92"/>
      <c r="H499" s="92"/>
      <c r="I499" s="92"/>
      <c r="J499" s="93"/>
      <c r="K499" s="113"/>
    </row>
    <row r="500" spans="6:11" ht="12.75" customHeight="1" x14ac:dyDescent="0.25">
      <c r="F500" s="92"/>
      <c r="G500" s="92"/>
      <c r="H500" s="92"/>
      <c r="I500" s="92"/>
      <c r="J500" s="93"/>
      <c r="K500" s="113"/>
    </row>
    <row r="501" spans="6:11" ht="12.75" customHeight="1" x14ac:dyDescent="0.25">
      <c r="F501" s="92"/>
      <c r="G501" s="92"/>
      <c r="H501" s="92"/>
      <c r="I501" s="92"/>
      <c r="J501" s="93"/>
      <c r="K501" s="113"/>
    </row>
    <row r="502" spans="6:11" ht="12.75" customHeight="1" x14ac:dyDescent="0.25">
      <c r="F502" s="92"/>
      <c r="G502" s="92"/>
      <c r="H502" s="92"/>
      <c r="I502" s="92"/>
      <c r="J502" s="93"/>
      <c r="K502" s="113"/>
    </row>
    <row r="503" spans="6:11" ht="12.75" customHeight="1" x14ac:dyDescent="0.25">
      <c r="F503" s="92"/>
      <c r="G503" s="92"/>
      <c r="H503" s="92"/>
      <c r="I503" s="92"/>
      <c r="J503" s="93"/>
      <c r="K503" s="113"/>
    </row>
    <row r="504" spans="6:11" ht="12.75" customHeight="1" x14ac:dyDescent="0.25">
      <c r="F504" s="92"/>
      <c r="G504" s="92"/>
      <c r="H504" s="92"/>
      <c r="I504" s="92"/>
      <c r="J504" s="93"/>
      <c r="K504" s="113"/>
    </row>
    <row r="505" spans="6:11" ht="12.75" customHeight="1" x14ac:dyDescent="0.25">
      <c r="F505" s="92"/>
      <c r="G505" s="92"/>
      <c r="H505" s="92"/>
      <c r="I505" s="92"/>
      <c r="J505" s="93"/>
      <c r="K505" s="113"/>
    </row>
    <row r="506" spans="6:11" ht="12.75" customHeight="1" x14ac:dyDescent="0.25">
      <c r="F506" s="92"/>
      <c r="G506" s="92"/>
      <c r="H506" s="92"/>
      <c r="I506" s="92"/>
      <c r="J506" s="93"/>
      <c r="K506" s="113"/>
    </row>
    <row r="507" spans="6:11" ht="12.75" customHeight="1" x14ac:dyDescent="0.25">
      <c r="F507" s="92"/>
      <c r="G507" s="92"/>
      <c r="H507" s="92"/>
      <c r="I507" s="92"/>
      <c r="J507" s="93"/>
      <c r="K507" s="113"/>
    </row>
    <row r="508" spans="6:11" ht="12.75" customHeight="1" x14ac:dyDescent="0.25">
      <c r="F508" s="92"/>
      <c r="G508" s="92"/>
      <c r="H508" s="92"/>
      <c r="I508" s="92"/>
      <c r="J508" s="93"/>
      <c r="K508" s="113"/>
    </row>
    <row r="509" spans="6:11" ht="12.75" customHeight="1" x14ac:dyDescent="0.25">
      <c r="F509" s="92"/>
      <c r="G509" s="92"/>
      <c r="H509" s="92"/>
      <c r="I509" s="92"/>
      <c r="J509" s="93"/>
      <c r="K509" s="113"/>
    </row>
    <row r="510" spans="6:11" ht="12.75" customHeight="1" x14ac:dyDescent="0.25">
      <c r="F510" s="92"/>
      <c r="G510" s="92"/>
      <c r="H510" s="92"/>
      <c r="I510" s="92"/>
      <c r="J510" s="93"/>
      <c r="K510" s="113"/>
    </row>
    <row r="511" spans="6:11" ht="12.75" customHeight="1" x14ac:dyDescent="0.25">
      <c r="F511" s="92"/>
      <c r="G511" s="92"/>
      <c r="H511" s="92"/>
      <c r="I511" s="92"/>
      <c r="J511" s="93"/>
      <c r="K511" s="113"/>
    </row>
    <row r="512" spans="6:11" ht="12.75" customHeight="1" x14ac:dyDescent="0.25">
      <c r="F512" s="92"/>
      <c r="G512" s="92"/>
      <c r="H512" s="92"/>
      <c r="I512" s="92"/>
      <c r="J512" s="93"/>
      <c r="K512" s="113"/>
    </row>
    <row r="513" spans="6:11" ht="12.75" customHeight="1" x14ac:dyDescent="0.25">
      <c r="F513" s="92"/>
      <c r="G513" s="92"/>
      <c r="H513" s="92"/>
      <c r="I513" s="92"/>
      <c r="J513" s="93"/>
      <c r="K513" s="113"/>
    </row>
    <row r="514" spans="6:11" ht="12.75" customHeight="1" x14ac:dyDescent="0.25">
      <c r="F514" s="92"/>
      <c r="G514" s="92"/>
      <c r="H514" s="92"/>
      <c r="I514" s="92"/>
      <c r="J514" s="93"/>
      <c r="K514" s="113"/>
    </row>
    <row r="515" spans="6:11" ht="12.75" customHeight="1" x14ac:dyDescent="0.25">
      <c r="F515" s="92"/>
      <c r="G515" s="92"/>
      <c r="H515" s="92"/>
      <c r="I515" s="92"/>
      <c r="J515" s="93"/>
      <c r="K515" s="113"/>
    </row>
    <row r="516" spans="6:11" ht="12.75" customHeight="1" x14ac:dyDescent="0.25">
      <c r="F516" s="92"/>
      <c r="G516" s="92"/>
      <c r="H516" s="92"/>
      <c r="I516" s="92"/>
      <c r="J516" s="93"/>
      <c r="K516" s="113"/>
    </row>
    <row r="517" spans="6:11" ht="12.75" customHeight="1" x14ac:dyDescent="0.25">
      <c r="F517" s="92"/>
      <c r="G517" s="92"/>
      <c r="H517" s="92"/>
      <c r="I517" s="92"/>
      <c r="J517" s="93"/>
      <c r="K517" s="113"/>
    </row>
    <row r="518" spans="6:11" ht="12.75" customHeight="1" x14ac:dyDescent="0.25">
      <c r="F518" s="92"/>
      <c r="G518" s="92"/>
      <c r="H518" s="92"/>
      <c r="I518" s="92"/>
      <c r="J518" s="93"/>
      <c r="K518" s="113"/>
    </row>
    <row r="519" spans="6:11" ht="12.75" customHeight="1" x14ac:dyDescent="0.25">
      <c r="F519" s="92"/>
      <c r="G519" s="92"/>
      <c r="H519" s="92"/>
      <c r="I519" s="92"/>
      <c r="J519" s="93"/>
      <c r="K519" s="113"/>
    </row>
    <row r="520" spans="6:11" ht="12.75" customHeight="1" x14ac:dyDescent="0.25">
      <c r="F520" s="92"/>
      <c r="G520" s="92"/>
      <c r="H520" s="92"/>
      <c r="I520" s="92"/>
      <c r="J520" s="93"/>
      <c r="K520" s="113"/>
    </row>
    <row r="521" spans="6:11" ht="12.75" customHeight="1" x14ac:dyDescent="0.25">
      <c r="F521" s="92"/>
      <c r="G521" s="92"/>
      <c r="H521" s="92"/>
      <c r="I521" s="92"/>
      <c r="J521" s="93"/>
      <c r="K521" s="113"/>
    </row>
    <row r="522" spans="6:11" ht="12.75" customHeight="1" x14ac:dyDescent="0.25">
      <c r="F522" s="92"/>
      <c r="G522" s="92"/>
      <c r="H522" s="92"/>
      <c r="I522" s="92"/>
      <c r="J522" s="93"/>
      <c r="K522" s="113"/>
    </row>
    <row r="523" spans="6:11" ht="12.75" customHeight="1" x14ac:dyDescent="0.25">
      <c r="F523" s="92"/>
      <c r="G523" s="92"/>
      <c r="H523" s="92"/>
      <c r="I523" s="92"/>
      <c r="J523" s="93"/>
      <c r="K523" s="113"/>
    </row>
    <row r="524" spans="6:11" ht="12.75" customHeight="1" x14ac:dyDescent="0.25">
      <c r="F524" s="92"/>
      <c r="G524" s="92"/>
      <c r="H524" s="92"/>
      <c r="I524" s="92"/>
      <c r="J524" s="93"/>
      <c r="K524" s="113"/>
    </row>
    <row r="525" spans="6:11" ht="12.75" customHeight="1" x14ac:dyDescent="0.25">
      <c r="F525" s="92"/>
      <c r="G525" s="92"/>
      <c r="H525" s="92"/>
      <c r="I525" s="92"/>
      <c r="J525" s="93"/>
      <c r="K525" s="113"/>
    </row>
    <row r="526" spans="6:11" ht="12.75" customHeight="1" x14ac:dyDescent="0.25">
      <c r="F526" s="92"/>
      <c r="G526" s="92"/>
      <c r="H526" s="92"/>
      <c r="I526" s="92"/>
      <c r="J526" s="93"/>
      <c r="K526" s="113"/>
    </row>
    <row r="527" spans="6:11" ht="12.75" customHeight="1" x14ac:dyDescent="0.25">
      <c r="F527" s="92"/>
      <c r="G527" s="92"/>
      <c r="H527" s="92"/>
      <c r="I527" s="92"/>
      <c r="J527" s="93"/>
      <c r="K527" s="113"/>
    </row>
    <row r="528" spans="6:11" ht="12.75" customHeight="1" x14ac:dyDescent="0.25">
      <c r="F528" s="92"/>
      <c r="G528" s="92"/>
      <c r="H528" s="92"/>
      <c r="I528" s="92"/>
      <c r="J528" s="93"/>
      <c r="K528" s="113"/>
    </row>
    <row r="529" spans="6:11" ht="12.75" customHeight="1" x14ac:dyDescent="0.25">
      <c r="F529" s="92"/>
      <c r="G529" s="92"/>
      <c r="H529" s="92"/>
      <c r="I529" s="92"/>
      <c r="J529" s="93"/>
      <c r="K529" s="113"/>
    </row>
    <row r="530" spans="6:11" ht="12.75" customHeight="1" x14ac:dyDescent="0.25">
      <c r="F530" s="92"/>
      <c r="G530" s="92"/>
      <c r="H530" s="92"/>
      <c r="I530" s="92"/>
      <c r="J530" s="93"/>
      <c r="K530" s="113"/>
    </row>
    <row r="531" spans="6:11" ht="12.75" customHeight="1" x14ac:dyDescent="0.25">
      <c r="F531" s="92"/>
      <c r="G531" s="92"/>
      <c r="H531" s="92"/>
      <c r="I531" s="92"/>
      <c r="J531" s="93"/>
      <c r="K531" s="113"/>
    </row>
    <row r="532" spans="6:11" ht="12.75" customHeight="1" x14ac:dyDescent="0.25">
      <c r="F532" s="92"/>
      <c r="G532" s="92"/>
      <c r="H532" s="92"/>
      <c r="I532" s="92"/>
      <c r="J532" s="93"/>
      <c r="K532" s="113"/>
    </row>
    <row r="533" spans="6:11" ht="12.75" customHeight="1" x14ac:dyDescent="0.25">
      <c r="F533" s="92"/>
      <c r="G533" s="92"/>
      <c r="H533" s="92"/>
      <c r="I533" s="92"/>
      <c r="J533" s="93"/>
      <c r="K533" s="113"/>
    </row>
    <row r="534" spans="6:11" ht="12.75" customHeight="1" x14ac:dyDescent="0.25">
      <c r="F534" s="92"/>
      <c r="G534" s="92"/>
      <c r="H534" s="92"/>
      <c r="I534" s="92"/>
      <c r="J534" s="93"/>
      <c r="K534" s="113"/>
    </row>
    <row r="535" spans="6:11" ht="12.75" customHeight="1" x14ac:dyDescent="0.25">
      <c r="F535" s="92"/>
      <c r="G535" s="92"/>
      <c r="H535" s="92"/>
      <c r="I535" s="92"/>
      <c r="J535" s="93"/>
      <c r="K535" s="113"/>
    </row>
    <row r="536" spans="6:11" ht="12.75" customHeight="1" x14ac:dyDescent="0.25">
      <c r="F536" s="92"/>
      <c r="G536" s="92"/>
      <c r="H536" s="92"/>
      <c r="I536" s="92"/>
      <c r="J536" s="93"/>
      <c r="K536" s="113"/>
    </row>
    <row r="537" spans="6:11" ht="12.75" customHeight="1" x14ac:dyDescent="0.25">
      <c r="F537" s="92"/>
      <c r="G537" s="92"/>
      <c r="H537" s="92"/>
      <c r="I537" s="92"/>
      <c r="J537" s="93"/>
      <c r="K537" s="113"/>
    </row>
    <row r="538" spans="6:11" ht="12.75" customHeight="1" x14ac:dyDescent="0.25">
      <c r="F538" s="92"/>
      <c r="G538" s="92"/>
      <c r="H538" s="92"/>
      <c r="I538" s="92"/>
      <c r="J538" s="93"/>
      <c r="K538" s="113"/>
    </row>
    <row r="539" spans="6:11" ht="12.75" customHeight="1" x14ac:dyDescent="0.25">
      <c r="F539" s="92"/>
      <c r="G539" s="92"/>
      <c r="H539" s="92"/>
      <c r="I539" s="92"/>
      <c r="J539" s="93"/>
      <c r="K539" s="113"/>
    </row>
    <row r="540" spans="6:11" ht="12.75" customHeight="1" x14ac:dyDescent="0.25">
      <c r="F540" s="92"/>
      <c r="G540" s="92"/>
      <c r="H540" s="92"/>
      <c r="I540" s="92"/>
      <c r="J540" s="93"/>
      <c r="K540" s="113"/>
    </row>
    <row r="541" spans="6:11" ht="12.75" customHeight="1" x14ac:dyDescent="0.25">
      <c r="F541" s="92"/>
      <c r="G541" s="92"/>
      <c r="H541" s="92"/>
      <c r="I541" s="92"/>
      <c r="J541" s="93"/>
      <c r="K541" s="113"/>
    </row>
    <row r="542" spans="6:11" ht="12.75" customHeight="1" x14ac:dyDescent="0.25">
      <c r="F542" s="92"/>
      <c r="G542" s="92"/>
      <c r="H542" s="92"/>
      <c r="I542" s="92"/>
      <c r="J542" s="93"/>
      <c r="K542" s="113"/>
    </row>
    <row r="543" spans="6:11" ht="12.75" customHeight="1" x14ac:dyDescent="0.25">
      <c r="F543" s="92"/>
      <c r="G543" s="92"/>
      <c r="H543" s="92"/>
      <c r="I543" s="92"/>
      <c r="J543" s="93"/>
      <c r="K543" s="113"/>
    </row>
    <row r="544" spans="6:11" ht="12.75" customHeight="1" x14ac:dyDescent="0.25">
      <c r="F544" s="92"/>
      <c r="G544" s="92"/>
      <c r="H544" s="92"/>
      <c r="I544" s="92"/>
      <c r="J544" s="93"/>
      <c r="K544" s="113"/>
    </row>
    <row r="545" spans="6:11" ht="12.75" customHeight="1" x14ac:dyDescent="0.25">
      <c r="F545" s="92"/>
      <c r="G545" s="92"/>
      <c r="H545" s="92"/>
      <c r="I545" s="92"/>
      <c r="J545" s="93"/>
      <c r="K545" s="113"/>
    </row>
    <row r="546" spans="6:11" ht="12.75" customHeight="1" x14ac:dyDescent="0.25">
      <c r="F546" s="92"/>
      <c r="G546" s="92"/>
      <c r="H546" s="92"/>
      <c r="I546" s="92"/>
      <c r="J546" s="93"/>
      <c r="K546" s="113"/>
    </row>
    <row r="547" spans="6:11" ht="12.75" customHeight="1" x14ac:dyDescent="0.25">
      <c r="F547" s="92"/>
      <c r="G547" s="92"/>
      <c r="H547" s="92"/>
      <c r="I547" s="92"/>
      <c r="J547" s="93"/>
      <c r="K547" s="113"/>
    </row>
    <row r="548" spans="6:11" ht="12.75" customHeight="1" x14ac:dyDescent="0.25">
      <c r="F548" s="92"/>
      <c r="G548" s="92"/>
      <c r="H548" s="92"/>
      <c r="I548" s="92"/>
      <c r="J548" s="93"/>
      <c r="K548" s="113"/>
    </row>
    <row r="549" spans="6:11" ht="12.75" customHeight="1" x14ac:dyDescent="0.25">
      <c r="F549" s="92"/>
      <c r="G549" s="92"/>
      <c r="H549" s="92"/>
      <c r="I549" s="92"/>
      <c r="J549" s="93"/>
      <c r="K549" s="113"/>
    </row>
    <row r="550" spans="6:11" ht="12.75" customHeight="1" x14ac:dyDescent="0.25">
      <c r="F550" s="92"/>
      <c r="G550" s="92"/>
      <c r="H550" s="92"/>
      <c r="I550" s="92"/>
      <c r="J550" s="93"/>
      <c r="K550" s="113"/>
    </row>
    <row r="551" spans="6:11" ht="12.75" customHeight="1" x14ac:dyDescent="0.25">
      <c r="F551" s="92"/>
      <c r="G551" s="92"/>
      <c r="H551" s="92"/>
      <c r="I551" s="92"/>
      <c r="J551" s="93"/>
      <c r="K551" s="113"/>
    </row>
    <row r="552" spans="6:11" ht="12.75" customHeight="1" x14ac:dyDescent="0.25">
      <c r="F552" s="92"/>
      <c r="G552" s="92"/>
      <c r="H552" s="92"/>
      <c r="I552" s="92"/>
      <c r="J552" s="93"/>
      <c r="K552" s="113"/>
    </row>
    <row r="553" spans="6:11" ht="12.75" customHeight="1" x14ac:dyDescent="0.25">
      <c r="F553" s="92"/>
      <c r="G553" s="92"/>
      <c r="H553" s="92"/>
      <c r="I553" s="92"/>
      <c r="J553" s="93"/>
      <c r="K553" s="113"/>
    </row>
    <row r="554" spans="6:11" ht="12.75" customHeight="1" x14ac:dyDescent="0.25">
      <c r="F554" s="92"/>
      <c r="G554" s="92"/>
      <c r="H554" s="92"/>
      <c r="I554" s="92"/>
      <c r="J554" s="93"/>
      <c r="K554" s="113"/>
    </row>
    <row r="555" spans="6:11" ht="12.75" customHeight="1" x14ac:dyDescent="0.25">
      <c r="F555" s="92"/>
      <c r="G555" s="92"/>
      <c r="H555" s="92"/>
      <c r="I555" s="92"/>
      <c r="J555" s="93"/>
      <c r="K555" s="113"/>
    </row>
    <row r="556" spans="6:11" ht="12.75" customHeight="1" x14ac:dyDescent="0.25">
      <c r="F556" s="92"/>
      <c r="G556" s="92"/>
      <c r="H556" s="92"/>
      <c r="I556" s="92"/>
      <c r="J556" s="93"/>
      <c r="K556" s="113"/>
    </row>
    <row r="557" spans="6:11" ht="12.75" customHeight="1" x14ac:dyDescent="0.25">
      <c r="F557" s="92"/>
      <c r="G557" s="92"/>
      <c r="H557" s="92"/>
      <c r="I557" s="92"/>
      <c r="J557" s="93"/>
      <c r="K557" s="113"/>
    </row>
    <row r="558" spans="6:11" ht="12.75" customHeight="1" x14ac:dyDescent="0.25">
      <c r="F558" s="92"/>
      <c r="G558" s="92"/>
      <c r="H558" s="92"/>
      <c r="I558" s="92"/>
      <c r="J558" s="93"/>
      <c r="K558" s="113"/>
    </row>
    <row r="559" spans="6:11" ht="12.75" customHeight="1" x14ac:dyDescent="0.25">
      <c r="F559" s="92"/>
      <c r="G559" s="92"/>
      <c r="H559" s="92"/>
      <c r="I559" s="92"/>
      <c r="J559" s="93"/>
      <c r="K559" s="113"/>
    </row>
    <row r="560" spans="6:11" ht="12.75" customHeight="1" x14ac:dyDescent="0.25">
      <c r="F560" s="92"/>
      <c r="G560" s="92"/>
      <c r="H560" s="92"/>
      <c r="I560" s="92"/>
      <c r="J560" s="93"/>
      <c r="K560" s="113"/>
    </row>
    <row r="561" spans="6:11" ht="12.75" customHeight="1" x14ac:dyDescent="0.25">
      <c r="F561" s="92"/>
      <c r="G561" s="92"/>
      <c r="H561" s="92"/>
      <c r="I561" s="92"/>
      <c r="J561" s="93"/>
      <c r="K561" s="113"/>
    </row>
    <row r="562" spans="6:11" ht="12.75" customHeight="1" x14ac:dyDescent="0.25">
      <c r="F562" s="92"/>
      <c r="G562" s="92"/>
      <c r="H562" s="92"/>
      <c r="I562" s="92"/>
      <c r="J562" s="93"/>
      <c r="K562" s="113"/>
    </row>
    <row r="563" spans="6:11" ht="12.75" customHeight="1" x14ac:dyDescent="0.25">
      <c r="F563" s="92"/>
      <c r="G563" s="92"/>
      <c r="H563" s="92"/>
      <c r="I563" s="92"/>
      <c r="J563" s="93"/>
      <c r="K563" s="113"/>
    </row>
    <row r="564" spans="6:11" ht="12.75" customHeight="1" x14ac:dyDescent="0.25">
      <c r="F564" s="92"/>
      <c r="G564" s="92"/>
      <c r="H564" s="92"/>
      <c r="I564" s="92"/>
      <c r="J564" s="93"/>
      <c r="K564" s="113"/>
    </row>
    <row r="565" spans="6:11" ht="12.75" customHeight="1" x14ac:dyDescent="0.25">
      <c r="F565" s="92"/>
      <c r="G565" s="92"/>
      <c r="H565" s="92"/>
      <c r="I565" s="92"/>
      <c r="J565" s="93"/>
      <c r="K565" s="113"/>
    </row>
    <row r="566" spans="6:11" ht="12.75" customHeight="1" x14ac:dyDescent="0.25">
      <c r="F566" s="92"/>
      <c r="G566" s="92"/>
      <c r="H566" s="92"/>
      <c r="I566" s="92"/>
      <c r="J566" s="93"/>
      <c r="K566" s="113"/>
    </row>
    <row r="567" spans="6:11" ht="12.75" customHeight="1" x14ac:dyDescent="0.25">
      <c r="F567" s="92"/>
      <c r="G567" s="92"/>
      <c r="H567" s="92"/>
      <c r="I567" s="92"/>
      <c r="J567" s="93"/>
      <c r="K567" s="113"/>
    </row>
    <row r="568" spans="6:11" ht="12.75" customHeight="1" x14ac:dyDescent="0.25">
      <c r="F568" s="92"/>
      <c r="G568" s="92"/>
      <c r="H568" s="92"/>
      <c r="I568" s="92"/>
      <c r="J568" s="93"/>
      <c r="K568" s="113"/>
    </row>
    <row r="569" spans="6:11" ht="12.75" customHeight="1" x14ac:dyDescent="0.25">
      <c r="F569" s="92"/>
      <c r="G569" s="92"/>
      <c r="H569" s="92"/>
      <c r="I569" s="92"/>
      <c r="J569" s="93"/>
      <c r="K569" s="113"/>
    </row>
    <row r="570" spans="6:11" ht="12.75" customHeight="1" x14ac:dyDescent="0.25">
      <c r="F570" s="92"/>
      <c r="G570" s="92"/>
      <c r="H570" s="92"/>
      <c r="I570" s="92"/>
      <c r="J570" s="93"/>
      <c r="K570" s="113"/>
    </row>
    <row r="571" spans="6:11" ht="12.75" customHeight="1" x14ac:dyDescent="0.25">
      <c r="F571" s="92"/>
      <c r="G571" s="92"/>
      <c r="H571" s="92"/>
      <c r="I571" s="92"/>
      <c r="J571" s="93"/>
      <c r="K571" s="113"/>
    </row>
    <row r="572" spans="6:11" ht="12.75" customHeight="1" x14ac:dyDescent="0.25">
      <c r="F572" s="92"/>
      <c r="G572" s="92"/>
      <c r="H572" s="92"/>
      <c r="I572" s="92"/>
      <c r="J572" s="93"/>
      <c r="K572" s="113"/>
    </row>
    <row r="573" spans="6:11" ht="12.75" customHeight="1" x14ac:dyDescent="0.25">
      <c r="F573" s="92"/>
      <c r="G573" s="92"/>
      <c r="H573" s="92"/>
      <c r="I573" s="92"/>
      <c r="J573" s="93"/>
      <c r="K573" s="113"/>
    </row>
    <row r="574" spans="6:11" ht="12.75" customHeight="1" x14ac:dyDescent="0.25">
      <c r="F574" s="92"/>
      <c r="G574" s="92"/>
      <c r="H574" s="92"/>
      <c r="I574" s="92"/>
      <c r="J574" s="93"/>
      <c r="K574" s="113"/>
    </row>
    <row r="575" spans="6:11" ht="12.75" customHeight="1" x14ac:dyDescent="0.25">
      <c r="F575" s="92"/>
      <c r="G575" s="92"/>
      <c r="H575" s="92"/>
      <c r="I575" s="92"/>
      <c r="J575" s="93"/>
      <c r="K575" s="113"/>
    </row>
    <row r="576" spans="6:11" ht="12.75" customHeight="1" x14ac:dyDescent="0.25">
      <c r="F576" s="92"/>
      <c r="G576" s="92"/>
      <c r="H576" s="92"/>
      <c r="I576" s="92"/>
      <c r="J576" s="93"/>
      <c r="K576" s="113"/>
    </row>
    <row r="577" spans="6:11" ht="12.75" customHeight="1" x14ac:dyDescent="0.25">
      <c r="F577" s="92"/>
      <c r="G577" s="92"/>
      <c r="H577" s="92"/>
      <c r="I577" s="92"/>
      <c r="J577" s="93"/>
      <c r="K577" s="113"/>
    </row>
    <row r="578" spans="6:11" ht="12.75" customHeight="1" x14ac:dyDescent="0.25">
      <c r="F578" s="92"/>
      <c r="G578" s="92"/>
      <c r="H578" s="92"/>
      <c r="I578" s="92"/>
      <c r="J578" s="93"/>
      <c r="K578" s="113"/>
    </row>
    <row r="579" spans="6:11" ht="12.75" customHeight="1" x14ac:dyDescent="0.25">
      <c r="F579" s="92"/>
      <c r="G579" s="92"/>
      <c r="H579" s="92"/>
      <c r="I579" s="92"/>
      <c r="J579" s="93"/>
      <c r="K579" s="113"/>
    </row>
    <row r="580" spans="6:11" ht="12.75" customHeight="1" x14ac:dyDescent="0.25">
      <c r="F580" s="92"/>
      <c r="G580" s="92"/>
      <c r="H580" s="92"/>
      <c r="I580" s="92"/>
      <c r="J580" s="93"/>
      <c r="K580" s="113"/>
    </row>
    <row r="581" spans="6:11" ht="12.75" customHeight="1" x14ac:dyDescent="0.25">
      <c r="F581" s="92"/>
      <c r="G581" s="92"/>
      <c r="H581" s="92"/>
      <c r="I581" s="92"/>
      <c r="J581" s="93"/>
      <c r="K581" s="113"/>
    </row>
    <row r="582" spans="6:11" ht="12.75" customHeight="1" x14ac:dyDescent="0.25">
      <c r="F582" s="92"/>
      <c r="G582" s="92"/>
      <c r="H582" s="92"/>
      <c r="I582" s="92"/>
      <c r="J582" s="93"/>
      <c r="K582" s="113"/>
    </row>
    <row r="583" spans="6:11" ht="12.75" customHeight="1" x14ac:dyDescent="0.25">
      <c r="F583" s="92"/>
      <c r="G583" s="92"/>
      <c r="H583" s="92"/>
      <c r="I583" s="92"/>
      <c r="J583" s="93"/>
      <c r="K583" s="113"/>
    </row>
    <row r="584" spans="6:11" ht="12.75" customHeight="1" x14ac:dyDescent="0.25">
      <c r="F584" s="92"/>
      <c r="G584" s="92"/>
      <c r="H584" s="92"/>
      <c r="I584" s="92"/>
      <c r="J584" s="93"/>
      <c r="K584" s="113"/>
    </row>
    <row r="585" spans="6:11" ht="12.75" customHeight="1" x14ac:dyDescent="0.25">
      <c r="F585" s="92"/>
      <c r="G585" s="92"/>
      <c r="H585" s="92"/>
      <c r="I585" s="92"/>
      <c r="J585" s="93"/>
      <c r="K585" s="113"/>
    </row>
    <row r="586" spans="6:11" ht="12.75" customHeight="1" x14ac:dyDescent="0.25">
      <c r="F586" s="92"/>
      <c r="G586" s="92"/>
      <c r="H586" s="92"/>
      <c r="I586" s="92"/>
      <c r="J586" s="93"/>
      <c r="K586" s="113"/>
    </row>
    <row r="587" spans="6:11" ht="12.75" customHeight="1" x14ac:dyDescent="0.25">
      <c r="F587" s="92"/>
      <c r="G587" s="92"/>
      <c r="H587" s="92"/>
      <c r="I587" s="92"/>
      <c r="J587" s="93"/>
      <c r="K587" s="113"/>
    </row>
    <row r="588" spans="6:11" ht="12.75" customHeight="1" x14ac:dyDescent="0.25">
      <c r="F588" s="92"/>
      <c r="G588" s="92"/>
      <c r="H588" s="92"/>
      <c r="I588" s="92"/>
      <c r="J588" s="93"/>
      <c r="K588" s="113"/>
    </row>
    <row r="589" spans="6:11" ht="12.75" customHeight="1" x14ac:dyDescent="0.25">
      <c r="F589" s="92"/>
      <c r="G589" s="92"/>
      <c r="H589" s="92"/>
      <c r="I589" s="92"/>
      <c r="J589" s="93"/>
      <c r="K589" s="113"/>
    </row>
    <row r="590" spans="6:11" ht="12.75" customHeight="1" x14ac:dyDescent="0.25">
      <c r="F590" s="92"/>
      <c r="G590" s="92"/>
      <c r="H590" s="92"/>
      <c r="I590" s="92"/>
      <c r="J590" s="93"/>
      <c r="K590" s="113"/>
    </row>
    <row r="591" spans="6:11" ht="12.75" customHeight="1" x14ac:dyDescent="0.25">
      <c r="F591" s="92"/>
      <c r="G591" s="92"/>
      <c r="H591" s="92"/>
      <c r="I591" s="92"/>
      <c r="J591" s="93"/>
      <c r="K591" s="113"/>
    </row>
    <row r="592" spans="6:11" ht="12.75" customHeight="1" x14ac:dyDescent="0.25">
      <c r="F592" s="92"/>
      <c r="G592" s="92"/>
      <c r="H592" s="92"/>
      <c r="I592" s="92"/>
      <c r="J592" s="93"/>
      <c r="K592" s="113"/>
    </row>
    <row r="593" spans="6:11" ht="12.75" customHeight="1" x14ac:dyDescent="0.25">
      <c r="F593" s="92"/>
      <c r="G593" s="92"/>
      <c r="H593" s="92"/>
      <c r="I593" s="92"/>
      <c r="J593" s="93"/>
      <c r="K593" s="113"/>
    </row>
    <row r="594" spans="6:11" ht="12.75" customHeight="1" x14ac:dyDescent="0.25">
      <c r="F594" s="92"/>
      <c r="G594" s="92"/>
      <c r="H594" s="92"/>
      <c r="I594" s="92"/>
      <c r="J594" s="93"/>
      <c r="K594" s="113"/>
    </row>
    <row r="595" spans="6:11" ht="12.75" customHeight="1" x14ac:dyDescent="0.25">
      <c r="F595" s="92"/>
      <c r="G595" s="92"/>
      <c r="H595" s="92"/>
      <c r="I595" s="92"/>
      <c r="J595" s="93"/>
      <c r="K595" s="113"/>
    </row>
    <row r="596" spans="6:11" ht="12.75" customHeight="1" x14ac:dyDescent="0.25">
      <c r="F596" s="92"/>
      <c r="G596" s="92"/>
      <c r="H596" s="92"/>
      <c r="I596" s="92"/>
      <c r="J596" s="93"/>
      <c r="K596" s="113"/>
    </row>
    <row r="597" spans="6:11" ht="12.75" customHeight="1" x14ac:dyDescent="0.25">
      <c r="F597" s="92"/>
      <c r="G597" s="92"/>
      <c r="H597" s="92"/>
      <c r="I597" s="92"/>
      <c r="J597" s="93"/>
      <c r="K597" s="113"/>
    </row>
    <row r="598" spans="6:11" ht="12.75" customHeight="1" x14ac:dyDescent="0.25">
      <c r="F598" s="92"/>
      <c r="G598" s="92"/>
      <c r="H598" s="92"/>
      <c r="I598" s="92"/>
      <c r="J598" s="93"/>
      <c r="K598" s="113"/>
    </row>
    <row r="599" spans="6:11" ht="12.75" customHeight="1" x14ac:dyDescent="0.25">
      <c r="F599" s="92"/>
      <c r="G599" s="92"/>
      <c r="H599" s="92"/>
      <c r="I599" s="92"/>
      <c r="J599" s="93"/>
      <c r="K599" s="113"/>
    </row>
    <row r="600" spans="6:11" ht="12.75" customHeight="1" x14ac:dyDescent="0.25">
      <c r="F600" s="92"/>
      <c r="G600" s="92"/>
      <c r="H600" s="92"/>
      <c r="I600" s="92"/>
      <c r="J600" s="93"/>
      <c r="K600" s="113"/>
    </row>
    <row r="601" spans="6:11" ht="12.75" customHeight="1" x14ac:dyDescent="0.25">
      <c r="F601" s="92"/>
      <c r="G601" s="92"/>
      <c r="H601" s="92"/>
      <c r="I601" s="92"/>
      <c r="J601" s="93"/>
      <c r="K601" s="113"/>
    </row>
    <row r="602" spans="6:11" ht="12.75" customHeight="1" x14ac:dyDescent="0.25">
      <c r="F602" s="92"/>
      <c r="G602" s="92"/>
      <c r="H602" s="92"/>
      <c r="I602" s="92"/>
      <c r="J602" s="93"/>
      <c r="K602" s="113"/>
    </row>
    <row r="603" spans="6:11" ht="12.75" customHeight="1" x14ac:dyDescent="0.25">
      <c r="F603" s="92"/>
      <c r="G603" s="92"/>
      <c r="H603" s="92"/>
      <c r="I603" s="92"/>
      <c r="J603" s="93"/>
      <c r="K603" s="113"/>
    </row>
    <row r="604" spans="6:11" ht="12.75" customHeight="1" x14ac:dyDescent="0.25">
      <c r="F604" s="92"/>
      <c r="G604" s="92"/>
      <c r="H604" s="92"/>
      <c r="I604" s="92"/>
      <c r="J604" s="93"/>
      <c r="K604" s="113"/>
    </row>
    <row r="605" spans="6:11" ht="12.75" customHeight="1" x14ac:dyDescent="0.25">
      <c r="F605" s="92"/>
      <c r="G605" s="92"/>
      <c r="H605" s="92"/>
      <c r="I605" s="92"/>
      <c r="J605" s="93"/>
      <c r="K605" s="113"/>
    </row>
    <row r="606" spans="6:11" ht="12.75" customHeight="1" x14ac:dyDescent="0.25">
      <c r="F606" s="92"/>
      <c r="G606" s="92"/>
      <c r="H606" s="92"/>
      <c r="I606" s="92"/>
      <c r="J606" s="93"/>
      <c r="K606" s="113"/>
    </row>
    <row r="607" spans="6:11" ht="12.75" customHeight="1" x14ac:dyDescent="0.25">
      <c r="F607" s="92"/>
      <c r="G607" s="92"/>
      <c r="H607" s="92"/>
      <c r="I607" s="92"/>
      <c r="J607" s="93"/>
      <c r="K607" s="113"/>
    </row>
    <row r="608" spans="6:11" ht="12.75" customHeight="1" x14ac:dyDescent="0.25">
      <c r="F608" s="92"/>
      <c r="G608" s="92"/>
      <c r="H608" s="92"/>
      <c r="I608" s="92"/>
      <c r="J608" s="93"/>
      <c r="K608" s="113"/>
    </row>
    <row r="609" spans="6:11" ht="12.75" customHeight="1" x14ac:dyDescent="0.25">
      <c r="F609" s="92"/>
      <c r="G609" s="92"/>
      <c r="H609" s="92"/>
      <c r="I609" s="92"/>
      <c r="J609" s="93"/>
      <c r="K609" s="113"/>
    </row>
    <row r="610" spans="6:11" ht="12.75" customHeight="1" x14ac:dyDescent="0.25">
      <c r="F610" s="92"/>
      <c r="G610" s="92"/>
      <c r="H610" s="92"/>
      <c r="I610" s="92"/>
      <c r="J610" s="93"/>
      <c r="K610" s="113"/>
    </row>
    <row r="611" spans="6:11" ht="12.75" customHeight="1" x14ac:dyDescent="0.25">
      <c r="F611" s="92"/>
      <c r="G611" s="92"/>
      <c r="H611" s="92"/>
      <c r="I611" s="92"/>
      <c r="J611" s="93"/>
      <c r="K611" s="113"/>
    </row>
    <row r="612" spans="6:11" ht="12.75" customHeight="1" x14ac:dyDescent="0.25">
      <c r="F612" s="92"/>
      <c r="G612" s="92"/>
      <c r="H612" s="92"/>
      <c r="I612" s="92"/>
      <c r="J612" s="93"/>
      <c r="K612" s="113"/>
    </row>
    <row r="613" spans="6:11" ht="12.75" customHeight="1" x14ac:dyDescent="0.25">
      <c r="F613" s="92"/>
      <c r="G613" s="92"/>
      <c r="H613" s="92"/>
      <c r="I613" s="92"/>
      <c r="J613" s="93"/>
      <c r="K613" s="113"/>
    </row>
    <row r="614" spans="6:11" ht="12.75" customHeight="1" x14ac:dyDescent="0.25">
      <c r="F614" s="92"/>
      <c r="G614" s="92"/>
      <c r="H614" s="92"/>
      <c r="I614" s="92"/>
      <c r="J614" s="93"/>
      <c r="K614" s="113"/>
    </row>
    <row r="615" spans="6:11" ht="12.75" customHeight="1" x14ac:dyDescent="0.25">
      <c r="F615" s="92"/>
      <c r="G615" s="92"/>
      <c r="H615" s="92"/>
      <c r="I615" s="92"/>
      <c r="J615" s="93"/>
      <c r="K615" s="113"/>
    </row>
    <row r="616" spans="6:11" ht="12.75" customHeight="1" x14ac:dyDescent="0.25">
      <c r="F616" s="92"/>
      <c r="G616" s="92"/>
      <c r="H616" s="92"/>
      <c r="I616" s="92"/>
      <c r="J616" s="93"/>
      <c r="K616" s="113"/>
    </row>
    <row r="617" spans="6:11" ht="12.75" customHeight="1" x14ac:dyDescent="0.25">
      <c r="F617" s="92"/>
      <c r="G617" s="92"/>
      <c r="H617" s="92"/>
      <c r="I617" s="92"/>
      <c r="J617" s="93"/>
      <c r="K617" s="113"/>
    </row>
    <row r="618" spans="6:11" ht="12.75" customHeight="1" x14ac:dyDescent="0.25">
      <c r="F618" s="92"/>
      <c r="G618" s="92"/>
      <c r="H618" s="92"/>
      <c r="I618" s="92"/>
      <c r="J618" s="93"/>
      <c r="K618" s="113"/>
    </row>
    <row r="619" spans="6:11" ht="12.75" customHeight="1" x14ac:dyDescent="0.25">
      <c r="F619" s="92"/>
      <c r="G619" s="92"/>
      <c r="H619" s="92"/>
      <c r="I619" s="92"/>
      <c r="J619" s="93"/>
      <c r="K619" s="113"/>
    </row>
    <row r="620" spans="6:11" ht="12.75" customHeight="1" x14ac:dyDescent="0.25">
      <c r="F620" s="92"/>
      <c r="G620" s="92"/>
      <c r="H620" s="92"/>
      <c r="I620" s="92"/>
      <c r="J620" s="93"/>
      <c r="K620" s="113"/>
    </row>
    <row r="621" spans="6:11" ht="12.75" customHeight="1" x14ac:dyDescent="0.25">
      <c r="F621" s="92"/>
      <c r="G621" s="92"/>
      <c r="H621" s="92"/>
      <c r="I621" s="92"/>
      <c r="J621" s="93"/>
      <c r="K621" s="113"/>
    </row>
    <row r="622" spans="6:11" ht="12.75" customHeight="1" x14ac:dyDescent="0.25">
      <c r="F622" s="92"/>
      <c r="G622" s="92"/>
      <c r="H622" s="92"/>
      <c r="I622" s="92"/>
      <c r="J622" s="93"/>
      <c r="K622" s="113"/>
    </row>
    <row r="623" spans="6:11" ht="12.75" customHeight="1" x14ac:dyDescent="0.25">
      <c r="F623" s="92"/>
      <c r="G623" s="92"/>
      <c r="H623" s="92"/>
      <c r="I623" s="92"/>
      <c r="J623" s="93"/>
      <c r="K623" s="113"/>
    </row>
    <row r="624" spans="6:11" ht="12.75" customHeight="1" x14ac:dyDescent="0.25">
      <c r="F624" s="92"/>
      <c r="G624" s="92"/>
      <c r="H624" s="92"/>
      <c r="I624" s="92"/>
      <c r="J624" s="93"/>
      <c r="K624" s="113"/>
    </row>
    <row r="625" spans="6:11" ht="12.75" customHeight="1" x14ac:dyDescent="0.25">
      <c r="F625" s="92"/>
      <c r="G625" s="92"/>
      <c r="H625" s="92"/>
      <c r="I625" s="92"/>
      <c r="J625" s="93"/>
      <c r="K625" s="113"/>
    </row>
    <row r="626" spans="6:11" ht="12.75" customHeight="1" x14ac:dyDescent="0.25">
      <c r="F626" s="92"/>
      <c r="G626" s="92"/>
      <c r="H626" s="92"/>
      <c r="I626" s="92"/>
      <c r="J626" s="93"/>
      <c r="K626" s="113"/>
    </row>
    <row r="627" spans="6:11" ht="12.75" customHeight="1" x14ac:dyDescent="0.25">
      <c r="F627" s="92"/>
      <c r="G627" s="92"/>
      <c r="H627" s="92"/>
      <c r="I627" s="92"/>
      <c r="J627" s="93"/>
      <c r="K627" s="113"/>
    </row>
    <row r="628" spans="6:11" ht="12.75" customHeight="1" x14ac:dyDescent="0.25">
      <c r="F628" s="92"/>
      <c r="G628" s="92"/>
      <c r="H628" s="92"/>
      <c r="I628" s="92"/>
      <c r="J628" s="93"/>
      <c r="K628" s="113"/>
    </row>
    <row r="629" spans="6:11" ht="12.75" customHeight="1" x14ac:dyDescent="0.25">
      <c r="F629" s="92"/>
      <c r="G629" s="92"/>
      <c r="H629" s="92"/>
      <c r="I629" s="92"/>
      <c r="J629" s="93"/>
      <c r="K629" s="113"/>
    </row>
    <row r="630" spans="6:11" ht="12.75" customHeight="1" x14ac:dyDescent="0.25">
      <c r="F630" s="92"/>
      <c r="G630" s="92"/>
      <c r="H630" s="92"/>
      <c r="I630" s="92"/>
      <c r="J630" s="93"/>
      <c r="K630" s="113"/>
    </row>
    <row r="631" spans="6:11" ht="12.75" customHeight="1" x14ac:dyDescent="0.25">
      <c r="F631" s="92"/>
      <c r="G631" s="92"/>
      <c r="H631" s="92"/>
      <c r="I631" s="92"/>
      <c r="J631" s="93"/>
      <c r="K631" s="113"/>
    </row>
    <row r="632" spans="6:11" ht="12.75" customHeight="1" x14ac:dyDescent="0.25">
      <c r="F632" s="92"/>
      <c r="G632" s="92"/>
      <c r="H632" s="92"/>
      <c r="I632" s="92"/>
      <c r="J632" s="93"/>
      <c r="K632" s="113"/>
    </row>
    <row r="633" spans="6:11" ht="12.75" customHeight="1" x14ac:dyDescent="0.25">
      <c r="F633" s="92"/>
      <c r="G633" s="92"/>
      <c r="H633" s="92"/>
      <c r="I633" s="92"/>
      <c r="J633" s="93"/>
      <c r="K633" s="113"/>
    </row>
    <row r="634" spans="6:11" ht="12.75" customHeight="1" x14ac:dyDescent="0.25">
      <c r="F634" s="92"/>
      <c r="G634" s="92"/>
      <c r="H634" s="92"/>
      <c r="I634" s="92"/>
      <c r="J634" s="93"/>
      <c r="K634" s="113"/>
    </row>
    <row r="635" spans="6:11" ht="12.75" customHeight="1" x14ac:dyDescent="0.25">
      <c r="F635" s="92"/>
      <c r="G635" s="92"/>
      <c r="H635" s="92"/>
      <c r="I635" s="92"/>
      <c r="J635" s="93"/>
      <c r="K635" s="113"/>
    </row>
    <row r="636" spans="6:11" ht="12.75" customHeight="1" x14ac:dyDescent="0.25">
      <c r="F636" s="92"/>
      <c r="G636" s="92"/>
      <c r="H636" s="92"/>
      <c r="I636" s="92"/>
      <c r="J636" s="93"/>
      <c r="K636" s="113"/>
    </row>
    <row r="637" spans="6:11" ht="12.75" customHeight="1" x14ac:dyDescent="0.25">
      <c r="F637" s="92"/>
      <c r="G637" s="92"/>
      <c r="H637" s="92"/>
      <c r="I637" s="92"/>
      <c r="J637" s="93"/>
      <c r="K637" s="113"/>
    </row>
    <row r="638" spans="6:11" ht="12.75" customHeight="1" x14ac:dyDescent="0.25">
      <c r="F638" s="92"/>
      <c r="G638" s="92"/>
      <c r="H638" s="92"/>
      <c r="I638" s="92"/>
      <c r="J638" s="93"/>
      <c r="K638" s="113"/>
    </row>
    <row r="639" spans="6:11" ht="12.75" customHeight="1" x14ac:dyDescent="0.25">
      <c r="F639" s="92"/>
      <c r="G639" s="92"/>
      <c r="H639" s="92"/>
      <c r="I639" s="92"/>
      <c r="J639" s="93"/>
      <c r="K639" s="113"/>
    </row>
    <row r="640" spans="6:11" ht="12.75" customHeight="1" x14ac:dyDescent="0.25">
      <c r="F640" s="92"/>
      <c r="G640" s="92"/>
      <c r="H640" s="92"/>
      <c r="I640" s="92"/>
      <c r="J640" s="93"/>
      <c r="K640" s="113"/>
    </row>
    <row r="641" spans="6:11" ht="12.75" customHeight="1" x14ac:dyDescent="0.25">
      <c r="F641" s="92"/>
      <c r="G641" s="92"/>
      <c r="H641" s="92"/>
      <c r="I641" s="92"/>
      <c r="J641" s="93"/>
      <c r="K641" s="113"/>
    </row>
    <row r="642" spans="6:11" ht="12.75" customHeight="1" x14ac:dyDescent="0.25">
      <c r="F642" s="92"/>
      <c r="G642" s="92"/>
      <c r="H642" s="92"/>
      <c r="I642" s="92"/>
      <c r="J642" s="93"/>
      <c r="K642" s="113"/>
    </row>
    <row r="643" spans="6:11" ht="12.75" customHeight="1" x14ac:dyDescent="0.25">
      <c r="F643" s="92"/>
      <c r="G643" s="92"/>
      <c r="H643" s="92"/>
      <c r="I643" s="92"/>
      <c r="J643" s="93"/>
      <c r="K643" s="113"/>
    </row>
    <row r="644" spans="6:11" ht="12.75" customHeight="1" x14ac:dyDescent="0.25">
      <c r="F644" s="92"/>
      <c r="G644" s="92"/>
      <c r="H644" s="92"/>
      <c r="I644" s="92"/>
      <c r="J644" s="93"/>
      <c r="K644" s="113"/>
    </row>
    <row r="645" spans="6:11" ht="12.75" customHeight="1" x14ac:dyDescent="0.25">
      <c r="F645" s="92"/>
      <c r="G645" s="92"/>
      <c r="H645" s="92"/>
      <c r="I645" s="92"/>
      <c r="J645" s="93"/>
      <c r="K645" s="113"/>
    </row>
    <row r="646" spans="6:11" ht="12.75" customHeight="1" x14ac:dyDescent="0.25">
      <c r="F646" s="92"/>
      <c r="G646" s="92"/>
      <c r="H646" s="92"/>
      <c r="I646" s="92"/>
      <c r="J646" s="93"/>
      <c r="K646" s="113"/>
    </row>
    <row r="647" spans="6:11" ht="12.75" customHeight="1" x14ac:dyDescent="0.25">
      <c r="F647" s="92"/>
      <c r="G647" s="92"/>
      <c r="H647" s="92"/>
      <c r="I647" s="92"/>
      <c r="J647" s="93"/>
      <c r="K647" s="113"/>
    </row>
    <row r="648" spans="6:11" ht="12.75" customHeight="1" x14ac:dyDescent="0.25">
      <c r="F648" s="92"/>
      <c r="G648" s="92"/>
      <c r="H648" s="92"/>
      <c r="I648" s="92"/>
      <c r="J648" s="93"/>
      <c r="K648" s="113"/>
    </row>
    <row r="649" spans="6:11" ht="12.75" customHeight="1" x14ac:dyDescent="0.25">
      <c r="F649" s="92"/>
      <c r="G649" s="92"/>
      <c r="H649" s="92"/>
      <c r="I649" s="92"/>
      <c r="J649" s="93"/>
      <c r="K649" s="113"/>
    </row>
    <row r="650" spans="6:11" ht="12.75" customHeight="1" x14ac:dyDescent="0.25">
      <c r="F650" s="92"/>
      <c r="G650" s="92"/>
      <c r="H650" s="92"/>
      <c r="I650" s="92"/>
      <c r="J650" s="93"/>
      <c r="K650" s="113"/>
    </row>
    <row r="651" spans="6:11" ht="12.75" customHeight="1" x14ac:dyDescent="0.25">
      <c r="F651" s="92"/>
      <c r="G651" s="92"/>
      <c r="H651" s="92"/>
      <c r="I651" s="92"/>
      <c r="J651" s="93"/>
      <c r="K651" s="113"/>
    </row>
    <row r="652" spans="6:11" ht="12.75" customHeight="1" x14ac:dyDescent="0.25">
      <c r="F652" s="92"/>
      <c r="G652" s="92"/>
      <c r="H652" s="92"/>
      <c r="I652" s="92"/>
      <c r="J652" s="93"/>
      <c r="K652" s="113"/>
    </row>
    <row r="653" spans="6:11" ht="12.75" customHeight="1" x14ac:dyDescent="0.25">
      <c r="F653" s="92"/>
      <c r="G653" s="92"/>
      <c r="H653" s="92"/>
      <c r="I653" s="92"/>
      <c r="J653" s="93"/>
      <c r="K653" s="113"/>
    </row>
    <row r="654" spans="6:11" ht="12.75" customHeight="1" x14ac:dyDescent="0.25">
      <c r="F654" s="92"/>
      <c r="G654" s="92"/>
      <c r="H654" s="92"/>
      <c r="I654" s="92"/>
      <c r="J654" s="93"/>
      <c r="K654" s="113"/>
    </row>
    <row r="655" spans="6:11" ht="12.75" customHeight="1" x14ac:dyDescent="0.25">
      <c r="F655" s="92"/>
      <c r="G655" s="92"/>
      <c r="H655" s="92"/>
      <c r="I655" s="92"/>
      <c r="J655" s="93"/>
      <c r="K655" s="113"/>
    </row>
    <row r="656" spans="6:11" ht="12.75" customHeight="1" x14ac:dyDescent="0.25">
      <c r="F656" s="92"/>
      <c r="G656" s="92"/>
      <c r="H656" s="92"/>
      <c r="I656" s="92"/>
      <c r="J656" s="93"/>
      <c r="K656" s="113"/>
    </row>
    <row r="657" spans="6:11" ht="12.75" customHeight="1" x14ac:dyDescent="0.25">
      <c r="F657" s="92"/>
      <c r="G657" s="92"/>
      <c r="H657" s="92"/>
      <c r="I657" s="92"/>
      <c r="J657" s="93"/>
      <c r="K657" s="113"/>
    </row>
    <row r="658" spans="6:11" ht="12.75" customHeight="1" x14ac:dyDescent="0.25">
      <c r="F658" s="92"/>
      <c r="G658" s="92"/>
      <c r="H658" s="92"/>
      <c r="I658" s="92"/>
      <c r="J658" s="93"/>
      <c r="K658" s="113"/>
    </row>
    <row r="659" spans="6:11" ht="12.75" customHeight="1" x14ac:dyDescent="0.25">
      <c r="F659" s="92"/>
      <c r="G659" s="92"/>
      <c r="H659" s="92"/>
      <c r="I659" s="92"/>
      <c r="J659" s="93"/>
      <c r="K659" s="113"/>
    </row>
    <row r="660" spans="6:11" ht="12.75" customHeight="1" x14ac:dyDescent="0.25">
      <c r="F660" s="92"/>
      <c r="G660" s="92"/>
      <c r="H660" s="92"/>
      <c r="I660" s="92"/>
      <c r="J660" s="93"/>
      <c r="K660" s="113"/>
    </row>
    <row r="661" spans="6:11" ht="12.75" customHeight="1" x14ac:dyDescent="0.25">
      <c r="F661" s="92"/>
      <c r="G661" s="92"/>
      <c r="H661" s="92"/>
      <c r="I661" s="92"/>
      <c r="J661" s="93"/>
      <c r="K661" s="113"/>
    </row>
    <row r="662" spans="6:11" ht="12.75" customHeight="1" x14ac:dyDescent="0.25">
      <c r="F662" s="92"/>
      <c r="G662" s="92"/>
      <c r="H662" s="92"/>
      <c r="I662" s="92"/>
      <c r="J662" s="93"/>
      <c r="K662" s="113"/>
    </row>
    <row r="663" spans="6:11" ht="12.75" customHeight="1" x14ac:dyDescent="0.25">
      <c r="F663" s="92"/>
      <c r="G663" s="92"/>
      <c r="H663" s="92"/>
      <c r="I663" s="92"/>
      <c r="J663" s="93"/>
      <c r="K663" s="113"/>
    </row>
    <row r="664" spans="6:11" ht="12.75" customHeight="1" x14ac:dyDescent="0.25">
      <c r="F664" s="92"/>
      <c r="G664" s="92"/>
      <c r="H664" s="92"/>
      <c r="I664" s="92"/>
      <c r="J664" s="93"/>
      <c r="K664" s="113"/>
    </row>
    <row r="665" spans="6:11" ht="12.75" customHeight="1" x14ac:dyDescent="0.25">
      <c r="F665" s="92"/>
      <c r="G665" s="92"/>
      <c r="H665" s="92"/>
      <c r="I665" s="92"/>
      <c r="J665" s="93"/>
      <c r="K665" s="113"/>
    </row>
    <row r="666" spans="6:11" ht="12.75" customHeight="1" x14ac:dyDescent="0.25">
      <c r="F666" s="92"/>
      <c r="G666" s="92"/>
      <c r="H666" s="92"/>
      <c r="I666" s="92"/>
      <c r="J666" s="93"/>
      <c r="K666" s="113"/>
    </row>
    <row r="667" spans="6:11" ht="12.75" customHeight="1" x14ac:dyDescent="0.25">
      <c r="F667" s="92"/>
      <c r="G667" s="92"/>
      <c r="H667" s="92"/>
      <c r="I667" s="92"/>
      <c r="J667" s="93"/>
      <c r="K667" s="113"/>
    </row>
    <row r="668" spans="6:11" ht="12.75" customHeight="1" x14ac:dyDescent="0.25">
      <c r="F668" s="92"/>
      <c r="G668" s="92"/>
      <c r="H668" s="92"/>
      <c r="I668" s="92"/>
      <c r="J668" s="93"/>
      <c r="K668" s="113"/>
    </row>
    <row r="669" spans="6:11" ht="12.75" customHeight="1" x14ac:dyDescent="0.25">
      <c r="F669" s="92"/>
      <c r="G669" s="92"/>
      <c r="H669" s="92"/>
      <c r="I669" s="92"/>
      <c r="J669" s="93"/>
      <c r="K669" s="113"/>
    </row>
    <row r="670" spans="6:11" ht="12.75" customHeight="1" x14ac:dyDescent="0.25">
      <c r="F670" s="92"/>
      <c r="G670" s="92"/>
      <c r="H670" s="92"/>
      <c r="I670" s="92"/>
      <c r="J670" s="93"/>
      <c r="K670" s="113"/>
    </row>
    <row r="671" spans="6:11" ht="12.75" customHeight="1" x14ac:dyDescent="0.25">
      <c r="F671" s="92"/>
      <c r="G671" s="92"/>
      <c r="H671" s="92"/>
      <c r="I671" s="92"/>
      <c r="J671" s="93"/>
      <c r="K671" s="113"/>
    </row>
    <row r="672" spans="6:11" ht="12.75" customHeight="1" x14ac:dyDescent="0.25">
      <c r="F672" s="92"/>
      <c r="G672" s="92"/>
      <c r="H672" s="92"/>
      <c r="I672" s="92"/>
      <c r="J672" s="93"/>
      <c r="K672" s="113"/>
    </row>
    <row r="673" spans="6:11" ht="12.75" customHeight="1" x14ac:dyDescent="0.25">
      <c r="F673" s="92"/>
      <c r="G673" s="92"/>
      <c r="H673" s="92"/>
      <c r="I673" s="92"/>
      <c r="J673" s="93"/>
      <c r="K673" s="113"/>
    </row>
    <row r="674" spans="6:11" ht="12.75" customHeight="1" x14ac:dyDescent="0.25">
      <c r="F674" s="92"/>
      <c r="G674" s="92"/>
      <c r="H674" s="92"/>
      <c r="I674" s="92"/>
      <c r="J674" s="93"/>
      <c r="K674" s="113"/>
    </row>
    <row r="675" spans="6:11" ht="12.75" customHeight="1" x14ac:dyDescent="0.25">
      <c r="F675" s="92"/>
      <c r="G675" s="92"/>
      <c r="H675" s="92"/>
      <c r="I675" s="92"/>
      <c r="J675" s="93"/>
      <c r="K675" s="113"/>
    </row>
    <row r="676" spans="6:11" ht="12.75" customHeight="1" x14ac:dyDescent="0.25">
      <c r="F676" s="92"/>
      <c r="G676" s="92"/>
      <c r="H676" s="92"/>
      <c r="I676" s="92"/>
      <c r="J676" s="93"/>
      <c r="K676" s="113"/>
    </row>
    <row r="677" spans="6:11" ht="12.75" customHeight="1" x14ac:dyDescent="0.25">
      <c r="F677" s="92"/>
      <c r="G677" s="92"/>
      <c r="H677" s="92"/>
      <c r="I677" s="92"/>
      <c r="J677" s="93"/>
      <c r="K677" s="113"/>
    </row>
    <row r="678" spans="6:11" ht="12.75" customHeight="1" x14ac:dyDescent="0.25">
      <c r="F678" s="92"/>
      <c r="G678" s="92"/>
      <c r="H678" s="92"/>
      <c r="I678" s="92"/>
      <c r="J678" s="93"/>
      <c r="K678" s="113"/>
    </row>
    <row r="679" spans="6:11" ht="12.75" customHeight="1" x14ac:dyDescent="0.25">
      <c r="F679" s="92"/>
      <c r="G679" s="92"/>
      <c r="H679" s="92"/>
      <c r="I679" s="92"/>
      <c r="J679" s="93"/>
      <c r="K679" s="113"/>
    </row>
    <row r="680" spans="6:11" ht="12.75" customHeight="1" x14ac:dyDescent="0.25">
      <c r="F680" s="92"/>
      <c r="G680" s="92"/>
      <c r="H680" s="92"/>
      <c r="I680" s="92"/>
      <c r="J680" s="93"/>
      <c r="K680" s="113"/>
    </row>
    <row r="681" spans="6:11" ht="12.75" customHeight="1" x14ac:dyDescent="0.25">
      <c r="F681" s="92"/>
      <c r="G681" s="92"/>
      <c r="H681" s="92"/>
      <c r="I681" s="92"/>
      <c r="J681" s="93"/>
      <c r="K681" s="113"/>
    </row>
    <row r="682" spans="6:11" ht="12.75" customHeight="1" x14ac:dyDescent="0.25">
      <c r="F682" s="92"/>
      <c r="G682" s="92"/>
      <c r="H682" s="92"/>
      <c r="I682" s="92"/>
      <c r="J682" s="93"/>
      <c r="K682" s="113"/>
    </row>
    <row r="683" spans="6:11" ht="12.75" customHeight="1" x14ac:dyDescent="0.25">
      <c r="F683" s="92"/>
      <c r="G683" s="92"/>
      <c r="H683" s="92"/>
      <c r="I683" s="92"/>
      <c r="J683" s="93"/>
      <c r="K683" s="113"/>
    </row>
    <row r="684" spans="6:11" ht="12.75" customHeight="1" x14ac:dyDescent="0.25">
      <c r="F684" s="92"/>
      <c r="G684" s="92"/>
      <c r="H684" s="92"/>
      <c r="I684" s="92"/>
      <c r="J684" s="93"/>
      <c r="K684" s="113"/>
    </row>
    <row r="685" spans="6:11" ht="12.75" customHeight="1" x14ac:dyDescent="0.25">
      <c r="F685" s="92"/>
      <c r="G685" s="92"/>
      <c r="H685" s="92"/>
      <c r="I685" s="92"/>
      <c r="J685" s="93"/>
      <c r="K685" s="113"/>
    </row>
    <row r="686" spans="6:11" ht="12.75" customHeight="1" x14ac:dyDescent="0.25">
      <c r="F686" s="92"/>
      <c r="G686" s="92"/>
      <c r="H686" s="92"/>
      <c r="I686" s="92"/>
      <c r="J686" s="93"/>
      <c r="K686" s="113"/>
    </row>
    <row r="687" spans="6:11" ht="12.75" customHeight="1" x14ac:dyDescent="0.25">
      <c r="F687" s="92"/>
      <c r="G687" s="92"/>
      <c r="H687" s="92"/>
      <c r="I687" s="92"/>
      <c r="J687" s="93"/>
      <c r="K687" s="113"/>
    </row>
    <row r="688" spans="6:11" ht="12.75" customHeight="1" x14ac:dyDescent="0.25">
      <c r="F688" s="92"/>
      <c r="G688" s="92"/>
      <c r="H688" s="92"/>
      <c r="I688" s="92"/>
      <c r="J688" s="93"/>
      <c r="K688" s="113"/>
    </row>
    <row r="689" spans="6:11" ht="12.75" customHeight="1" x14ac:dyDescent="0.25">
      <c r="F689" s="92"/>
      <c r="G689" s="92"/>
      <c r="H689" s="92"/>
      <c r="I689" s="92"/>
      <c r="J689" s="93"/>
      <c r="K689" s="113"/>
    </row>
    <row r="690" spans="6:11" ht="12.75" customHeight="1" x14ac:dyDescent="0.25">
      <c r="F690" s="92"/>
      <c r="G690" s="92"/>
      <c r="H690" s="92"/>
      <c r="I690" s="92"/>
      <c r="J690" s="93"/>
      <c r="K690" s="113"/>
    </row>
    <row r="691" spans="6:11" ht="12.75" customHeight="1" x14ac:dyDescent="0.25">
      <c r="F691" s="92"/>
      <c r="G691" s="92"/>
      <c r="H691" s="92"/>
      <c r="I691" s="92"/>
      <c r="J691" s="93"/>
      <c r="K691" s="113"/>
    </row>
    <row r="692" spans="6:11" ht="12.75" customHeight="1" x14ac:dyDescent="0.25">
      <c r="F692" s="92"/>
      <c r="G692" s="92"/>
      <c r="H692" s="92"/>
      <c r="I692" s="92"/>
      <c r="J692" s="93"/>
      <c r="K692" s="113"/>
    </row>
    <row r="693" spans="6:11" ht="12.75" customHeight="1" x14ac:dyDescent="0.25">
      <c r="F693" s="92"/>
      <c r="G693" s="92"/>
      <c r="H693" s="92"/>
      <c r="I693" s="92"/>
      <c r="J693" s="93"/>
      <c r="K693" s="113"/>
    </row>
    <row r="694" spans="6:11" ht="12.75" customHeight="1" x14ac:dyDescent="0.25">
      <c r="F694" s="92"/>
      <c r="G694" s="92"/>
      <c r="H694" s="92"/>
      <c r="I694" s="92"/>
      <c r="J694" s="93"/>
      <c r="K694" s="113"/>
    </row>
    <row r="695" spans="6:11" ht="12.75" customHeight="1" x14ac:dyDescent="0.25">
      <c r="F695" s="92"/>
      <c r="G695" s="92"/>
      <c r="H695" s="92"/>
      <c r="I695" s="92"/>
      <c r="J695" s="93"/>
      <c r="K695" s="113"/>
    </row>
    <row r="696" spans="6:11" ht="12.75" customHeight="1" x14ac:dyDescent="0.25">
      <c r="F696" s="92"/>
      <c r="G696" s="92"/>
      <c r="H696" s="92"/>
      <c r="I696" s="92"/>
      <c r="J696" s="93"/>
      <c r="K696" s="113"/>
    </row>
    <row r="697" spans="6:11" ht="12.75" customHeight="1" x14ac:dyDescent="0.25">
      <c r="F697" s="92"/>
      <c r="G697" s="92"/>
      <c r="H697" s="92"/>
      <c r="I697" s="92"/>
      <c r="J697" s="93"/>
      <c r="K697" s="113"/>
    </row>
    <row r="698" spans="6:11" ht="12.75" customHeight="1" x14ac:dyDescent="0.25">
      <c r="F698" s="92"/>
      <c r="G698" s="92"/>
      <c r="H698" s="92"/>
      <c r="I698" s="92"/>
      <c r="J698" s="93"/>
      <c r="K698" s="113"/>
    </row>
    <row r="699" spans="6:11" ht="12.75" customHeight="1" x14ac:dyDescent="0.25">
      <c r="F699" s="92"/>
      <c r="G699" s="92"/>
      <c r="H699" s="92"/>
      <c r="I699" s="92"/>
      <c r="J699" s="93"/>
      <c r="K699" s="113"/>
    </row>
    <row r="700" spans="6:11" ht="12.75" customHeight="1" x14ac:dyDescent="0.25">
      <c r="F700" s="92"/>
      <c r="G700" s="92"/>
      <c r="H700" s="92"/>
      <c r="I700" s="92"/>
      <c r="J700" s="93"/>
      <c r="K700" s="113"/>
    </row>
    <row r="701" spans="6:11" ht="12.75" customHeight="1" x14ac:dyDescent="0.25">
      <c r="F701" s="92"/>
      <c r="G701" s="92"/>
      <c r="H701" s="92"/>
      <c r="I701" s="92"/>
      <c r="J701" s="93"/>
      <c r="K701" s="113"/>
    </row>
    <row r="702" spans="6:11" ht="12.75" customHeight="1" x14ac:dyDescent="0.25">
      <c r="F702" s="92"/>
      <c r="G702" s="92"/>
      <c r="H702" s="92"/>
      <c r="I702" s="92"/>
      <c r="J702" s="93"/>
      <c r="K702" s="113"/>
    </row>
    <row r="703" spans="6:11" ht="12.75" customHeight="1" x14ac:dyDescent="0.25">
      <c r="F703" s="92"/>
      <c r="G703" s="92"/>
      <c r="H703" s="92"/>
      <c r="I703" s="92"/>
      <c r="J703" s="93"/>
      <c r="K703" s="113"/>
    </row>
    <row r="704" spans="6:11" ht="12.75" customHeight="1" x14ac:dyDescent="0.25">
      <c r="F704" s="92"/>
      <c r="G704" s="92"/>
      <c r="H704" s="92"/>
      <c r="I704" s="92"/>
      <c r="J704" s="93"/>
      <c r="K704" s="113"/>
    </row>
    <row r="705" spans="6:11" ht="12.75" customHeight="1" x14ac:dyDescent="0.25">
      <c r="F705" s="92"/>
      <c r="G705" s="92"/>
      <c r="H705" s="92"/>
      <c r="I705" s="92"/>
      <c r="J705" s="93"/>
      <c r="K705" s="113"/>
    </row>
    <row r="706" spans="6:11" ht="12.75" customHeight="1" x14ac:dyDescent="0.25">
      <c r="F706" s="92"/>
      <c r="G706" s="92"/>
      <c r="H706" s="92"/>
      <c r="I706" s="92"/>
      <c r="J706" s="93"/>
      <c r="K706" s="113"/>
    </row>
    <row r="707" spans="6:11" ht="12.75" customHeight="1" x14ac:dyDescent="0.25">
      <c r="F707" s="92"/>
      <c r="G707" s="92"/>
      <c r="H707" s="92"/>
      <c r="I707" s="92"/>
      <c r="J707" s="93"/>
      <c r="K707" s="113"/>
    </row>
    <row r="708" spans="6:11" ht="12.75" customHeight="1" x14ac:dyDescent="0.25">
      <c r="F708" s="92"/>
      <c r="G708" s="92"/>
      <c r="H708" s="92"/>
      <c r="I708" s="92"/>
      <c r="J708" s="93"/>
      <c r="K708" s="113"/>
    </row>
    <row r="709" spans="6:11" ht="12.75" customHeight="1" x14ac:dyDescent="0.25">
      <c r="F709" s="92"/>
      <c r="G709" s="92"/>
      <c r="H709" s="92"/>
      <c r="I709" s="92"/>
      <c r="J709" s="93"/>
      <c r="K709" s="113"/>
    </row>
    <row r="710" spans="6:11" ht="12.75" customHeight="1" x14ac:dyDescent="0.25">
      <c r="F710" s="92"/>
      <c r="G710" s="92"/>
      <c r="H710" s="92"/>
      <c r="I710" s="92"/>
      <c r="J710" s="93"/>
      <c r="K710" s="113"/>
    </row>
    <row r="711" spans="6:11" ht="12.75" customHeight="1" x14ac:dyDescent="0.25">
      <c r="F711" s="92"/>
      <c r="G711" s="92"/>
      <c r="H711" s="92"/>
      <c r="I711" s="92"/>
      <c r="J711" s="93"/>
      <c r="K711" s="113"/>
    </row>
    <row r="712" spans="6:11" ht="12.75" customHeight="1" x14ac:dyDescent="0.25">
      <c r="F712" s="92"/>
      <c r="G712" s="92"/>
      <c r="H712" s="92"/>
      <c r="I712" s="92"/>
      <c r="J712" s="93"/>
      <c r="K712" s="113"/>
    </row>
    <row r="713" spans="6:11" ht="12.75" customHeight="1" x14ac:dyDescent="0.25">
      <c r="F713" s="92"/>
      <c r="G713" s="92"/>
      <c r="H713" s="92"/>
      <c r="I713" s="92"/>
      <c r="J713" s="93"/>
      <c r="K713" s="113"/>
    </row>
    <row r="714" spans="6:11" ht="12.75" customHeight="1" x14ac:dyDescent="0.25">
      <c r="F714" s="92"/>
      <c r="G714" s="92"/>
      <c r="H714" s="92"/>
      <c r="I714" s="92"/>
      <c r="J714" s="93"/>
      <c r="K714" s="113"/>
    </row>
    <row r="715" spans="6:11" ht="12.75" customHeight="1" x14ac:dyDescent="0.25">
      <c r="F715" s="92"/>
      <c r="G715" s="92"/>
      <c r="H715" s="92"/>
      <c r="I715" s="92"/>
      <c r="J715" s="93"/>
      <c r="K715" s="113"/>
    </row>
    <row r="716" spans="6:11" ht="12.75" customHeight="1" x14ac:dyDescent="0.25">
      <c r="F716" s="92"/>
      <c r="G716" s="92"/>
      <c r="H716" s="92"/>
      <c r="I716" s="92"/>
      <c r="J716" s="93"/>
      <c r="K716" s="113"/>
    </row>
    <row r="717" spans="6:11" ht="12.75" customHeight="1" x14ac:dyDescent="0.25">
      <c r="F717" s="92"/>
      <c r="G717" s="92"/>
      <c r="H717" s="92"/>
      <c r="I717" s="92"/>
      <c r="J717" s="93"/>
      <c r="K717" s="113"/>
    </row>
    <row r="718" spans="6:11" ht="12.75" customHeight="1" x14ac:dyDescent="0.25">
      <c r="F718" s="92"/>
      <c r="G718" s="92"/>
      <c r="H718" s="92"/>
      <c r="I718" s="92"/>
      <c r="J718" s="93"/>
      <c r="K718" s="113"/>
    </row>
    <row r="719" spans="6:11" ht="12.75" customHeight="1" x14ac:dyDescent="0.25">
      <c r="F719" s="92"/>
      <c r="G719" s="92"/>
      <c r="H719" s="92"/>
      <c r="I719" s="92"/>
      <c r="J719" s="93"/>
      <c r="K719" s="113"/>
    </row>
    <row r="720" spans="6:11" ht="12.75" customHeight="1" x14ac:dyDescent="0.25">
      <c r="F720" s="92"/>
      <c r="G720" s="92"/>
      <c r="H720" s="92"/>
      <c r="I720" s="92"/>
      <c r="J720" s="93"/>
      <c r="K720" s="113"/>
    </row>
    <row r="721" spans="6:11" ht="12.75" customHeight="1" x14ac:dyDescent="0.25">
      <c r="F721" s="92"/>
      <c r="G721" s="92"/>
      <c r="H721" s="92"/>
      <c r="I721" s="92"/>
      <c r="J721" s="93"/>
      <c r="K721" s="113"/>
    </row>
    <row r="722" spans="6:11" ht="12.75" customHeight="1" x14ac:dyDescent="0.25">
      <c r="F722" s="92"/>
      <c r="G722" s="92"/>
      <c r="H722" s="92"/>
      <c r="I722" s="92"/>
      <c r="J722" s="93"/>
      <c r="K722" s="113"/>
    </row>
    <row r="723" spans="6:11" ht="12.75" customHeight="1" x14ac:dyDescent="0.25">
      <c r="F723" s="92"/>
      <c r="G723" s="92"/>
      <c r="H723" s="92"/>
      <c r="I723" s="92"/>
      <c r="J723" s="93"/>
      <c r="K723" s="113"/>
    </row>
    <row r="724" spans="6:11" ht="12.75" customHeight="1" x14ac:dyDescent="0.25">
      <c r="F724" s="92"/>
      <c r="G724" s="92"/>
      <c r="H724" s="92"/>
      <c r="I724" s="92"/>
      <c r="J724" s="93"/>
      <c r="K724" s="113"/>
    </row>
    <row r="725" spans="6:11" ht="12.75" customHeight="1" x14ac:dyDescent="0.25">
      <c r="F725" s="92"/>
      <c r="G725" s="92"/>
      <c r="H725" s="92"/>
      <c r="I725" s="92"/>
      <c r="J725" s="93"/>
      <c r="K725" s="113"/>
    </row>
    <row r="726" spans="6:11" ht="12.75" customHeight="1" x14ac:dyDescent="0.25">
      <c r="F726" s="92"/>
      <c r="G726" s="92"/>
      <c r="H726" s="92"/>
      <c r="I726" s="92"/>
      <c r="J726" s="93"/>
      <c r="K726" s="113"/>
    </row>
    <row r="727" spans="6:11" ht="12.75" customHeight="1" x14ac:dyDescent="0.25">
      <c r="F727" s="92"/>
      <c r="G727" s="92"/>
      <c r="H727" s="92"/>
      <c r="I727" s="92"/>
      <c r="J727" s="93"/>
      <c r="K727" s="113"/>
    </row>
    <row r="728" spans="6:11" ht="12.75" customHeight="1" x14ac:dyDescent="0.25">
      <c r="F728" s="92"/>
      <c r="G728" s="92"/>
      <c r="H728" s="92"/>
      <c r="I728" s="92"/>
      <c r="J728" s="93"/>
      <c r="K728" s="113"/>
    </row>
    <row r="729" spans="6:11" ht="12.75" customHeight="1" x14ac:dyDescent="0.25">
      <c r="F729" s="92"/>
      <c r="G729" s="92"/>
      <c r="H729" s="92"/>
      <c r="I729" s="92"/>
      <c r="J729" s="93"/>
      <c r="K729" s="113"/>
    </row>
    <row r="730" spans="6:11" ht="12.75" customHeight="1" x14ac:dyDescent="0.25">
      <c r="F730" s="92"/>
      <c r="G730" s="92"/>
      <c r="H730" s="92"/>
      <c r="I730" s="92"/>
      <c r="J730" s="93"/>
      <c r="K730" s="113"/>
    </row>
    <row r="731" spans="6:11" ht="12.75" customHeight="1" x14ac:dyDescent="0.25">
      <c r="F731" s="92"/>
      <c r="G731" s="92"/>
      <c r="H731" s="92"/>
      <c r="I731" s="92"/>
      <c r="J731" s="93"/>
      <c r="K731" s="113"/>
    </row>
    <row r="732" spans="6:11" ht="12.75" customHeight="1" x14ac:dyDescent="0.25">
      <c r="F732" s="92"/>
      <c r="G732" s="92"/>
      <c r="H732" s="92"/>
      <c r="I732" s="92"/>
      <c r="J732" s="93"/>
      <c r="K732" s="113"/>
    </row>
    <row r="733" spans="6:11" ht="12.75" customHeight="1" x14ac:dyDescent="0.25">
      <c r="F733" s="92"/>
      <c r="G733" s="92"/>
      <c r="H733" s="92"/>
      <c r="I733" s="92"/>
      <c r="J733" s="93"/>
      <c r="K733" s="113"/>
    </row>
    <row r="734" spans="6:11" ht="12.75" customHeight="1" x14ac:dyDescent="0.25">
      <c r="F734" s="92"/>
      <c r="G734" s="92"/>
      <c r="H734" s="92"/>
      <c r="I734" s="92"/>
      <c r="J734" s="93"/>
      <c r="K734" s="113"/>
    </row>
    <row r="735" spans="6:11" ht="12.75" customHeight="1" x14ac:dyDescent="0.25">
      <c r="F735" s="92"/>
      <c r="G735" s="92"/>
      <c r="H735" s="92"/>
      <c r="I735" s="92"/>
      <c r="J735" s="93"/>
      <c r="K735" s="113"/>
    </row>
    <row r="736" spans="6:11" ht="12.75" customHeight="1" x14ac:dyDescent="0.25">
      <c r="F736" s="92"/>
      <c r="G736" s="92"/>
      <c r="H736" s="92"/>
      <c r="I736" s="92"/>
      <c r="J736" s="93"/>
      <c r="K736" s="113"/>
    </row>
    <row r="737" spans="6:11" ht="12.75" customHeight="1" x14ac:dyDescent="0.25">
      <c r="F737" s="92"/>
      <c r="G737" s="92"/>
      <c r="H737" s="92"/>
      <c r="I737" s="92"/>
      <c r="J737" s="93"/>
      <c r="K737" s="113"/>
    </row>
    <row r="738" spans="6:11" ht="12.75" customHeight="1" x14ac:dyDescent="0.25">
      <c r="F738" s="92"/>
      <c r="G738" s="92"/>
      <c r="H738" s="92"/>
      <c r="I738" s="92"/>
      <c r="J738" s="93"/>
      <c r="K738" s="113"/>
    </row>
    <row r="739" spans="6:11" ht="12.75" customHeight="1" x14ac:dyDescent="0.25">
      <c r="F739" s="92"/>
      <c r="G739" s="92"/>
      <c r="H739" s="92"/>
      <c r="I739" s="92"/>
      <c r="J739" s="93"/>
      <c r="K739" s="113"/>
    </row>
    <row r="740" spans="6:11" ht="12.75" customHeight="1" x14ac:dyDescent="0.25">
      <c r="F740" s="92"/>
      <c r="G740" s="92"/>
      <c r="H740" s="92"/>
      <c r="I740" s="92"/>
      <c r="J740" s="93"/>
      <c r="K740" s="113"/>
    </row>
    <row r="741" spans="6:11" ht="12.75" customHeight="1" x14ac:dyDescent="0.25">
      <c r="F741" s="92"/>
      <c r="G741" s="92"/>
      <c r="H741" s="92"/>
      <c r="I741" s="92"/>
      <c r="J741" s="93"/>
      <c r="K741" s="113"/>
    </row>
    <row r="742" spans="6:11" ht="12.75" customHeight="1" x14ac:dyDescent="0.25">
      <c r="F742" s="92"/>
      <c r="G742" s="92"/>
      <c r="H742" s="92"/>
      <c r="I742" s="92"/>
      <c r="J742" s="93"/>
      <c r="K742" s="113"/>
    </row>
    <row r="743" spans="6:11" ht="12.75" customHeight="1" x14ac:dyDescent="0.25">
      <c r="F743" s="92"/>
      <c r="G743" s="92"/>
      <c r="H743" s="92"/>
      <c r="I743" s="92"/>
      <c r="J743" s="93"/>
      <c r="K743" s="113"/>
    </row>
    <row r="744" spans="6:11" ht="12.75" customHeight="1" x14ac:dyDescent="0.25">
      <c r="F744" s="92"/>
      <c r="G744" s="92"/>
      <c r="H744" s="92"/>
      <c r="I744" s="92"/>
      <c r="J744" s="93"/>
      <c r="K744" s="113"/>
    </row>
    <row r="745" spans="6:11" ht="12.75" customHeight="1" x14ac:dyDescent="0.25">
      <c r="F745" s="92"/>
      <c r="G745" s="92"/>
      <c r="H745" s="92"/>
      <c r="I745" s="92"/>
      <c r="J745" s="93"/>
      <c r="K745" s="113"/>
    </row>
    <row r="746" spans="6:11" ht="12.75" customHeight="1" x14ac:dyDescent="0.25">
      <c r="F746" s="92"/>
      <c r="G746" s="92"/>
      <c r="H746" s="92"/>
      <c r="I746" s="92"/>
      <c r="J746" s="93"/>
      <c r="K746" s="113"/>
    </row>
    <row r="747" spans="6:11" ht="12.75" customHeight="1" x14ac:dyDescent="0.25">
      <c r="F747" s="92"/>
      <c r="G747" s="92"/>
      <c r="H747" s="92"/>
      <c r="I747" s="92"/>
      <c r="J747" s="93"/>
      <c r="K747" s="113"/>
    </row>
    <row r="748" spans="6:11" ht="12.75" customHeight="1" x14ac:dyDescent="0.25">
      <c r="F748" s="92"/>
      <c r="G748" s="92"/>
      <c r="H748" s="92"/>
      <c r="I748" s="92"/>
      <c r="J748" s="93"/>
      <c r="K748" s="113"/>
    </row>
    <row r="749" spans="6:11" ht="12.75" customHeight="1" x14ac:dyDescent="0.25">
      <c r="F749" s="92"/>
      <c r="G749" s="92"/>
      <c r="H749" s="92"/>
      <c r="I749" s="92"/>
      <c r="J749" s="93"/>
      <c r="K749" s="113"/>
    </row>
    <row r="750" spans="6:11" ht="12.75" customHeight="1" x14ac:dyDescent="0.25">
      <c r="F750" s="92"/>
      <c r="G750" s="92"/>
      <c r="H750" s="92"/>
      <c r="I750" s="92"/>
      <c r="J750" s="93"/>
      <c r="K750" s="113"/>
    </row>
    <row r="751" spans="6:11" ht="12.75" customHeight="1" x14ac:dyDescent="0.25">
      <c r="F751" s="92"/>
      <c r="G751" s="92"/>
      <c r="H751" s="92"/>
      <c r="I751" s="92"/>
      <c r="J751" s="93"/>
      <c r="K751" s="113"/>
    </row>
    <row r="752" spans="6:11" ht="12.75" customHeight="1" x14ac:dyDescent="0.25">
      <c r="F752" s="92"/>
      <c r="G752" s="92"/>
      <c r="H752" s="92"/>
      <c r="I752" s="92"/>
      <c r="J752" s="93"/>
      <c r="K752" s="113"/>
    </row>
    <row r="753" spans="6:11" ht="12.75" customHeight="1" x14ac:dyDescent="0.25">
      <c r="F753" s="92"/>
      <c r="G753" s="92"/>
      <c r="H753" s="92"/>
      <c r="I753" s="92"/>
      <c r="J753" s="93"/>
      <c r="K753" s="113"/>
    </row>
    <row r="754" spans="6:11" ht="12.75" customHeight="1" x14ac:dyDescent="0.25">
      <c r="F754" s="92"/>
      <c r="G754" s="92"/>
      <c r="H754" s="92"/>
      <c r="I754" s="92"/>
      <c r="J754" s="93"/>
      <c r="K754" s="113"/>
    </row>
    <row r="755" spans="6:11" ht="12.75" customHeight="1" x14ac:dyDescent="0.25">
      <c r="F755" s="92"/>
      <c r="G755" s="92"/>
      <c r="H755" s="92"/>
      <c r="I755" s="92"/>
      <c r="J755" s="93"/>
      <c r="K755" s="113"/>
    </row>
    <row r="756" spans="6:11" ht="12.75" customHeight="1" x14ac:dyDescent="0.25">
      <c r="F756" s="92"/>
      <c r="G756" s="92"/>
      <c r="H756" s="92"/>
      <c r="I756" s="92"/>
      <c r="J756" s="93"/>
      <c r="K756" s="113"/>
    </row>
    <row r="757" spans="6:11" ht="12.75" customHeight="1" x14ac:dyDescent="0.25">
      <c r="F757" s="92"/>
      <c r="G757" s="92"/>
      <c r="H757" s="92"/>
      <c r="I757" s="92"/>
      <c r="J757" s="93"/>
      <c r="K757" s="113"/>
    </row>
    <row r="758" spans="6:11" ht="12.75" customHeight="1" x14ac:dyDescent="0.25">
      <c r="F758" s="92"/>
      <c r="G758" s="92"/>
      <c r="H758" s="92"/>
      <c r="I758" s="92"/>
      <c r="J758" s="93"/>
      <c r="K758" s="113"/>
    </row>
    <row r="759" spans="6:11" ht="12.75" customHeight="1" x14ac:dyDescent="0.25">
      <c r="F759" s="92"/>
      <c r="G759" s="92"/>
      <c r="H759" s="92"/>
      <c r="I759" s="92"/>
      <c r="J759" s="93"/>
      <c r="K759" s="113"/>
    </row>
    <row r="760" spans="6:11" ht="12.75" customHeight="1" x14ac:dyDescent="0.25">
      <c r="F760" s="92"/>
      <c r="G760" s="92"/>
      <c r="H760" s="92"/>
      <c r="I760" s="92"/>
      <c r="J760" s="93"/>
      <c r="K760" s="113"/>
    </row>
    <row r="761" spans="6:11" ht="12.75" customHeight="1" x14ac:dyDescent="0.25">
      <c r="F761" s="92"/>
      <c r="G761" s="92"/>
      <c r="H761" s="92"/>
      <c r="I761" s="92"/>
      <c r="J761" s="93"/>
      <c r="K761" s="113"/>
    </row>
    <row r="762" spans="6:11" ht="12.75" customHeight="1" x14ac:dyDescent="0.25">
      <c r="F762" s="92"/>
      <c r="G762" s="92"/>
      <c r="H762" s="92"/>
      <c r="I762" s="92"/>
      <c r="J762" s="93"/>
      <c r="K762" s="113"/>
    </row>
    <row r="763" spans="6:11" ht="12.75" customHeight="1" x14ac:dyDescent="0.25">
      <c r="F763" s="92"/>
      <c r="G763" s="92"/>
      <c r="H763" s="92"/>
      <c r="I763" s="92"/>
      <c r="J763" s="93"/>
      <c r="K763" s="113"/>
    </row>
    <row r="764" spans="6:11" ht="12.75" customHeight="1" x14ac:dyDescent="0.25">
      <c r="F764" s="92"/>
      <c r="G764" s="92"/>
      <c r="H764" s="92"/>
      <c r="I764" s="92"/>
      <c r="J764" s="93"/>
      <c r="K764" s="113"/>
    </row>
    <row r="765" spans="6:11" ht="12.75" customHeight="1" x14ac:dyDescent="0.25">
      <c r="F765" s="92"/>
      <c r="G765" s="92"/>
      <c r="H765" s="92"/>
      <c r="I765" s="92"/>
      <c r="J765" s="93"/>
      <c r="K765" s="113"/>
    </row>
    <row r="766" spans="6:11" ht="12.75" customHeight="1" x14ac:dyDescent="0.25">
      <c r="F766" s="92"/>
      <c r="G766" s="92"/>
      <c r="H766" s="92"/>
      <c r="I766" s="92"/>
      <c r="J766" s="93"/>
      <c r="K766" s="113"/>
    </row>
    <row r="767" spans="6:11" ht="12.75" customHeight="1" x14ac:dyDescent="0.25">
      <c r="F767" s="92"/>
      <c r="G767" s="92"/>
      <c r="H767" s="92"/>
      <c r="I767" s="92"/>
      <c r="J767" s="93"/>
      <c r="K767" s="113"/>
    </row>
    <row r="768" spans="6:11" ht="12.75" customHeight="1" x14ac:dyDescent="0.25">
      <c r="F768" s="92"/>
      <c r="G768" s="92"/>
      <c r="H768" s="92"/>
      <c r="I768" s="92"/>
      <c r="J768" s="93"/>
      <c r="K768" s="113"/>
    </row>
    <row r="769" spans="6:11" ht="12.75" customHeight="1" x14ac:dyDescent="0.25">
      <c r="F769" s="92"/>
      <c r="G769" s="92"/>
      <c r="H769" s="92"/>
      <c r="I769" s="92"/>
      <c r="J769" s="93"/>
      <c r="K769" s="113"/>
    </row>
    <row r="770" spans="6:11" ht="12.75" customHeight="1" x14ac:dyDescent="0.25">
      <c r="F770" s="92"/>
      <c r="G770" s="92"/>
      <c r="H770" s="92"/>
      <c r="I770" s="92"/>
      <c r="J770" s="93"/>
      <c r="K770" s="113"/>
    </row>
    <row r="771" spans="6:11" ht="12.75" customHeight="1" x14ac:dyDescent="0.25">
      <c r="F771" s="92"/>
      <c r="G771" s="92"/>
      <c r="H771" s="92"/>
      <c r="I771" s="92"/>
      <c r="J771" s="93"/>
      <c r="K771" s="113"/>
    </row>
    <row r="772" spans="6:11" ht="12.75" customHeight="1" x14ac:dyDescent="0.25">
      <c r="F772" s="92"/>
      <c r="G772" s="92"/>
      <c r="H772" s="92"/>
      <c r="I772" s="92"/>
      <c r="J772" s="93"/>
      <c r="K772" s="113"/>
    </row>
    <row r="773" spans="6:11" ht="12.75" customHeight="1" x14ac:dyDescent="0.25">
      <c r="F773" s="92"/>
      <c r="G773" s="92"/>
      <c r="H773" s="92"/>
      <c r="I773" s="92"/>
      <c r="J773" s="93"/>
      <c r="K773" s="113"/>
    </row>
    <row r="774" spans="6:11" ht="12.75" customHeight="1" x14ac:dyDescent="0.25">
      <c r="F774" s="92"/>
      <c r="G774" s="92"/>
      <c r="H774" s="92"/>
      <c r="I774" s="92"/>
      <c r="J774" s="93"/>
      <c r="K774" s="113"/>
    </row>
    <row r="775" spans="6:11" ht="12.75" customHeight="1" x14ac:dyDescent="0.25">
      <c r="F775" s="92"/>
      <c r="G775" s="92"/>
      <c r="H775" s="92"/>
      <c r="I775" s="92"/>
      <c r="J775" s="93"/>
      <c r="K775" s="113"/>
    </row>
    <row r="776" spans="6:11" ht="12.75" customHeight="1" x14ac:dyDescent="0.25">
      <c r="F776" s="92"/>
      <c r="G776" s="92"/>
      <c r="H776" s="92"/>
      <c r="I776" s="92"/>
      <c r="J776" s="93"/>
      <c r="K776" s="113"/>
    </row>
    <row r="777" spans="6:11" ht="12.75" customHeight="1" x14ac:dyDescent="0.25">
      <c r="F777" s="92"/>
      <c r="G777" s="92"/>
      <c r="H777" s="92"/>
      <c r="I777" s="92"/>
      <c r="J777" s="93"/>
      <c r="K777" s="113"/>
    </row>
    <row r="778" spans="6:11" ht="12.75" customHeight="1" x14ac:dyDescent="0.25">
      <c r="F778" s="92"/>
      <c r="G778" s="92"/>
      <c r="H778" s="92"/>
      <c r="I778" s="92"/>
      <c r="J778" s="93"/>
      <c r="K778" s="113"/>
    </row>
    <row r="779" spans="6:11" ht="12.75" customHeight="1" x14ac:dyDescent="0.25">
      <c r="F779" s="92"/>
      <c r="G779" s="92"/>
      <c r="H779" s="92"/>
      <c r="I779" s="92"/>
      <c r="J779" s="93"/>
      <c r="K779" s="113"/>
    </row>
    <row r="780" spans="6:11" ht="12.75" customHeight="1" x14ac:dyDescent="0.25">
      <c r="F780" s="92"/>
      <c r="G780" s="92"/>
      <c r="H780" s="92"/>
      <c r="I780" s="92"/>
      <c r="J780" s="93"/>
      <c r="K780" s="113"/>
    </row>
    <row r="781" spans="6:11" ht="12.75" customHeight="1" x14ac:dyDescent="0.25">
      <c r="F781" s="92"/>
      <c r="G781" s="92"/>
      <c r="H781" s="92"/>
      <c r="I781" s="92"/>
      <c r="J781" s="93"/>
      <c r="K781" s="113"/>
    </row>
    <row r="782" spans="6:11" ht="12.75" customHeight="1" x14ac:dyDescent="0.25">
      <c r="F782" s="92"/>
      <c r="G782" s="92"/>
      <c r="H782" s="92"/>
      <c r="I782" s="92"/>
      <c r="J782" s="93"/>
      <c r="K782" s="113"/>
    </row>
    <row r="783" spans="6:11" ht="12.75" customHeight="1" x14ac:dyDescent="0.25">
      <c r="F783" s="92"/>
      <c r="G783" s="92"/>
      <c r="H783" s="92"/>
      <c r="I783" s="92"/>
      <c r="J783" s="93"/>
      <c r="K783" s="113"/>
    </row>
    <row r="784" spans="6:11" ht="12.75" customHeight="1" x14ac:dyDescent="0.25">
      <c r="F784" s="92"/>
      <c r="G784" s="92"/>
      <c r="H784" s="92"/>
      <c r="I784" s="92"/>
      <c r="J784" s="93"/>
      <c r="K784" s="113"/>
    </row>
    <row r="785" spans="6:11" ht="12.75" customHeight="1" x14ac:dyDescent="0.25">
      <c r="F785" s="92"/>
      <c r="G785" s="92"/>
      <c r="H785" s="92"/>
      <c r="I785" s="92"/>
      <c r="J785" s="93"/>
      <c r="K785" s="113"/>
    </row>
    <row r="786" spans="6:11" ht="12.75" customHeight="1" x14ac:dyDescent="0.25">
      <c r="F786" s="92"/>
      <c r="G786" s="92"/>
      <c r="H786" s="92"/>
      <c r="I786" s="92"/>
      <c r="J786" s="93"/>
      <c r="K786" s="113"/>
    </row>
    <row r="787" spans="6:11" ht="12.75" customHeight="1" x14ac:dyDescent="0.25">
      <c r="F787" s="92"/>
      <c r="G787" s="92"/>
      <c r="H787" s="92"/>
      <c r="I787" s="92"/>
      <c r="J787" s="93"/>
      <c r="K787" s="113"/>
    </row>
    <row r="788" spans="6:11" ht="12.75" customHeight="1" x14ac:dyDescent="0.25">
      <c r="F788" s="92"/>
      <c r="G788" s="92"/>
      <c r="H788" s="92"/>
      <c r="I788" s="92"/>
      <c r="J788" s="93"/>
      <c r="K788" s="113"/>
    </row>
    <row r="789" spans="6:11" ht="12.75" customHeight="1" x14ac:dyDescent="0.25">
      <c r="F789" s="92"/>
      <c r="G789" s="92"/>
      <c r="H789" s="92"/>
      <c r="I789" s="92"/>
      <c r="J789" s="93"/>
      <c r="K789" s="113"/>
    </row>
    <row r="790" spans="6:11" ht="12.75" customHeight="1" x14ac:dyDescent="0.25">
      <c r="F790" s="92"/>
      <c r="G790" s="92"/>
      <c r="H790" s="92"/>
      <c r="I790" s="92"/>
      <c r="J790" s="93"/>
      <c r="K790" s="113"/>
    </row>
    <row r="791" spans="6:11" ht="12.75" customHeight="1" x14ac:dyDescent="0.25">
      <c r="F791" s="92"/>
      <c r="G791" s="92"/>
      <c r="H791" s="92"/>
      <c r="I791" s="92"/>
      <c r="J791" s="93"/>
      <c r="K791" s="113"/>
    </row>
    <row r="792" spans="6:11" ht="12.75" customHeight="1" x14ac:dyDescent="0.25">
      <c r="F792" s="92"/>
      <c r="G792" s="92"/>
      <c r="H792" s="92"/>
      <c r="I792" s="92"/>
      <c r="J792" s="93"/>
      <c r="K792" s="113"/>
    </row>
    <row r="793" spans="6:11" ht="12.75" customHeight="1" x14ac:dyDescent="0.25">
      <c r="F793" s="92"/>
      <c r="G793" s="92"/>
      <c r="H793" s="92"/>
      <c r="I793" s="92"/>
      <c r="J793" s="93"/>
      <c r="K793" s="113"/>
    </row>
    <row r="794" spans="6:11" ht="12.75" customHeight="1" x14ac:dyDescent="0.25">
      <c r="F794" s="92"/>
      <c r="G794" s="92"/>
      <c r="H794" s="92"/>
      <c r="I794" s="92"/>
      <c r="J794" s="93"/>
      <c r="K794" s="113"/>
    </row>
    <row r="795" spans="6:11" ht="12.75" customHeight="1" x14ac:dyDescent="0.25">
      <c r="F795" s="92"/>
      <c r="G795" s="92"/>
      <c r="H795" s="92"/>
      <c r="I795" s="92"/>
      <c r="J795" s="93"/>
      <c r="K795" s="113"/>
    </row>
    <row r="796" spans="6:11" ht="12.75" customHeight="1" x14ac:dyDescent="0.25">
      <c r="F796" s="92"/>
      <c r="G796" s="92"/>
      <c r="H796" s="92"/>
      <c r="I796" s="92"/>
      <c r="J796" s="93"/>
      <c r="K796" s="113"/>
    </row>
    <row r="797" spans="6:11" ht="12.75" customHeight="1" x14ac:dyDescent="0.25">
      <c r="F797" s="92"/>
      <c r="G797" s="92"/>
      <c r="H797" s="92"/>
      <c r="I797" s="92"/>
      <c r="J797" s="93"/>
      <c r="K797" s="113"/>
    </row>
    <row r="798" spans="6:11" ht="12.75" customHeight="1" x14ac:dyDescent="0.25">
      <c r="F798" s="92"/>
      <c r="G798" s="92"/>
      <c r="H798" s="92"/>
      <c r="I798" s="92"/>
      <c r="J798" s="93"/>
      <c r="K798" s="113"/>
    </row>
    <row r="799" spans="6:11" ht="12.75" customHeight="1" x14ac:dyDescent="0.25">
      <c r="F799" s="92"/>
      <c r="G799" s="92"/>
      <c r="H799" s="92"/>
      <c r="I799" s="92"/>
      <c r="J799" s="93"/>
      <c r="K799" s="113"/>
    </row>
    <row r="800" spans="6:11" ht="12.75" customHeight="1" x14ac:dyDescent="0.25">
      <c r="F800" s="92"/>
      <c r="G800" s="92"/>
      <c r="H800" s="92"/>
      <c r="I800" s="92"/>
      <c r="J800" s="93"/>
      <c r="K800" s="113"/>
    </row>
    <row r="801" spans="6:11" ht="12.75" customHeight="1" x14ac:dyDescent="0.25">
      <c r="F801" s="92"/>
      <c r="G801" s="92"/>
      <c r="H801" s="92"/>
      <c r="I801" s="92"/>
      <c r="J801" s="93"/>
      <c r="K801" s="113"/>
    </row>
    <row r="802" spans="6:11" ht="12.75" customHeight="1" x14ac:dyDescent="0.25">
      <c r="F802" s="92"/>
      <c r="G802" s="92"/>
      <c r="H802" s="92"/>
      <c r="I802" s="92"/>
      <c r="J802" s="93"/>
      <c r="K802" s="113"/>
    </row>
    <row r="803" spans="6:11" ht="12.75" customHeight="1" x14ac:dyDescent="0.25">
      <c r="F803" s="92"/>
      <c r="G803" s="92"/>
      <c r="H803" s="92"/>
      <c r="I803" s="92"/>
      <c r="J803" s="93"/>
      <c r="K803" s="113"/>
    </row>
    <row r="804" spans="6:11" ht="12.75" customHeight="1" x14ac:dyDescent="0.25">
      <c r="F804" s="92"/>
      <c r="G804" s="92"/>
      <c r="H804" s="92"/>
      <c r="I804" s="92"/>
      <c r="J804" s="93"/>
      <c r="K804" s="113"/>
    </row>
    <row r="805" spans="6:11" ht="12.75" customHeight="1" x14ac:dyDescent="0.25">
      <c r="F805" s="92"/>
      <c r="G805" s="92"/>
      <c r="H805" s="92"/>
      <c r="I805" s="92"/>
      <c r="J805" s="93"/>
      <c r="K805" s="113"/>
    </row>
    <row r="806" spans="6:11" ht="12.75" customHeight="1" x14ac:dyDescent="0.25">
      <c r="F806" s="92"/>
      <c r="G806" s="92"/>
      <c r="H806" s="92"/>
      <c r="I806" s="92"/>
      <c r="J806" s="93"/>
      <c r="K806" s="113"/>
    </row>
    <row r="807" spans="6:11" ht="12.75" customHeight="1" x14ac:dyDescent="0.25">
      <c r="F807" s="92"/>
      <c r="G807" s="92"/>
      <c r="H807" s="92"/>
      <c r="I807" s="92"/>
      <c r="J807" s="93"/>
      <c r="K807" s="113"/>
    </row>
    <row r="808" spans="6:11" ht="12.75" customHeight="1" x14ac:dyDescent="0.25">
      <c r="F808" s="92"/>
      <c r="G808" s="92"/>
      <c r="H808" s="92"/>
      <c r="I808" s="92"/>
      <c r="J808" s="93"/>
      <c r="K808" s="113"/>
    </row>
    <row r="809" spans="6:11" ht="12.75" customHeight="1" x14ac:dyDescent="0.25">
      <c r="F809" s="92"/>
      <c r="G809" s="92"/>
      <c r="H809" s="92"/>
      <c r="I809" s="92"/>
      <c r="J809" s="93"/>
      <c r="K809" s="113"/>
    </row>
    <row r="810" spans="6:11" ht="12.75" customHeight="1" x14ac:dyDescent="0.25">
      <c r="F810" s="92"/>
      <c r="G810" s="92"/>
      <c r="H810" s="92"/>
      <c r="I810" s="92"/>
      <c r="J810" s="93"/>
      <c r="K810" s="113"/>
    </row>
    <row r="811" spans="6:11" ht="12.75" customHeight="1" x14ac:dyDescent="0.25">
      <c r="F811" s="92"/>
      <c r="G811" s="92"/>
      <c r="H811" s="92"/>
      <c r="I811" s="92"/>
      <c r="J811" s="93"/>
      <c r="K811" s="113"/>
    </row>
    <row r="812" spans="6:11" ht="12.75" customHeight="1" x14ac:dyDescent="0.25">
      <c r="F812" s="92"/>
      <c r="G812" s="92"/>
      <c r="H812" s="92"/>
      <c r="I812" s="92"/>
      <c r="J812" s="93"/>
      <c r="K812" s="113"/>
    </row>
    <row r="813" spans="6:11" ht="12.75" customHeight="1" x14ac:dyDescent="0.25">
      <c r="F813" s="92"/>
      <c r="G813" s="92"/>
      <c r="H813" s="92"/>
      <c r="I813" s="92"/>
      <c r="J813" s="93"/>
      <c r="K813" s="113"/>
    </row>
    <row r="814" spans="6:11" ht="12.75" customHeight="1" x14ac:dyDescent="0.25">
      <c r="F814" s="92"/>
      <c r="G814" s="92"/>
      <c r="H814" s="92"/>
      <c r="I814" s="92"/>
      <c r="J814" s="93"/>
      <c r="K814" s="113"/>
    </row>
    <row r="815" spans="6:11" ht="12.75" customHeight="1" x14ac:dyDescent="0.25">
      <c r="F815" s="92"/>
      <c r="G815" s="92"/>
      <c r="H815" s="92"/>
      <c r="I815" s="92"/>
      <c r="J815" s="93"/>
      <c r="K815" s="113"/>
    </row>
    <row r="816" spans="6:11" ht="12.75" customHeight="1" x14ac:dyDescent="0.25">
      <c r="F816" s="92"/>
      <c r="G816" s="92"/>
      <c r="H816" s="92"/>
      <c r="I816" s="92"/>
      <c r="J816" s="93"/>
      <c r="K816" s="113"/>
    </row>
    <row r="817" spans="6:11" ht="12.75" customHeight="1" x14ac:dyDescent="0.25">
      <c r="F817" s="92"/>
      <c r="G817" s="92"/>
      <c r="H817" s="92"/>
      <c r="I817" s="92"/>
      <c r="J817" s="93"/>
      <c r="K817" s="113"/>
    </row>
    <row r="818" spans="6:11" ht="12.75" customHeight="1" x14ac:dyDescent="0.25">
      <c r="F818" s="92"/>
      <c r="G818" s="92"/>
      <c r="H818" s="92"/>
      <c r="I818" s="92"/>
      <c r="J818" s="93"/>
      <c r="K818" s="113"/>
    </row>
    <row r="819" spans="6:11" ht="12.75" customHeight="1" x14ac:dyDescent="0.25">
      <c r="F819" s="92"/>
      <c r="G819" s="92"/>
      <c r="H819" s="92"/>
      <c r="I819" s="92"/>
      <c r="J819" s="93"/>
      <c r="K819" s="113"/>
    </row>
    <row r="820" spans="6:11" ht="12.75" customHeight="1" x14ac:dyDescent="0.25">
      <c r="F820" s="92"/>
      <c r="G820" s="92"/>
      <c r="H820" s="92"/>
      <c r="I820" s="92"/>
      <c r="J820" s="93"/>
      <c r="K820" s="113"/>
    </row>
    <row r="821" spans="6:11" ht="12.75" customHeight="1" x14ac:dyDescent="0.25">
      <c r="F821" s="92"/>
      <c r="G821" s="92"/>
      <c r="H821" s="92"/>
      <c r="I821" s="92"/>
      <c r="J821" s="93"/>
      <c r="K821" s="113"/>
    </row>
    <row r="822" spans="6:11" ht="12.75" customHeight="1" x14ac:dyDescent="0.25">
      <c r="F822" s="92"/>
      <c r="G822" s="92"/>
      <c r="H822" s="92"/>
      <c r="I822" s="92"/>
      <c r="J822" s="93"/>
      <c r="K822" s="113"/>
    </row>
    <row r="823" spans="6:11" ht="12.75" customHeight="1" x14ac:dyDescent="0.25">
      <c r="F823" s="92"/>
      <c r="G823" s="92"/>
      <c r="H823" s="92"/>
      <c r="I823" s="92"/>
      <c r="J823" s="93"/>
      <c r="K823" s="113"/>
    </row>
    <row r="824" spans="6:11" ht="12.75" customHeight="1" x14ac:dyDescent="0.25">
      <c r="F824" s="92"/>
      <c r="G824" s="92"/>
      <c r="H824" s="92"/>
      <c r="I824" s="92"/>
      <c r="J824" s="93"/>
      <c r="K824" s="113"/>
    </row>
    <row r="825" spans="6:11" ht="12.75" customHeight="1" x14ac:dyDescent="0.25">
      <c r="F825" s="92"/>
      <c r="G825" s="92"/>
      <c r="H825" s="92"/>
      <c r="I825" s="92"/>
      <c r="J825" s="93"/>
      <c r="K825" s="113"/>
    </row>
    <row r="826" spans="6:11" ht="12.75" customHeight="1" x14ac:dyDescent="0.25">
      <c r="F826" s="92"/>
      <c r="G826" s="92"/>
      <c r="H826" s="92"/>
      <c r="I826" s="92"/>
      <c r="J826" s="93"/>
      <c r="K826" s="113"/>
    </row>
    <row r="827" spans="6:11" ht="12.75" customHeight="1" x14ac:dyDescent="0.25">
      <c r="F827" s="92"/>
      <c r="G827" s="92"/>
      <c r="H827" s="92"/>
      <c r="I827" s="92"/>
      <c r="J827" s="93"/>
      <c r="K827" s="113"/>
    </row>
    <row r="828" spans="6:11" ht="12.75" customHeight="1" x14ac:dyDescent="0.25">
      <c r="F828" s="92"/>
      <c r="G828" s="92"/>
      <c r="H828" s="92"/>
      <c r="I828" s="92"/>
      <c r="J828" s="93"/>
      <c r="K828" s="113"/>
    </row>
    <row r="829" spans="6:11" ht="12.75" customHeight="1" x14ac:dyDescent="0.25">
      <c r="F829" s="92"/>
      <c r="G829" s="92"/>
      <c r="H829" s="92"/>
      <c r="I829" s="92"/>
      <c r="J829" s="93"/>
      <c r="K829" s="113"/>
    </row>
    <row r="830" spans="6:11" ht="12.75" customHeight="1" x14ac:dyDescent="0.25">
      <c r="F830" s="92"/>
      <c r="G830" s="92"/>
      <c r="H830" s="92"/>
      <c r="I830" s="92"/>
      <c r="J830" s="93"/>
      <c r="K830" s="113"/>
    </row>
    <row r="831" spans="6:11" ht="12.75" customHeight="1" x14ac:dyDescent="0.25">
      <c r="F831" s="92"/>
      <c r="G831" s="92"/>
      <c r="H831" s="92"/>
      <c r="I831" s="92"/>
      <c r="J831" s="93"/>
      <c r="K831" s="113"/>
    </row>
    <row r="832" spans="6:11" ht="12.75" customHeight="1" x14ac:dyDescent="0.25">
      <c r="F832" s="92"/>
      <c r="G832" s="92"/>
      <c r="H832" s="92"/>
      <c r="I832" s="92"/>
      <c r="J832" s="93"/>
      <c r="K832" s="113"/>
    </row>
    <row r="833" spans="6:11" ht="12.75" customHeight="1" x14ac:dyDescent="0.25">
      <c r="F833" s="92"/>
      <c r="G833" s="92"/>
      <c r="H833" s="92"/>
      <c r="I833" s="92"/>
      <c r="J833" s="93"/>
      <c r="K833" s="113"/>
    </row>
    <row r="834" spans="6:11" ht="12.75" customHeight="1" x14ac:dyDescent="0.25">
      <c r="F834" s="92"/>
      <c r="G834" s="92"/>
      <c r="H834" s="92"/>
      <c r="I834" s="92"/>
      <c r="J834" s="93"/>
      <c r="K834" s="113"/>
    </row>
    <row r="835" spans="6:11" ht="12.75" customHeight="1" x14ac:dyDescent="0.25">
      <c r="F835" s="92"/>
      <c r="G835" s="92"/>
      <c r="H835" s="92"/>
      <c r="I835" s="92"/>
      <c r="J835" s="93"/>
      <c r="K835" s="113"/>
    </row>
    <row r="836" spans="6:11" ht="12.75" customHeight="1" x14ac:dyDescent="0.25">
      <c r="F836" s="92"/>
      <c r="G836" s="92"/>
      <c r="H836" s="92"/>
      <c r="I836" s="92"/>
      <c r="J836" s="93"/>
      <c r="K836" s="113"/>
    </row>
    <row r="837" spans="6:11" ht="12.75" customHeight="1" x14ac:dyDescent="0.25">
      <c r="F837" s="92"/>
      <c r="G837" s="92"/>
      <c r="H837" s="92"/>
      <c r="I837" s="92"/>
      <c r="J837" s="93"/>
      <c r="K837" s="113"/>
    </row>
    <row r="838" spans="6:11" ht="12.75" customHeight="1" x14ac:dyDescent="0.25">
      <c r="F838" s="92"/>
      <c r="G838" s="92"/>
      <c r="H838" s="92"/>
      <c r="I838" s="92"/>
      <c r="J838" s="93"/>
      <c r="K838" s="113"/>
    </row>
    <row r="839" spans="6:11" ht="12.75" customHeight="1" x14ac:dyDescent="0.25">
      <c r="F839" s="92"/>
      <c r="G839" s="92"/>
      <c r="H839" s="92"/>
      <c r="I839" s="92"/>
      <c r="J839" s="93"/>
      <c r="K839" s="113"/>
    </row>
    <row r="840" spans="6:11" ht="12.75" customHeight="1" x14ac:dyDescent="0.25">
      <c r="F840" s="92"/>
      <c r="G840" s="92"/>
      <c r="H840" s="92"/>
      <c r="I840" s="92"/>
      <c r="J840" s="93"/>
      <c r="K840" s="113"/>
    </row>
    <row r="841" spans="6:11" ht="12.75" customHeight="1" x14ac:dyDescent="0.25">
      <c r="F841" s="92"/>
      <c r="G841" s="92"/>
      <c r="H841" s="92"/>
      <c r="I841" s="92"/>
      <c r="J841" s="93"/>
      <c r="K841" s="113"/>
    </row>
    <row r="842" spans="6:11" ht="12.75" customHeight="1" x14ac:dyDescent="0.25">
      <c r="F842" s="92"/>
      <c r="G842" s="92"/>
      <c r="H842" s="92"/>
      <c r="I842" s="92"/>
      <c r="J842" s="93"/>
      <c r="K842" s="113"/>
    </row>
    <row r="843" spans="6:11" ht="12.75" customHeight="1" x14ac:dyDescent="0.25">
      <c r="F843" s="92"/>
      <c r="G843" s="92"/>
      <c r="H843" s="92"/>
      <c r="I843" s="92"/>
      <c r="J843" s="93"/>
      <c r="K843" s="113"/>
    </row>
    <row r="844" spans="6:11" ht="12.75" customHeight="1" x14ac:dyDescent="0.25">
      <c r="F844" s="92"/>
      <c r="G844" s="92"/>
      <c r="H844" s="92"/>
      <c r="I844" s="92"/>
      <c r="J844" s="93"/>
      <c r="K844" s="113"/>
    </row>
    <row r="845" spans="6:11" ht="12.75" customHeight="1" x14ac:dyDescent="0.25">
      <c r="F845" s="92"/>
      <c r="G845" s="92"/>
      <c r="H845" s="92"/>
      <c r="I845" s="92"/>
      <c r="J845" s="93"/>
      <c r="K845" s="113"/>
    </row>
    <row r="846" spans="6:11" ht="12.75" customHeight="1" x14ac:dyDescent="0.25">
      <c r="F846" s="92"/>
      <c r="G846" s="92"/>
      <c r="H846" s="92"/>
      <c r="I846" s="92"/>
      <c r="J846" s="93"/>
      <c r="K846" s="113"/>
    </row>
    <row r="847" spans="6:11" ht="12.75" customHeight="1" x14ac:dyDescent="0.25">
      <c r="F847" s="92"/>
      <c r="G847" s="92"/>
      <c r="H847" s="92"/>
      <c r="I847" s="92"/>
      <c r="J847" s="93"/>
      <c r="K847" s="113"/>
    </row>
    <row r="848" spans="6:11" ht="12.75" customHeight="1" x14ac:dyDescent="0.25">
      <c r="F848" s="92"/>
      <c r="G848" s="92"/>
      <c r="H848" s="92"/>
      <c r="I848" s="92"/>
      <c r="J848" s="93"/>
      <c r="K848" s="113"/>
    </row>
    <row r="849" spans="6:11" ht="12.75" customHeight="1" x14ac:dyDescent="0.25">
      <c r="F849" s="92"/>
      <c r="G849" s="92"/>
      <c r="H849" s="92"/>
      <c r="I849" s="92"/>
      <c r="J849" s="93"/>
      <c r="K849" s="113"/>
    </row>
    <row r="850" spans="6:11" ht="12.75" customHeight="1" x14ac:dyDescent="0.25">
      <c r="F850" s="92"/>
      <c r="G850" s="92"/>
      <c r="H850" s="92"/>
      <c r="I850" s="92"/>
      <c r="J850" s="93"/>
      <c r="K850" s="113"/>
    </row>
    <row r="851" spans="6:11" ht="12.75" customHeight="1" x14ac:dyDescent="0.25">
      <c r="F851" s="92"/>
      <c r="G851" s="92"/>
      <c r="H851" s="92"/>
      <c r="I851" s="92"/>
      <c r="J851" s="93"/>
      <c r="K851" s="113"/>
    </row>
    <row r="852" spans="6:11" ht="12.75" customHeight="1" x14ac:dyDescent="0.25">
      <c r="F852" s="92"/>
      <c r="G852" s="92"/>
      <c r="H852" s="92"/>
      <c r="I852" s="92"/>
      <c r="J852" s="93"/>
      <c r="K852" s="113"/>
    </row>
    <row r="853" spans="6:11" ht="12.75" customHeight="1" x14ac:dyDescent="0.25">
      <c r="F853" s="92"/>
      <c r="G853" s="92"/>
      <c r="H853" s="92"/>
      <c r="I853" s="92"/>
      <c r="J853" s="93"/>
      <c r="K853" s="113"/>
    </row>
    <row r="854" spans="6:11" ht="12.75" customHeight="1" x14ac:dyDescent="0.25">
      <c r="F854" s="92"/>
      <c r="G854" s="92"/>
      <c r="H854" s="92"/>
      <c r="I854" s="92"/>
      <c r="J854" s="93"/>
      <c r="K854" s="113"/>
    </row>
    <row r="855" spans="6:11" ht="12.75" customHeight="1" x14ac:dyDescent="0.25">
      <c r="F855" s="92"/>
      <c r="G855" s="92"/>
      <c r="H855" s="92"/>
      <c r="I855" s="92"/>
      <c r="J855" s="93"/>
      <c r="K855" s="113"/>
    </row>
    <row r="856" spans="6:11" ht="12.75" customHeight="1" x14ac:dyDescent="0.25">
      <c r="F856" s="92"/>
      <c r="G856" s="92"/>
      <c r="H856" s="92"/>
      <c r="I856" s="92"/>
      <c r="J856" s="93"/>
      <c r="K856" s="113"/>
    </row>
    <row r="857" spans="6:11" ht="12.75" customHeight="1" x14ac:dyDescent="0.25">
      <c r="F857" s="92"/>
      <c r="G857" s="92"/>
      <c r="H857" s="92"/>
      <c r="I857" s="92"/>
      <c r="J857" s="93"/>
      <c r="K857" s="113"/>
    </row>
    <row r="858" spans="6:11" ht="12.75" customHeight="1" x14ac:dyDescent="0.25">
      <c r="F858" s="92"/>
      <c r="G858" s="92"/>
      <c r="H858" s="92"/>
      <c r="I858" s="92"/>
      <c r="J858" s="93"/>
      <c r="K858" s="113"/>
    </row>
    <row r="859" spans="6:11" ht="12.75" customHeight="1" x14ac:dyDescent="0.25">
      <c r="F859" s="92"/>
      <c r="G859" s="92"/>
      <c r="H859" s="92"/>
      <c r="I859" s="92"/>
      <c r="J859" s="93"/>
      <c r="K859" s="113"/>
    </row>
    <row r="860" spans="6:11" ht="12.75" customHeight="1" x14ac:dyDescent="0.25">
      <c r="F860" s="92"/>
      <c r="G860" s="92"/>
      <c r="H860" s="92"/>
      <c r="I860" s="92"/>
      <c r="J860" s="93"/>
      <c r="K860" s="113"/>
    </row>
    <row r="861" spans="6:11" ht="12.75" customHeight="1" x14ac:dyDescent="0.25">
      <c r="F861" s="92"/>
      <c r="G861" s="92"/>
      <c r="H861" s="92"/>
      <c r="I861" s="92"/>
      <c r="J861" s="93"/>
      <c r="K861" s="113"/>
    </row>
    <row r="862" spans="6:11" ht="12.75" customHeight="1" x14ac:dyDescent="0.25">
      <c r="F862" s="92"/>
      <c r="G862" s="92"/>
      <c r="H862" s="92"/>
      <c r="I862" s="92"/>
      <c r="J862" s="93"/>
      <c r="K862" s="113"/>
    </row>
    <row r="863" spans="6:11" ht="12.75" customHeight="1" x14ac:dyDescent="0.25">
      <c r="F863" s="92"/>
      <c r="G863" s="92"/>
      <c r="H863" s="92"/>
      <c r="I863" s="92"/>
      <c r="J863" s="93"/>
      <c r="K863" s="113"/>
    </row>
    <row r="864" spans="6:11" ht="12.75" customHeight="1" x14ac:dyDescent="0.25">
      <c r="F864" s="92"/>
      <c r="G864" s="92"/>
      <c r="H864" s="92"/>
      <c r="I864" s="92"/>
      <c r="J864" s="93"/>
      <c r="K864" s="113"/>
    </row>
    <row r="865" spans="6:11" ht="12.75" customHeight="1" x14ac:dyDescent="0.25">
      <c r="F865" s="92"/>
      <c r="G865" s="92"/>
      <c r="H865" s="92"/>
      <c r="I865" s="92"/>
      <c r="J865" s="93"/>
      <c r="K865" s="113"/>
    </row>
    <row r="866" spans="6:11" ht="12.75" customHeight="1" x14ac:dyDescent="0.25">
      <c r="F866" s="92"/>
      <c r="G866" s="92"/>
      <c r="H866" s="92"/>
      <c r="I866" s="92"/>
      <c r="J866" s="93"/>
      <c r="K866" s="113"/>
    </row>
    <row r="867" spans="6:11" ht="12.75" customHeight="1" x14ac:dyDescent="0.25">
      <c r="F867" s="92"/>
      <c r="G867" s="92"/>
      <c r="H867" s="92"/>
      <c r="I867" s="92"/>
      <c r="J867" s="93"/>
      <c r="K867" s="113"/>
    </row>
    <row r="868" spans="6:11" ht="12.75" customHeight="1" x14ac:dyDescent="0.25">
      <c r="F868" s="92"/>
      <c r="G868" s="92"/>
      <c r="H868" s="92"/>
      <c r="I868" s="92"/>
      <c r="J868" s="93"/>
      <c r="K868" s="113"/>
    </row>
    <row r="869" spans="6:11" ht="12.75" customHeight="1" x14ac:dyDescent="0.25">
      <c r="F869" s="92"/>
      <c r="G869" s="92"/>
      <c r="H869" s="92"/>
      <c r="I869" s="92"/>
      <c r="J869" s="93"/>
      <c r="K869" s="113"/>
    </row>
    <row r="870" spans="6:11" ht="12.75" customHeight="1" x14ac:dyDescent="0.25">
      <c r="F870" s="92"/>
      <c r="G870" s="92"/>
      <c r="H870" s="92"/>
      <c r="I870" s="92"/>
      <c r="J870" s="93"/>
      <c r="K870" s="113"/>
    </row>
    <row r="871" spans="6:11" ht="12.75" customHeight="1" x14ac:dyDescent="0.25">
      <c r="F871" s="92"/>
      <c r="G871" s="92"/>
      <c r="H871" s="92"/>
      <c r="I871" s="92"/>
      <c r="J871" s="93"/>
      <c r="K871" s="113"/>
    </row>
    <row r="872" spans="6:11" ht="12.75" customHeight="1" x14ac:dyDescent="0.25">
      <c r="F872" s="92"/>
      <c r="G872" s="92"/>
      <c r="H872" s="92"/>
      <c r="I872" s="92"/>
      <c r="J872" s="93"/>
      <c r="K872" s="113"/>
    </row>
    <row r="873" spans="6:11" ht="12.75" customHeight="1" x14ac:dyDescent="0.25">
      <c r="F873" s="92"/>
      <c r="G873" s="92"/>
      <c r="H873" s="92"/>
      <c r="I873" s="92"/>
      <c r="J873" s="93"/>
      <c r="K873" s="113"/>
    </row>
    <row r="874" spans="6:11" ht="12.75" customHeight="1" x14ac:dyDescent="0.25">
      <c r="F874" s="92"/>
      <c r="G874" s="92"/>
      <c r="H874" s="92"/>
      <c r="I874" s="92"/>
      <c r="J874" s="93"/>
      <c r="K874" s="113"/>
    </row>
    <row r="875" spans="6:11" ht="12.75" customHeight="1" x14ac:dyDescent="0.25">
      <c r="F875" s="92"/>
      <c r="G875" s="92"/>
      <c r="H875" s="92"/>
      <c r="I875" s="92"/>
      <c r="J875" s="93"/>
      <c r="K875" s="113"/>
    </row>
    <row r="876" spans="6:11" ht="12.75" customHeight="1" x14ac:dyDescent="0.25">
      <c r="F876" s="92"/>
      <c r="G876" s="92"/>
      <c r="H876" s="92"/>
      <c r="I876" s="92"/>
      <c r="J876" s="93"/>
      <c r="K876" s="113"/>
    </row>
    <row r="877" spans="6:11" ht="12.75" customHeight="1" x14ac:dyDescent="0.25">
      <c r="F877" s="92"/>
      <c r="G877" s="92"/>
      <c r="H877" s="92"/>
      <c r="I877" s="92"/>
      <c r="J877" s="93"/>
      <c r="K877" s="113"/>
    </row>
    <row r="878" spans="6:11" ht="12.75" customHeight="1" x14ac:dyDescent="0.25">
      <c r="F878" s="92"/>
      <c r="G878" s="92"/>
      <c r="H878" s="92"/>
      <c r="I878" s="92"/>
      <c r="J878" s="93"/>
      <c r="K878" s="113"/>
    </row>
    <row r="879" spans="6:11" ht="12.75" customHeight="1" x14ac:dyDescent="0.25">
      <c r="F879" s="92"/>
      <c r="G879" s="92"/>
      <c r="H879" s="92"/>
      <c r="I879" s="92"/>
      <c r="J879" s="93"/>
      <c r="K879" s="113"/>
    </row>
    <row r="880" spans="6:11" ht="12.75" customHeight="1" x14ac:dyDescent="0.25">
      <c r="F880" s="92"/>
      <c r="G880" s="92"/>
      <c r="H880" s="92"/>
      <c r="I880" s="92"/>
      <c r="J880" s="93"/>
      <c r="K880" s="113"/>
    </row>
    <row r="881" spans="6:11" ht="12.75" customHeight="1" x14ac:dyDescent="0.25">
      <c r="F881" s="92"/>
      <c r="G881" s="92"/>
      <c r="H881" s="92"/>
      <c r="I881" s="92"/>
      <c r="J881" s="93"/>
      <c r="K881" s="113"/>
    </row>
    <row r="882" spans="6:11" ht="12.75" customHeight="1" x14ac:dyDescent="0.25">
      <c r="F882" s="92"/>
      <c r="G882" s="92"/>
      <c r="H882" s="92"/>
      <c r="I882" s="92"/>
      <c r="J882" s="93"/>
      <c r="K882" s="113"/>
    </row>
    <row r="883" spans="6:11" ht="12.75" customHeight="1" x14ac:dyDescent="0.25">
      <c r="F883" s="92"/>
      <c r="G883" s="92"/>
      <c r="H883" s="92"/>
      <c r="I883" s="92"/>
      <c r="J883" s="93"/>
      <c r="K883" s="113"/>
    </row>
    <row r="884" spans="6:11" ht="12.75" customHeight="1" x14ac:dyDescent="0.25">
      <c r="F884" s="92"/>
      <c r="G884" s="92"/>
      <c r="H884" s="92"/>
      <c r="I884" s="92"/>
      <c r="J884" s="93"/>
      <c r="K884" s="113"/>
    </row>
    <row r="885" spans="6:11" ht="12.75" customHeight="1" x14ac:dyDescent="0.25">
      <c r="F885" s="92"/>
      <c r="G885" s="92"/>
      <c r="H885" s="92"/>
      <c r="I885" s="92"/>
      <c r="J885" s="93"/>
      <c r="K885" s="113"/>
    </row>
    <row r="886" spans="6:11" ht="12.75" customHeight="1" x14ac:dyDescent="0.25">
      <c r="F886" s="92"/>
      <c r="G886" s="92"/>
      <c r="H886" s="92"/>
      <c r="I886" s="92"/>
      <c r="J886" s="93"/>
      <c r="K886" s="113"/>
    </row>
    <row r="887" spans="6:11" ht="12.75" customHeight="1" x14ac:dyDescent="0.25">
      <c r="F887" s="92"/>
      <c r="G887" s="92"/>
      <c r="H887" s="92"/>
      <c r="I887" s="92"/>
      <c r="J887" s="93"/>
      <c r="K887" s="113"/>
    </row>
    <row r="888" spans="6:11" ht="12.75" customHeight="1" x14ac:dyDescent="0.25">
      <c r="F888" s="92"/>
      <c r="G888" s="92"/>
      <c r="H888" s="92"/>
      <c r="I888" s="92"/>
      <c r="J888" s="93"/>
      <c r="K888" s="113"/>
    </row>
    <row r="889" spans="6:11" ht="12.75" customHeight="1" x14ac:dyDescent="0.25">
      <c r="F889" s="92"/>
      <c r="G889" s="92"/>
      <c r="H889" s="92"/>
      <c r="I889" s="92"/>
      <c r="J889" s="93"/>
      <c r="K889" s="113"/>
    </row>
    <row r="890" spans="6:11" ht="12.75" customHeight="1" x14ac:dyDescent="0.25">
      <c r="F890" s="92"/>
      <c r="G890" s="92"/>
      <c r="H890" s="92"/>
      <c r="I890" s="92"/>
      <c r="J890" s="93"/>
      <c r="K890" s="113"/>
    </row>
    <row r="891" spans="6:11" ht="12.75" customHeight="1" x14ac:dyDescent="0.25">
      <c r="F891" s="92"/>
      <c r="G891" s="92"/>
      <c r="H891" s="92"/>
      <c r="I891" s="92"/>
      <c r="J891" s="93"/>
      <c r="K891" s="113"/>
    </row>
    <row r="892" spans="6:11" ht="12.75" customHeight="1" x14ac:dyDescent="0.25">
      <c r="F892" s="92"/>
      <c r="G892" s="92"/>
      <c r="H892" s="92"/>
      <c r="I892" s="92"/>
      <c r="J892" s="93"/>
      <c r="K892" s="113"/>
    </row>
    <row r="893" spans="6:11" ht="12.75" customHeight="1" x14ac:dyDescent="0.25">
      <c r="F893" s="92"/>
      <c r="G893" s="92"/>
      <c r="H893" s="92"/>
      <c r="I893" s="92"/>
      <c r="J893" s="93"/>
      <c r="K893" s="113"/>
    </row>
    <row r="894" spans="6:11" ht="12.75" customHeight="1" x14ac:dyDescent="0.25">
      <c r="F894" s="92"/>
      <c r="G894" s="92"/>
      <c r="H894" s="92"/>
      <c r="I894" s="92"/>
      <c r="J894" s="93"/>
      <c r="K894" s="113"/>
    </row>
    <row r="895" spans="6:11" ht="12.75" customHeight="1" x14ac:dyDescent="0.25">
      <c r="F895" s="92"/>
      <c r="G895" s="92"/>
      <c r="H895" s="92"/>
      <c r="I895" s="92"/>
      <c r="J895" s="93"/>
      <c r="K895" s="113"/>
    </row>
    <row r="896" spans="6:11" ht="12.75" customHeight="1" x14ac:dyDescent="0.25">
      <c r="F896" s="92"/>
      <c r="G896" s="92"/>
      <c r="H896" s="92"/>
      <c r="I896" s="92"/>
      <c r="J896" s="93"/>
      <c r="K896" s="113"/>
    </row>
    <row r="897" spans="6:11" ht="12.75" customHeight="1" x14ac:dyDescent="0.25">
      <c r="F897" s="92"/>
      <c r="G897" s="92"/>
      <c r="H897" s="92"/>
      <c r="I897" s="92"/>
      <c r="J897" s="93"/>
      <c r="K897" s="113"/>
    </row>
    <row r="898" spans="6:11" ht="12.75" customHeight="1" x14ac:dyDescent="0.25">
      <c r="F898" s="92"/>
      <c r="G898" s="92"/>
      <c r="H898" s="92"/>
      <c r="I898" s="92"/>
      <c r="J898" s="93"/>
      <c r="K898" s="113"/>
    </row>
    <row r="899" spans="6:11" ht="12.75" customHeight="1" x14ac:dyDescent="0.25">
      <c r="F899" s="92"/>
      <c r="G899" s="92"/>
      <c r="H899" s="92"/>
      <c r="I899" s="92"/>
      <c r="J899" s="93"/>
      <c r="K899" s="113"/>
    </row>
    <row r="900" spans="6:11" ht="12.75" customHeight="1" x14ac:dyDescent="0.25">
      <c r="F900" s="92"/>
      <c r="G900" s="92"/>
      <c r="H900" s="92"/>
      <c r="I900" s="92"/>
      <c r="J900" s="93"/>
      <c r="K900" s="113"/>
    </row>
    <row r="901" spans="6:11" ht="12.75" customHeight="1" x14ac:dyDescent="0.25">
      <c r="F901" s="92"/>
      <c r="G901" s="92"/>
      <c r="H901" s="92"/>
      <c r="I901" s="92"/>
      <c r="J901" s="93"/>
      <c r="K901" s="113"/>
    </row>
    <row r="902" spans="6:11" ht="12.75" customHeight="1" x14ac:dyDescent="0.25">
      <c r="F902" s="92"/>
      <c r="G902" s="92"/>
      <c r="H902" s="92"/>
      <c r="I902" s="92"/>
      <c r="J902" s="93"/>
      <c r="K902" s="113"/>
    </row>
    <row r="903" spans="6:11" ht="12.75" customHeight="1" x14ac:dyDescent="0.25">
      <c r="F903" s="92"/>
      <c r="G903" s="92"/>
      <c r="H903" s="92"/>
      <c r="I903" s="92"/>
      <c r="J903" s="93"/>
      <c r="K903" s="113"/>
    </row>
    <row r="904" spans="6:11" ht="12.75" customHeight="1" x14ac:dyDescent="0.25">
      <c r="F904" s="92"/>
      <c r="G904" s="92"/>
      <c r="H904" s="92"/>
      <c r="I904" s="92"/>
      <c r="J904" s="93"/>
      <c r="K904" s="113"/>
    </row>
    <row r="905" spans="6:11" ht="12.75" customHeight="1" x14ac:dyDescent="0.25">
      <c r="F905" s="92"/>
      <c r="G905" s="92"/>
      <c r="H905" s="92"/>
      <c r="I905" s="92"/>
      <c r="J905" s="93"/>
      <c r="K905" s="113"/>
    </row>
    <row r="906" spans="6:11" ht="12.75" customHeight="1" x14ac:dyDescent="0.25">
      <c r="F906" s="92"/>
      <c r="G906" s="92"/>
      <c r="H906" s="92"/>
      <c r="I906" s="92"/>
      <c r="J906" s="93"/>
      <c r="K906" s="113"/>
    </row>
    <row r="907" spans="6:11" ht="12.75" customHeight="1" x14ac:dyDescent="0.25">
      <c r="F907" s="92"/>
      <c r="G907" s="92"/>
      <c r="H907" s="92"/>
      <c r="I907" s="92"/>
      <c r="J907" s="93"/>
      <c r="K907" s="113"/>
    </row>
    <row r="908" spans="6:11" ht="12.75" customHeight="1" x14ac:dyDescent="0.25">
      <c r="F908" s="92"/>
      <c r="G908" s="92"/>
      <c r="H908" s="92"/>
      <c r="I908" s="92"/>
      <c r="J908" s="93"/>
      <c r="K908" s="113"/>
    </row>
    <row r="909" spans="6:11" ht="12.75" customHeight="1" x14ac:dyDescent="0.25">
      <c r="F909" s="92"/>
      <c r="G909" s="92"/>
      <c r="H909" s="92"/>
      <c r="I909" s="92"/>
      <c r="J909" s="93"/>
      <c r="K909" s="113"/>
    </row>
    <row r="910" spans="6:11" ht="12.75" customHeight="1" x14ac:dyDescent="0.25">
      <c r="F910" s="92"/>
      <c r="G910" s="92"/>
      <c r="H910" s="92"/>
      <c r="I910" s="92"/>
      <c r="J910" s="93"/>
      <c r="K910" s="113"/>
    </row>
    <row r="911" spans="6:11" ht="12.75" customHeight="1" x14ac:dyDescent="0.25">
      <c r="F911" s="92"/>
      <c r="G911" s="92"/>
      <c r="H911" s="92"/>
      <c r="I911" s="92"/>
      <c r="J911" s="93"/>
      <c r="K911" s="113"/>
    </row>
    <row r="912" spans="6:11" ht="12.75" customHeight="1" x14ac:dyDescent="0.25">
      <c r="F912" s="92"/>
      <c r="G912" s="92"/>
      <c r="H912" s="92"/>
      <c r="I912" s="92"/>
      <c r="J912" s="93"/>
      <c r="K912" s="113"/>
    </row>
    <row r="913" spans="6:11" ht="12.75" customHeight="1" x14ac:dyDescent="0.25">
      <c r="F913" s="92"/>
      <c r="G913" s="92"/>
      <c r="H913" s="92"/>
      <c r="I913" s="92"/>
      <c r="J913" s="93"/>
      <c r="K913" s="113"/>
    </row>
    <row r="914" spans="6:11" ht="12.75" customHeight="1" x14ac:dyDescent="0.25">
      <c r="F914" s="92"/>
      <c r="G914" s="92"/>
      <c r="H914" s="92"/>
      <c r="I914" s="92"/>
      <c r="J914" s="93"/>
      <c r="K914" s="113"/>
    </row>
    <row r="915" spans="6:11" ht="12.75" customHeight="1" x14ac:dyDescent="0.25">
      <c r="F915" s="92"/>
      <c r="G915" s="92"/>
      <c r="H915" s="92"/>
      <c r="I915" s="92"/>
      <c r="J915" s="93"/>
      <c r="K915" s="113"/>
    </row>
    <row r="916" spans="6:11" ht="12.75" customHeight="1" x14ac:dyDescent="0.25">
      <c r="F916" s="92"/>
      <c r="G916" s="92"/>
      <c r="H916" s="92"/>
      <c r="I916" s="92"/>
      <c r="J916" s="93"/>
      <c r="K916" s="113"/>
    </row>
    <row r="917" spans="6:11" ht="12.75" customHeight="1" x14ac:dyDescent="0.25">
      <c r="F917" s="92"/>
      <c r="G917" s="92"/>
      <c r="H917" s="92"/>
      <c r="I917" s="92"/>
      <c r="J917" s="93"/>
      <c r="K917" s="113"/>
    </row>
    <row r="918" spans="6:11" ht="12.75" customHeight="1" x14ac:dyDescent="0.25">
      <c r="F918" s="92"/>
      <c r="G918" s="92"/>
      <c r="H918" s="92"/>
      <c r="I918" s="92"/>
      <c r="J918" s="93"/>
      <c r="K918" s="113"/>
    </row>
    <row r="919" spans="6:11" ht="12.75" customHeight="1" x14ac:dyDescent="0.25">
      <c r="F919" s="92"/>
      <c r="G919" s="92"/>
      <c r="H919" s="92"/>
      <c r="I919" s="92"/>
      <c r="J919" s="93"/>
      <c r="K919" s="113"/>
    </row>
    <row r="920" spans="6:11" ht="12.75" customHeight="1" x14ac:dyDescent="0.25">
      <c r="F920" s="92"/>
      <c r="G920" s="92"/>
      <c r="H920" s="92"/>
      <c r="I920" s="92"/>
      <c r="J920" s="93"/>
      <c r="K920" s="113"/>
    </row>
    <row r="921" spans="6:11" ht="12.75" customHeight="1" x14ac:dyDescent="0.25">
      <c r="F921" s="92"/>
      <c r="G921" s="92"/>
      <c r="H921" s="92"/>
      <c r="I921" s="92"/>
      <c r="J921" s="93"/>
      <c r="K921" s="113"/>
    </row>
    <row r="922" spans="6:11" ht="12.75" customHeight="1" x14ac:dyDescent="0.25">
      <c r="F922" s="92"/>
      <c r="G922" s="92"/>
      <c r="H922" s="92"/>
      <c r="I922" s="92"/>
      <c r="J922" s="93"/>
      <c r="K922" s="113"/>
    </row>
    <row r="923" spans="6:11" ht="12.75" customHeight="1" x14ac:dyDescent="0.25">
      <c r="F923" s="92"/>
      <c r="G923" s="92"/>
      <c r="H923" s="92"/>
      <c r="I923" s="92"/>
      <c r="J923" s="93"/>
      <c r="K923" s="113"/>
    </row>
    <row r="924" spans="6:11" ht="12.75" customHeight="1" x14ac:dyDescent="0.25">
      <c r="F924" s="92"/>
      <c r="G924" s="92"/>
      <c r="H924" s="92"/>
      <c r="I924" s="92"/>
      <c r="J924" s="93"/>
      <c r="K924" s="113"/>
    </row>
    <row r="925" spans="6:11" ht="12.75" customHeight="1" x14ac:dyDescent="0.25">
      <c r="F925" s="92"/>
      <c r="G925" s="92"/>
      <c r="H925" s="92"/>
      <c r="I925" s="92"/>
      <c r="J925" s="93"/>
      <c r="K925" s="113"/>
    </row>
    <row r="926" spans="6:11" ht="12.75" customHeight="1" x14ac:dyDescent="0.25">
      <c r="F926" s="92"/>
      <c r="G926" s="92"/>
      <c r="H926" s="92"/>
      <c r="I926" s="92"/>
      <c r="J926" s="93"/>
      <c r="K926" s="113"/>
    </row>
    <row r="927" spans="6:11" ht="12.75" customHeight="1" x14ac:dyDescent="0.25">
      <c r="F927" s="92"/>
      <c r="G927" s="92"/>
      <c r="H927" s="92"/>
      <c r="I927" s="92"/>
      <c r="J927" s="93"/>
      <c r="K927" s="113"/>
    </row>
    <row r="928" spans="6:11" ht="12.75" customHeight="1" x14ac:dyDescent="0.25">
      <c r="F928" s="92"/>
      <c r="G928" s="92"/>
      <c r="H928" s="92"/>
      <c r="I928" s="92"/>
      <c r="J928" s="93"/>
      <c r="K928" s="113"/>
    </row>
    <row r="929" spans="6:11" ht="12.75" customHeight="1" x14ac:dyDescent="0.25">
      <c r="F929" s="92"/>
      <c r="G929" s="92"/>
      <c r="H929" s="92"/>
      <c r="I929" s="92"/>
      <c r="J929" s="93"/>
      <c r="K929" s="113"/>
    </row>
    <row r="930" spans="6:11" ht="12.75" customHeight="1" x14ac:dyDescent="0.25">
      <c r="F930" s="92"/>
      <c r="G930" s="92"/>
      <c r="H930" s="92"/>
      <c r="I930" s="92"/>
      <c r="J930" s="93"/>
      <c r="K930" s="113"/>
    </row>
    <row r="931" spans="6:11" ht="12.75" customHeight="1" x14ac:dyDescent="0.25">
      <c r="F931" s="92"/>
      <c r="G931" s="92"/>
      <c r="H931" s="92"/>
      <c r="I931" s="92"/>
      <c r="J931" s="93"/>
      <c r="K931" s="113"/>
    </row>
    <row r="932" spans="6:11" ht="12.75" customHeight="1" x14ac:dyDescent="0.25">
      <c r="F932" s="92"/>
      <c r="G932" s="92"/>
      <c r="H932" s="92"/>
      <c r="I932" s="92"/>
      <c r="J932" s="93"/>
      <c r="K932" s="113"/>
    </row>
    <row r="933" spans="6:11" ht="12.75" customHeight="1" x14ac:dyDescent="0.25">
      <c r="F933" s="92"/>
      <c r="G933" s="92"/>
      <c r="H933" s="92"/>
      <c r="I933" s="92"/>
      <c r="J933" s="93"/>
      <c r="K933" s="113"/>
    </row>
    <row r="934" spans="6:11" ht="12.75" customHeight="1" x14ac:dyDescent="0.25">
      <c r="F934" s="92"/>
      <c r="G934" s="92"/>
      <c r="H934" s="92"/>
      <c r="I934" s="92"/>
      <c r="J934" s="93"/>
      <c r="K934" s="113"/>
    </row>
    <row r="935" spans="6:11" ht="12.75" customHeight="1" x14ac:dyDescent="0.25">
      <c r="F935" s="92"/>
      <c r="G935" s="92"/>
      <c r="H935" s="92"/>
      <c r="I935" s="92"/>
      <c r="J935" s="93"/>
      <c r="K935" s="113"/>
    </row>
    <row r="936" spans="6:11" ht="12.75" customHeight="1" x14ac:dyDescent="0.25">
      <c r="F936" s="92"/>
      <c r="G936" s="92"/>
      <c r="H936" s="92"/>
      <c r="I936" s="92"/>
      <c r="J936" s="93"/>
      <c r="K936" s="113"/>
    </row>
    <row r="937" spans="6:11" ht="12.75" customHeight="1" x14ac:dyDescent="0.25">
      <c r="F937" s="92"/>
      <c r="G937" s="92"/>
      <c r="H937" s="92"/>
      <c r="I937" s="92"/>
      <c r="J937" s="93"/>
      <c r="K937" s="113"/>
    </row>
    <row r="938" spans="6:11" ht="12.75" customHeight="1" x14ac:dyDescent="0.25">
      <c r="F938" s="92"/>
      <c r="G938" s="92"/>
      <c r="H938" s="92"/>
      <c r="I938" s="92"/>
      <c r="J938" s="93"/>
      <c r="K938" s="113"/>
    </row>
    <row r="939" spans="6:11" ht="12.75" customHeight="1" x14ac:dyDescent="0.25">
      <c r="F939" s="92"/>
      <c r="G939" s="92"/>
      <c r="H939" s="92"/>
      <c r="I939" s="92"/>
      <c r="J939" s="93"/>
      <c r="K939" s="113"/>
    </row>
    <row r="940" spans="6:11" ht="12.75" customHeight="1" x14ac:dyDescent="0.25">
      <c r="F940" s="92"/>
      <c r="G940" s="92"/>
      <c r="H940" s="92"/>
      <c r="I940" s="92"/>
      <c r="J940" s="93"/>
      <c r="K940" s="113"/>
    </row>
    <row r="941" spans="6:11" ht="12.75" customHeight="1" x14ac:dyDescent="0.25">
      <c r="F941" s="92"/>
      <c r="G941" s="92"/>
      <c r="H941" s="92"/>
      <c r="I941" s="92"/>
      <c r="J941" s="93"/>
      <c r="K941" s="113"/>
    </row>
    <row r="942" spans="6:11" ht="12.75" customHeight="1" x14ac:dyDescent="0.25">
      <c r="F942" s="92"/>
      <c r="G942" s="92"/>
      <c r="H942" s="92"/>
      <c r="I942" s="92"/>
      <c r="J942" s="93"/>
      <c r="K942" s="113"/>
    </row>
    <row r="943" spans="6:11" ht="12.75" customHeight="1" x14ac:dyDescent="0.25">
      <c r="F943" s="92"/>
      <c r="G943" s="92"/>
      <c r="H943" s="92"/>
      <c r="I943" s="92"/>
      <c r="J943" s="93"/>
      <c r="K943" s="113"/>
    </row>
    <row r="944" spans="6:11" ht="12.75" customHeight="1" x14ac:dyDescent="0.25">
      <c r="F944" s="92"/>
      <c r="G944" s="92"/>
      <c r="H944" s="92"/>
      <c r="I944" s="92"/>
      <c r="J944" s="93"/>
      <c r="K944" s="113"/>
    </row>
    <row r="945" spans="6:11" ht="12.75" customHeight="1" x14ac:dyDescent="0.25">
      <c r="F945" s="92"/>
      <c r="G945" s="92"/>
      <c r="H945" s="92"/>
      <c r="I945" s="92"/>
      <c r="J945" s="93"/>
      <c r="K945" s="113"/>
    </row>
    <row r="946" spans="6:11" ht="12.75" customHeight="1" x14ac:dyDescent="0.25">
      <c r="F946" s="92"/>
      <c r="G946" s="92"/>
      <c r="H946" s="92"/>
      <c r="I946" s="92"/>
      <c r="J946" s="93"/>
      <c r="K946" s="113"/>
    </row>
    <row r="947" spans="6:11" ht="12.75" customHeight="1" x14ac:dyDescent="0.25">
      <c r="F947" s="92"/>
      <c r="G947" s="92"/>
      <c r="H947" s="92"/>
      <c r="I947" s="92"/>
      <c r="J947" s="93"/>
      <c r="K947" s="113"/>
    </row>
    <row r="948" spans="6:11" ht="12.75" customHeight="1" x14ac:dyDescent="0.25">
      <c r="F948" s="92"/>
      <c r="G948" s="92"/>
      <c r="H948" s="92"/>
      <c r="I948" s="92"/>
      <c r="J948" s="93"/>
      <c r="K948" s="113"/>
    </row>
    <row r="949" spans="6:11" ht="12.75" customHeight="1" x14ac:dyDescent="0.25">
      <c r="F949" s="92"/>
      <c r="G949" s="92"/>
      <c r="H949" s="92"/>
      <c r="I949" s="92"/>
      <c r="J949" s="93"/>
      <c r="K949" s="113"/>
    </row>
    <row r="950" spans="6:11" ht="12.75" customHeight="1" x14ac:dyDescent="0.25">
      <c r="F950" s="92"/>
      <c r="G950" s="92"/>
      <c r="H950" s="92"/>
      <c r="I950" s="92"/>
      <c r="J950" s="93"/>
      <c r="K950" s="113"/>
    </row>
    <row r="951" spans="6:11" ht="12.75" customHeight="1" x14ac:dyDescent="0.25">
      <c r="F951" s="92"/>
      <c r="G951" s="92"/>
      <c r="H951" s="92"/>
      <c r="I951" s="92"/>
      <c r="J951" s="93"/>
      <c r="K951" s="113"/>
    </row>
    <row r="952" spans="6:11" ht="12.75" customHeight="1" x14ac:dyDescent="0.25">
      <c r="F952" s="92"/>
      <c r="G952" s="92"/>
      <c r="H952" s="92"/>
      <c r="I952" s="92"/>
      <c r="J952" s="93"/>
      <c r="K952" s="113"/>
    </row>
    <row r="953" spans="6:11" ht="12.75" customHeight="1" x14ac:dyDescent="0.25">
      <c r="F953" s="92"/>
      <c r="G953" s="92"/>
      <c r="H953" s="92"/>
      <c r="I953" s="92"/>
      <c r="J953" s="93"/>
      <c r="K953" s="113"/>
    </row>
    <row r="954" spans="6:11" ht="12.75" customHeight="1" x14ac:dyDescent="0.25">
      <c r="F954" s="92"/>
      <c r="G954" s="92"/>
      <c r="H954" s="92"/>
      <c r="I954" s="92"/>
      <c r="J954" s="93"/>
      <c r="K954" s="113"/>
    </row>
    <row r="955" spans="6:11" ht="12.75" customHeight="1" x14ac:dyDescent="0.25">
      <c r="F955" s="92"/>
      <c r="G955" s="92"/>
      <c r="H955" s="92"/>
      <c r="I955" s="92"/>
      <c r="J955" s="93"/>
      <c r="K955" s="113"/>
    </row>
    <row r="956" spans="6:11" ht="12.75" customHeight="1" x14ac:dyDescent="0.25">
      <c r="F956" s="92"/>
      <c r="G956" s="92"/>
      <c r="H956" s="92"/>
      <c r="I956" s="92"/>
      <c r="J956" s="93"/>
      <c r="K956" s="113"/>
    </row>
    <row r="957" spans="6:11" ht="12.75" customHeight="1" x14ac:dyDescent="0.25">
      <c r="F957" s="92"/>
      <c r="G957" s="92"/>
      <c r="H957" s="92"/>
      <c r="I957" s="92"/>
      <c r="J957" s="93"/>
      <c r="K957" s="113"/>
    </row>
    <row r="958" spans="6:11" ht="12.75" customHeight="1" x14ac:dyDescent="0.25">
      <c r="F958" s="92"/>
      <c r="G958" s="92"/>
      <c r="H958" s="92"/>
      <c r="I958" s="92"/>
      <c r="J958" s="93"/>
      <c r="K958" s="113"/>
    </row>
    <row r="959" spans="6:11" ht="12.75" customHeight="1" x14ac:dyDescent="0.25">
      <c r="F959" s="92"/>
      <c r="G959" s="92"/>
      <c r="H959" s="92"/>
      <c r="I959" s="92"/>
      <c r="J959" s="93"/>
      <c r="K959" s="113"/>
    </row>
    <row r="960" spans="6:11" ht="12.75" customHeight="1" x14ac:dyDescent="0.25">
      <c r="F960" s="92"/>
      <c r="G960" s="92"/>
      <c r="H960" s="92"/>
      <c r="I960" s="92"/>
      <c r="J960" s="93"/>
      <c r="K960" s="113"/>
    </row>
    <row r="961" spans="6:11" ht="12.75" customHeight="1" x14ac:dyDescent="0.25">
      <c r="F961" s="92"/>
      <c r="G961" s="92"/>
      <c r="H961" s="92"/>
      <c r="I961" s="92"/>
      <c r="J961" s="93"/>
      <c r="K961" s="113"/>
    </row>
    <row r="962" spans="6:11" ht="12.75" customHeight="1" x14ac:dyDescent="0.25">
      <c r="F962" s="92"/>
      <c r="G962" s="92"/>
      <c r="H962" s="92"/>
      <c r="I962" s="92"/>
      <c r="J962" s="93"/>
      <c r="K962" s="113"/>
    </row>
    <row r="963" spans="6:11" ht="12.75" customHeight="1" x14ac:dyDescent="0.25">
      <c r="F963" s="92"/>
      <c r="G963" s="92"/>
      <c r="H963" s="92"/>
      <c r="I963" s="92"/>
      <c r="J963" s="93"/>
      <c r="K963" s="113"/>
    </row>
    <row r="964" spans="6:11" ht="12.75" customHeight="1" x14ac:dyDescent="0.25">
      <c r="F964" s="92"/>
      <c r="G964" s="92"/>
      <c r="H964" s="92"/>
      <c r="I964" s="92"/>
      <c r="J964" s="93"/>
      <c r="K964" s="113"/>
    </row>
    <row r="965" spans="6:11" ht="12.75" customHeight="1" x14ac:dyDescent="0.25">
      <c r="F965" s="92"/>
      <c r="G965" s="92"/>
      <c r="H965" s="92"/>
      <c r="I965" s="92"/>
      <c r="J965" s="93"/>
      <c r="K965" s="113"/>
    </row>
    <row r="966" spans="6:11" ht="12.75" customHeight="1" x14ac:dyDescent="0.25">
      <c r="F966" s="92"/>
      <c r="G966" s="92"/>
      <c r="H966" s="92"/>
      <c r="I966" s="92"/>
      <c r="J966" s="93"/>
      <c r="K966" s="113"/>
    </row>
    <row r="967" spans="6:11" ht="12.75" customHeight="1" x14ac:dyDescent="0.25">
      <c r="F967" s="92"/>
      <c r="G967" s="92"/>
      <c r="H967" s="92"/>
      <c r="I967" s="92"/>
      <c r="J967" s="93"/>
      <c r="K967" s="113"/>
    </row>
    <row r="968" spans="6:11" ht="12.75" customHeight="1" x14ac:dyDescent="0.25">
      <c r="F968" s="92"/>
      <c r="G968" s="92"/>
      <c r="H968" s="92"/>
      <c r="I968" s="92"/>
      <c r="J968" s="93"/>
      <c r="K968" s="113"/>
    </row>
    <row r="969" spans="6:11" ht="12.75" customHeight="1" x14ac:dyDescent="0.25">
      <c r="F969" s="92"/>
      <c r="G969" s="92"/>
      <c r="H969" s="92"/>
      <c r="I969" s="92"/>
      <c r="J969" s="93"/>
      <c r="K969" s="113"/>
    </row>
    <row r="970" spans="6:11" ht="12.75" customHeight="1" x14ac:dyDescent="0.25">
      <c r="F970" s="92"/>
      <c r="G970" s="92"/>
      <c r="H970" s="92"/>
      <c r="I970" s="92"/>
      <c r="J970" s="93"/>
      <c r="K970" s="113"/>
    </row>
    <row r="971" spans="6:11" ht="12.75" customHeight="1" x14ac:dyDescent="0.25">
      <c r="F971" s="92"/>
      <c r="G971" s="92"/>
      <c r="H971" s="92"/>
      <c r="I971" s="92"/>
      <c r="J971" s="93"/>
      <c r="K971" s="113"/>
    </row>
    <row r="972" spans="6:11" ht="12.75" customHeight="1" x14ac:dyDescent="0.25">
      <c r="F972" s="92"/>
      <c r="G972" s="92"/>
      <c r="H972" s="92"/>
      <c r="I972" s="92"/>
      <c r="J972" s="93"/>
      <c r="K972" s="113"/>
    </row>
    <row r="973" spans="6:11" ht="12.75" customHeight="1" x14ac:dyDescent="0.25">
      <c r="F973" s="92"/>
      <c r="G973" s="92"/>
      <c r="H973" s="92"/>
      <c r="I973" s="92"/>
      <c r="J973" s="93"/>
      <c r="K973" s="113"/>
    </row>
    <row r="974" spans="6:11" ht="12.75" customHeight="1" x14ac:dyDescent="0.25">
      <c r="F974" s="92"/>
      <c r="G974" s="92"/>
      <c r="H974" s="92"/>
      <c r="I974" s="92"/>
      <c r="J974" s="93"/>
      <c r="K974" s="113"/>
    </row>
    <row r="975" spans="6:11" ht="12.75" customHeight="1" x14ac:dyDescent="0.25">
      <c r="F975" s="92"/>
      <c r="G975" s="92"/>
      <c r="H975" s="92"/>
      <c r="I975" s="92"/>
      <c r="J975" s="93"/>
      <c r="K975" s="113"/>
    </row>
    <row r="976" spans="6:11" ht="12.75" customHeight="1" x14ac:dyDescent="0.25">
      <c r="F976" s="92"/>
      <c r="G976" s="92"/>
      <c r="H976" s="92"/>
      <c r="I976" s="92"/>
      <c r="J976" s="93"/>
      <c r="K976" s="113"/>
    </row>
    <row r="977" spans="6:11" ht="12.75" customHeight="1" x14ac:dyDescent="0.25">
      <c r="F977" s="92"/>
      <c r="G977" s="92"/>
      <c r="H977" s="92"/>
      <c r="I977" s="92"/>
      <c r="J977" s="93"/>
      <c r="K977" s="113"/>
    </row>
    <row r="978" spans="6:11" ht="12.75" customHeight="1" x14ac:dyDescent="0.25">
      <c r="F978" s="92"/>
      <c r="G978" s="92"/>
      <c r="H978" s="92"/>
      <c r="I978" s="92"/>
      <c r="J978" s="93"/>
      <c r="K978" s="113"/>
    </row>
    <row r="979" spans="6:11" ht="12.75" customHeight="1" x14ac:dyDescent="0.25">
      <c r="F979" s="92"/>
      <c r="G979" s="92"/>
      <c r="H979" s="92"/>
      <c r="I979" s="92"/>
      <c r="J979" s="93"/>
      <c r="K979" s="113"/>
    </row>
    <row r="980" spans="6:11" ht="12.75" customHeight="1" x14ac:dyDescent="0.25">
      <c r="F980" s="92"/>
      <c r="G980" s="92"/>
      <c r="H980" s="92"/>
      <c r="I980" s="92"/>
      <c r="J980" s="93"/>
      <c r="K980" s="113"/>
    </row>
    <row r="981" spans="6:11" ht="12.75" customHeight="1" x14ac:dyDescent="0.25">
      <c r="F981" s="92"/>
      <c r="G981" s="92"/>
      <c r="H981" s="92"/>
      <c r="I981" s="92"/>
      <c r="J981" s="93"/>
      <c r="K981" s="113"/>
    </row>
    <row r="982" spans="6:11" ht="12.75" customHeight="1" x14ac:dyDescent="0.25">
      <c r="F982" s="92"/>
      <c r="G982" s="92"/>
      <c r="H982" s="92"/>
      <c r="I982" s="92"/>
      <c r="J982" s="93"/>
      <c r="K982" s="113"/>
    </row>
    <row r="983" spans="6:11" ht="12.75" customHeight="1" x14ac:dyDescent="0.25">
      <c r="F983" s="92"/>
      <c r="G983" s="92"/>
      <c r="H983" s="92"/>
      <c r="I983" s="92"/>
      <c r="J983" s="93"/>
      <c r="K983" s="113"/>
    </row>
    <row r="984" spans="6:11" ht="12.75" customHeight="1" x14ac:dyDescent="0.25">
      <c r="F984" s="92"/>
      <c r="G984" s="92"/>
      <c r="H984" s="92"/>
      <c r="I984" s="92"/>
      <c r="J984" s="93"/>
      <c r="K984" s="113"/>
    </row>
    <row r="985" spans="6:11" ht="12.75" customHeight="1" x14ac:dyDescent="0.25">
      <c r="F985" s="92"/>
      <c r="G985" s="92"/>
      <c r="H985" s="92"/>
      <c r="I985" s="92"/>
      <c r="J985" s="93"/>
      <c r="K985" s="113"/>
    </row>
    <row r="986" spans="6:11" ht="12.75" customHeight="1" x14ac:dyDescent="0.25">
      <c r="F986" s="92"/>
      <c r="G986" s="92"/>
      <c r="H986" s="92"/>
      <c r="I986" s="92"/>
      <c r="J986" s="93"/>
      <c r="K986" s="113"/>
    </row>
    <row r="987" spans="6:11" ht="12.75" customHeight="1" x14ac:dyDescent="0.25">
      <c r="F987" s="92"/>
      <c r="G987" s="92"/>
      <c r="H987" s="92"/>
      <c r="I987" s="92"/>
      <c r="J987" s="93"/>
      <c r="K987" s="113"/>
    </row>
    <row r="988" spans="6:11" ht="12.75" customHeight="1" x14ac:dyDescent="0.25">
      <c r="F988" s="92"/>
      <c r="G988" s="92"/>
      <c r="H988" s="92"/>
      <c r="I988" s="92"/>
      <c r="J988" s="93"/>
      <c r="K988" s="113"/>
    </row>
    <row r="989" spans="6:11" ht="12.75" customHeight="1" x14ac:dyDescent="0.25">
      <c r="F989" s="92"/>
      <c r="G989" s="92"/>
      <c r="H989" s="92"/>
      <c r="I989" s="92"/>
      <c r="J989" s="93"/>
      <c r="K989" s="113"/>
    </row>
    <row r="990" spans="6:11" ht="12.75" customHeight="1" x14ac:dyDescent="0.25">
      <c r="F990" s="92"/>
      <c r="G990" s="92"/>
      <c r="H990" s="92"/>
      <c r="I990" s="92"/>
      <c r="J990" s="93"/>
      <c r="K990" s="113"/>
    </row>
    <row r="991" spans="6:11" ht="12.75" customHeight="1" x14ac:dyDescent="0.25">
      <c r="F991" s="92"/>
      <c r="G991" s="92"/>
      <c r="H991" s="92"/>
      <c r="I991" s="92"/>
      <c r="J991" s="93"/>
      <c r="K991" s="113"/>
    </row>
    <row r="992" spans="6:11" ht="12.75" customHeight="1" x14ac:dyDescent="0.25">
      <c r="F992" s="92"/>
      <c r="G992" s="92"/>
      <c r="H992" s="92"/>
      <c r="I992" s="92"/>
      <c r="J992" s="93"/>
      <c r="K992" s="113"/>
    </row>
    <row r="993" spans="6:11" ht="12.75" customHeight="1" x14ac:dyDescent="0.25">
      <c r="F993" s="92"/>
      <c r="G993" s="92"/>
      <c r="H993" s="92"/>
      <c r="I993" s="92"/>
      <c r="J993" s="93"/>
      <c r="K993" s="113"/>
    </row>
    <row r="994" spans="6:11" ht="12.75" customHeight="1" x14ac:dyDescent="0.25">
      <c r="F994" s="92"/>
      <c r="G994" s="92"/>
      <c r="H994" s="92"/>
      <c r="I994" s="92"/>
      <c r="J994" s="93"/>
      <c r="K994" s="113"/>
    </row>
    <row r="995" spans="6:11" ht="12.75" customHeight="1" x14ac:dyDescent="0.25">
      <c r="F995" s="92"/>
      <c r="G995" s="92"/>
      <c r="H995" s="92"/>
      <c r="I995" s="92"/>
      <c r="J995" s="93"/>
      <c r="K995" s="113"/>
    </row>
    <row r="996" spans="6:11" ht="12.75" customHeight="1" x14ac:dyDescent="0.25">
      <c r="F996" s="92"/>
      <c r="G996" s="92"/>
      <c r="H996" s="92"/>
      <c r="I996" s="92"/>
      <c r="J996" s="93"/>
      <c r="K996" s="113"/>
    </row>
    <row r="997" spans="6:11" ht="12.75" customHeight="1" x14ac:dyDescent="0.25">
      <c r="F997" s="92"/>
      <c r="G997" s="92"/>
      <c r="H997" s="92"/>
      <c r="I997" s="92"/>
      <c r="J997" s="93"/>
      <c r="K997" s="113"/>
    </row>
    <row r="998" spans="6:11" ht="12.75" customHeight="1" x14ac:dyDescent="0.25">
      <c r="F998" s="92"/>
      <c r="G998" s="92"/>
      <c r="H998" s="92"/>
      <c r="I998" s="92"/>
      <c r="J998" s="93"/>
      <c r="K998" s="113"/>
    </row>
    <row r="999" spans="6:11" ht="12.75" customHeight="1" x14ac:dyDescent="0.25">
      <c r="F999" s="92"/>
      <c r="G999" s="92"/>
      <c r="H999" s="92"/>
      <c r="I999" s="92"/>
      <c r="J999" s="93"/>
      <c r="K999" s="113"/>
    </row>
    <row r="1000" spans="6:11" ht="12.75" customHeight="1" x14ac:dyDescent="0.25">
      <c r="F1000" s="114"/>
      <c r="G1000" s="113"/>
      <c r="H1000" s="113"/>
      <c r="I1000" s="113"/>
      <c r="J1000" s="113"/>
      <c r="K1000" s="113"/>
    </row>
  </sheetData>
  <conditionalFormatting sqref="J5:J34">
    <cfRule type="cellIs" dxfId="3" priority="1" operator="equal">
      <formula>0</formula>
    </cfRule>
  </conditionalFormatting>
  <conditionalFormatting sqref="J5:K34">
    <cfRule type="cellIs" dxfId="2" priority="2" operator="equal">
      <formula>0</formula>
    </cfRule>
  </conditionalFormatting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99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28.88671875" customWidth="1"/>
    <col min="2" max="2" width="11.109375" customWidth="1"/>
    <col min="3" max="5" width="12.77734375" customWidth="1"/>
    <col min="6" max="6" width="18.88671875" customWidth="1"/>
    <col min="7" max="7" width="11.109375" customWidth="1"/>
    <col min="8" max="26" width="10" customWidth="1"/>
  </cols>
  <sheetData>
    <row r="1" spans="1:26" ht="12.75" customHeight="1" x14ac:dyDescent="0.25">
      <c r="A1" s="57" t="s">
        <v>14</v>
      </c>
      <c r="B1" s="57" t="s">
        <v>791</v>
      </c>
      <c r="C1" s="57" t="s">
        <v>15</v>
      </c>
      <c r="D1" s="57" t="s">
        <v>16</v>
      </c>
      <c r="E1" s="57" t="s">
        <v>17</v>
      </c>
      <c r="F1" s="84" t="s">
        <v>18</v>
      </c>
      <c r="G1" s="84" t="s">
        <v>20</v>
      </c>
      <c r="H1" s="84" t="s">
        <v>21</v>
      </c>
      <c r="I1" s="85" t="s">
        <v>22</v>
      </c>
      <c r="J1" s="86" t="s">
        <v>23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2.75" customHeight="1" x14ac:dyDescent="0.25">
      <c r="A2" s="57"/>
      <c r="B2" s="57"/>
      <c r="C2" s="9"/>
      <c r="D2" s="9"/>
      <c r="E2" s="9"/>
      <c r="F2" s="88"/>
      <c r="G2" s="88"/>
      <c r="H2" s="88"/>
      <c r="I2" s="89"/>
      <c r="J2" s="90">
        <f>SUM(J3:J102)</f>
        <v>0</v>
      </c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2.75" customHeight="1" x14ac:dyDescent="0.3">
      <c r="A3" s="62" t="s">
        <v>860</v>
      </c>
      <c r="B3" s="14"/>
      <c r="C3" s="14"/>
      <c r="D3" s="14"/>
      <c r="E3" s="14"/>
      <c r="F3" s="92"/>
      <c r="G3" s="92"/>
      <c r="H3" s="92"/>
      <c r="I3" s="93"/>
      <c r="J3" s="9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x14ac:dyDescent="0.25">
      <c r="A4" s="14"/>
      <c r="B4" s="14"/>
      <c r="C4" s="14"/>
      <c r="D4" s="14"/>
      <c r="E4" s="14"/>
      <c r="F4" s="88"/>
      <c r="G4" s="88"/>
      <c r="H4" s="88"/>
      <c r="I4" s="94"/>
      <c r="J4" s="9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x14ac:dyDescent="0.25">
      <c r="A5" s="20" t="s">
        <v>861</v>
      </c>
      <c r="B5" s="51">
        <v>43</v>
      </c>
      <c r="C5" s="17">
        <v>1.27</v>
      </c>
      <c r="D5" s="17">
        <v>1.4</v>
      </c>
      <c r="E5" s="17">
        <v>1.5</v>
      </c>
      <c r="F5" s="84" t="s">
        <v>862</v>
      </c>
      <c r="G5" s="92"/>
      <c r="H5" s="92"/>
      <c r="I5" s="8">
        <f t="shared" ref="I5:I10" si="0">SUM(F5:H5)</f>
        <v>0</v>
      </c>
      <c r="J5" s="9">
        <f t="shared" ref="J5:J10" si="1">SUM(C5*I5)</f>
        <v>0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 x14ac:dyDescent="0.25">
      <c r="A6" s="20" t="s">
        <v>863</v>
      </c>
      <c r="B6" s="51">
        <v>49</v>
      </c>
      <c r="C6" s="17">
        <v>1.25</v>
      </c>
      <c r="D6" s="17">
        <v>1.4</v>
      </c>
      <c r="E6" s="17">
        <v>1.5</v>
      </c>
      <c r="F6" s="84" t="s">
        <v>862</v>
      </c>
      <c r="G6" s="92"/>
      <c r="H6" s="92"/>
      <c r="I6" s="8">
        <f t="shared" si="0"/>
        <v>0</v>
      </c>
      <c r="J6" s="9">
        <f t="shared" si="1"/>
        <v>0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25">
      <c r="A7" s="20" t="s">
        <v>864</v>
      </c>
      <c r="B7" s="51">
        <v>49</v>
      </c>
      <c r="C7" s="17">
        <v>1.25</v>
      </c>
      <c r="D7" s="17">
        <v>1.4</v>
      </c>
      <c r="E7" s="17">
        <v>1.5</v>
      </c>
      <c r="F7" s="84" t="s">
        <v>862</v>
      </c>
      <c r="G7" s="92"/>
      <c r="H7" s="92"/>
      <c r="I7" s="8">
        <f t="shared" si="0"/>
        <v>0</v>
      </c>
      <c r="J7" s="9">
        <f t="shared" si="1"/>
        <v>0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 x14ac:dyDescent="0.25">
      <c r="A8" s="20" t="s">
        <v>865</v>
      </c>
      <c r="B8" s="51">
        <v>49</v>
      </c>
      <c r="C8" s="17">
        <v>1.04</v>
      </c>
      <c r="D8" s="17">
        <v>1.4</v>
      </c>
      <c r="E8" s="17">
        <v>1.5</v>
      </c>
      <c r="F8" s="84" t="s">
        <v>862</v>
      </c>
      <c r="G8" s="92"/>
      <c r="H8" s="92"/>
      <c r="I8" s="8">
        <f t="shared" si="0"/>
        <v>0</v>
      </c>
      <c r="J8" s="9">
        <f t="shared" si="1"/>
        <v>0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 x14ac:dyDescent="0.25">
      <c r="A9" s="20" t="s">
        <v>866</v>
      </c>
      <c r="B9" s="51">
        <v>40</v>
      </c>
      <c r="C9" s="17">
        <v>1.0900000000000001</v>
      </c>
      <c r="D9" s="17">
        <v>1.4</v>
      </c>
      <c r="E9" s="17">
        <v>1.5</v>
      </c>
      <c r="F9" s="84" t="s">
        <v>862</v>
      </c>
      <c r="G9" s="92"/>
      <c r="H9" s="92"/>
      <c r="I9" s="8">
        <f t="shared" si="0"/>
        <v>0</v>
      </c>
      <c r="J9" s="9">
        <f t="shared" si="1"/>
        <v>0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25">
      <c r="A10" s="20" t="s">
        <v>867</v>
      </c>
      <c r="B10" s="51">
        <v>50</v>
      </c>
      <c r="C10" s="17">
        <v>1.25</v>
      </c>
      <c r="D10" s="17">
        <v>1.4</v>
      </c>
      <c r="E10" s="17">
        <v>1.5</v>
      </c>
      <c r="F10" s="84" t="s">
        <v>862</v>
      </c>
      <c r="G10" s="92"/>
      <c r="H10" s="92"/>
      <c r="I10" s="8">
        <f t="shared" si="0"/>
        <v>0</v>
      </c>
      <c r="J10" s="9">
        <f t="shared" si="1"/>
        <v>0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25">
      <c r="A11" s="20"/>
      <c r="B11" s="14"/>
      <c r="C11" s="5"/>
      <c r="D11" s="5"/>
      <c r="E11" s="5"/>
      <c r="F11" s="92"/>
      <c r="G11" s="92"/>
      <c r="H11" s="92"/>
      <c r="I11" s="8"/>
      <c r="J11" s="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3">
      <c r="A12" s="62" t="s">
        <v>868</v>
      </c>
      <c r="B12" s="14"/>
      <c r="C12" s="14"/>
      <c r="D12" s="14"/>
      <c r="E12" s="14"/>
      <c r="F12" s="92"/>
      <c r="G12" s="92"/>
      <c r="H12" s="92"/>
      <c r="I12" s="8"/>
      <c r="J12" s="9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x14ac:dyDescent="0.25">
      <c r="A13" s="14"/>
      <c r="B13" s="14"/>
      <c r="C13" s="14"/>
      <c r="D13" s="14"/>
      <c r="E13" s="14"/>
      <c r="F13" s="92"/>
      <c r="G13" s="92"/>
      <c r="H13" s="92"/>
      <c r="I13" s="8"/>
      <c r="J13" s="9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 x14ac:dyDescent="0.25">
      <c r="A14" s="20" t="s">
        <v>869</v>
      </c>
      <c r="B14" s="51">
        <v>32</v>
      </c>
      <c r="C14" s="5"/>
      <c r="D14" s="17">
        <v>0.9</v>
      </c>
      <c r="E14" s="17">
        <v>1.2</v>
      </c>
      <c r="F14" s="84" t="s">
        <v>693</v>
      </c>
      <c r="G14" s="92"/>
      <c r="H14" s="92"/>
      <c r="I14" s="8">
        <f t="shared" ref="I14:I16" si="2">SUM(F14:H14)</f>
        <v>0</v>
      </c>
      <c r="J14" s="9">
        <f t="shared" ref="J14:J16" si="3">SUM(C14*I14)</f>
        <v>0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25">
      <c r="A15" s="20" t="s">
        <v>870</v>
      </c>
      <c r="B15" s="51">
        <v>32</v>
      </c>
      <c r="C15" s="5"/>
      <c r="D15" s="17">
        <v>30</v>
      </c>
      <c r="E15" s="17">
        <v>32</v>
      </c>
      <c r="F15" s="84" t="s">
        <v>693</v>
      </c>
      <c r="G15" s="92"/>
      <c r="H15" s="92"/>
      <c r="I15" s="8">
        <f t="shared" si="2"/>
        <v>0</v>
      </c>
      <c r="J15" s="9">
        <f t="shared" si="3"/>
        <v>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25">
      <c r="A16" s="20" t="s">
        <v>871</v>
      </c>
      <c r="B16" s="51">
        <v>170</v>
      </c>
      <c r="C16" s="17">
        <v>1.48</v>
      </c>
      <c r="D16" s="17">
        <v>2.25</v>
      </c>
      <c r="E16" s="17">
        <v>2.25</v>
      </c>
      <c r="F16" s="84" t="s">
        <v>872</v>
      </c>
      <c r="G16" s="92"/>
      <c r="H16" s="92"/>
      <c r="I16" s="8">
        <f t="shared" si="2"/>
        <v>0</v>
      </c>
      <c r="J16" s="9">
        <f t="shared" si="3"/>
        <v>0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25">
      <c r="A17" s="20"/>
      <c r="B17" s="51"/>
      <c r="C17" s="5"/>
      <c r="D17" s="5"/>
      <c r="E17" s="5"/>
      <c r="F17" s="92"/>
      <c r="G17" s="92"/>
      <c r="H17" s="92"/>
      <c r="I17" s="8"/>
      <c r="J17" s="9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25">
      <c r="A18" s="72"/>
      <c r="B18" s="109"/>
      <c r="C18" s="101"/>
      <c r="D18" s="101"/>
      <c r="E18" s="101"/>
      <c r="F18" s="92"/>
      <c r="G18" s="92"/>
      <c r="H18" s="92"/>
      <c r="I18" s="8"/>
      <c r="J18" s="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12.75" customHeight="1" x14ac:dyDescent="0.25">
      <c r="A19" s="72"/>
      <c r="B19" s="109"/>
      <c r="C19" s="101"/>
      <c r="D19" s="101"/>
      <c r="E19" s="101"/>
      <c r="F19" s="92"/>
      <c r="G19" s="92"/>
      <c r="H19" s="92"/>
      <c r="I19" s="8"/>
      <c r="J19" s="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12.75" customHeight="1" x14ac:dyDescent="0.3">
      <c r="A20" s="62" t="s">
        <v>873</v>
      </c>
      <c r="B20" s="14"/>
      <c r="C20" s="14"/>
      <c r="D20" s="14"/>
      <c r="E20" s="14"/>
      <c r="F20" s="92"/>
      <c r="G20" s="92"/>
      <c r="H20" s="92"/>
      <c r="I20" s="8"/>
      <c r="J20" s="9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25">
      <c r="A21" s="14"/>
      <c r="B21" s="14"/>
      <c r="C21" s="14"/>
      <c r="D21" s="14"/>
      <c r="E21" s="14"/>
      <c r="F21" s="92"/>
      <c r="G21" s="92"/>
      <c r="H21" s="92"/>
      <c r="I21" s="8"/>
      <c r="J21" s="9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25">
      <c r="A22" s="14" t="s">
        <v>874</v>
      </c>
      <c r="B22" s="65">
        <v>50</v>
      </c>
      <c r="C22" s="5"/>
      <c r="D22" s="5"/>
      <c r="E22" s="5"/>
      <c r="F22" s="84" t="s">
        <v>693</v>
      </c>
      <c r="G22" s="92"/>
      <c r="H22" s="92"/>
      <c r="I22" s="8">
        <f t="shared" ref="I22:I27" si="4">SUM(F22:H22)</f>
        <v>0</v>
      </c>
      <c r="J22" s="9">
        <f t="shared" ref="J22:J27" si="5">SUM(C22*I22)</f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 x14ac:dyDescent="0.25">
      <c r="A23" s="14" t="s">
        <v>875</v>
      </c>
      <c r="B23" s="65">
        <v>50</v>
      </c>
      <c r="C23" s="5"/>
      <c r="D23" s="5"/>
      <c r="E23" s="5"/>
      <c r="F23" s="84" t="s">
        <v>693</v>
      </c>
      <c r="G23" s="92"/>
      <c r="H23" s="92"/>
      <c r="I23" s="8">
        <f t="shared" si="4"/>
        <v>0</v>
      </c>
      <c r="J23" s="9">
        <f t="shared" si="5"/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25">
      <c r="A24" s="14" t="s">
        <v>876</v>
      </c>
      <c r="B24" s="65">
        <v>25</v>
      </c>
      <c r="C24" s="5"/>
      <c r="D24" s="5"/>
      <c r="E24" s="5"/>
      <c r="F24" s="84" t="s">
        <v>693</v>
      </c>
      <c r="G24" s="92"/>
      <c r="H24" s="92"/>
      <c r="I24" s="8">
        <f t="shared" si="4"/>
        <v>0</v>
      </c>
      <c r="J24" s="9">
        <f t="shared" si="5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 x14ac:dyDescent="0.25">
      <c r="A25" s="14" t="s">
        <v>877</v>
      </c>
      <c r="B25" s="65">
        <v>25</v>
      </c>
      <c r="C25" s="5"/>
      <c r="D25" s="5"/>
      <c r="E25" s="5"/>
      <c r="F25" s="84" t="s">
        <v>693</v>
      </c>
      <c r="G25" s="92"/>
      <c r="H25" s="92"/>
      <c r="I25" s="8">
        <f t="shared" si="4"/>
        <v>0</v>
      </c>
      <c r="J25" s="9">
        <f t="shared" si="5"/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 x14ac:dyDescent="0.25">
      <c r="A26" s="14" t="s">
        <v>878</v>
      </c>
      <c r="B26" s="65"/>
      <c r="C26" s="5"/>
      <c r="D26" s="5"/>
      <c r="E26" s="5"/>
      <c r="F26" s="84" t="s">
        <v>693</v>
      </c>
      <c r="G26" s="92"/>
      <c r="H26" s="92"/>
      <c r="I26" s="8">
        <f t="shared" si="4"/>
        <v>0</v>
      </c>
      <c r="J26" s="9">
        <f t="shared" si="5"/>
        <v>0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 x14ac:dyDescent="0.25">
      <c r="A27" s="20" t="s">
        <v>879</v>
      </c>
      <c r="B27" s="51"/>
      <c r="C27" s="9"/>
      <c r="D27" s="9"/>
      <c r="E27" s="9"/>
      <c r="F27" s="84" t="s">
        <v>880</v>
      </c>
      <c r="G27" s="92"/>
      <c r="H27" s="92"/>
      <c r="I27" s="8">
        <f t="shared" si="4"/>
        <v>0</v>
      </c>
      <c r="J27" s="9">
        <f t="shared" si="5"/>
        <v>0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72"/>
      <c r="B28" s="108"/>
      <c r="C28" s="101"/>
      <c r="D28" s="101"/>
      <c r="E28" s="101"/>
      <c r="F28" s="92"/>
      <c r="G28" s="92"/>
      <c r="H28" s="92"/>
      <c r="I28" s="8"/>
      <c r="J28" s="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2.75" customHeight="1" x14ac:dyDescent="0.25">
      <c r="A29" s="72"/>
      <c r="B29" s="108"/>
      <c r="C29" s="101"/>
      <c r="D29" s="101"/>
      <c r="E29" s="101"/>
      <c r="F29" s="92"/>
      <c r="G29" s="92"/>
      <c r="H29" s="92"/>
      <c r="I29" s="8"/>
      <c r="J29" s="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2.75" customHeight="1" x14ac:dyDescent="0.25">
      <c r="A30" s="72"/>
      <c r="B30" s="108"/>
      <c r="C30" s="101"/>
      <c r="D30" s="101"/>
      <c r="E30" s="101"/>
      <c r="F30" s="92"/>
      <c r="G30" s="92"/>
      <c r="H30" s="92"/>
      <c r="I30" s="8"/>
      <c r="J30" s="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2.75" customHeight="1" x14ac:dyDescent="0.25">
      <c r="A31" s="72"/>
      <c r="B31" s="108"/>
      <c r="C31" s="101"/>
      <c r="D31" s="101"/>
      <c r="E31" s="101"/>
      <c r="F31" s="92"/>
      <c r="G31" s="92"/>
      <c r="H31" s="92"/>
      <c r="I31" s="8"/>
      <c r="J31" s="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2.75" customHeight="1" x14ac:dyDescent="0.25">
      <c r="A32" s="72"/>
      <c r="B32" s="108"/>
      <c r="C32" s="101"/>
      <c r="D32" s="101"/>
      <c r="E32" s="101"/>
      <c r="F32" s="92"/>
      <c r="G32" s="92"/>
      <c r="H32" s="92"/>
      <c r="I32" s="8"/>
      <c r="J32" s="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2.75" customHeight="1" x14ac:dyDescent="0.25">
      <c r="A33" s="72"/>
      <c r="B33" s="108"/>
      <c r="C33" s="101"/>
      <c r="D33" s="101"/>
      <c r="E33" s="101"/>
      <c r="F33" s="92"/>
      <c r="G33" s="92"/>
      <c r="H33" s="92"/>
      <c r="I33" s="8"/>
      <c r="J33" s="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2.75" customHeight="1" x14ac:dyDescent="0.25">
      <c r="A34" s="72"/>
      <c r="B34" s="108"/>
      <c r="C34" s="101"/>
      <c r="D34" s="101"/>
      <c r="E34" s="101"/>
      <c r="F34" s="92"/>
      <c r="G34" s="92"/>
      <c r="H34" s="92"/>
      <c r="I34" s="95"/>
      <c r="J34" s="93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2.75" customHeight="1" x14ac:dyDescent="0.25">
      <c r="A35" s="72"/>
      <c r="B35" s="108"/>
      <c r="C35" s="101"/>
      <c r="D35" s="101"/>
      <c r="E35" s="101"/>
      <c r="F35" s="92"/>
      <c r="G35" s="92"/>
      <c r="H35" s="92"/>
      <c r="I35" s="95"/>
      <c r="J35" s="93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2.75" customHeight="1" x14ac:dyDescent="0.25">
      <c r="A36" s="72"/>
      <c r="B36" s="108"/>
      <c r="C36" s="101"/>
      <c r="D36" s="101"/>
      <c r="E36" s="101"/>
      <c r="F36" s="92"/>
      <c r="G36" s="92"/>
      <c r="H36" s="92"/>
      <c r="I36" s="95"/>
      <c r="J36" s="93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2.75" customHeight="1" x14ac:dyDescent="0.25">
      <c r="A37" s="72"/>
      <c r="B37" s="108"/>
      <c r="C37" s="101"/>
      <c r="D37" s="101"/>
      <c r="E37" s="101"/>
      <c r="F37" s="92"/>
      <c r="G37" s="92"/>
      <c r="H37" s="92"/>
      <c r="I37" s="95"/>
      <c r="J37" s="93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2.75" customHeight="1" x14ac:dyDescent="0.25">
      <c r="A38" s="72"/>
      <c r="B38" s="108"/>
      <c r="C38" s="101"/>
      <c r="D38" s="101"/>
      <c r="E38" s="101"/>
      <c r="F38" s="92"/>
      <c r="G38" s="92"/>
      <c r="H38" s="92"/>
      <c r="I38" s="95"/>
      <c r="J38" s="93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2.75" customHeight="1" x14ac:dyDescent="0.25">
      <c r="A39" s="72"/>
      <c r="B39" s="108"/>
      <c r="C39" s="101"/>
      <c r="D39" s="101"/>
      <c r="E39" s="101"/>
      <c r="F39" s="92"/>
      <c r="G39" s="92"/>
      <c r="H39" s="92"/>
      <c r="I39" s="95"/>
      <c r="J39" s="93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2.75" customHeight="1" x14ac:dyDescent="0.25">
      <c r="A40" s="72"/>
      <c r="B40" s="108"/>
      <c r="C40" s="101"/>
      <c r="D40" s="101"/>
      <c r="E40" s="101"/>
      <c r="F40" s="92"/>
      <c r="G40" s="92"/>
      <c r="H40" s="92"/>
      <c r="I40" s="96">
        <f t="shared" ref="I40:I46" si="6">SUM(F40:H40)</f>
        <v>0</v>
      </c>
      <c r="J40" s="97">
        <f t="shared" ref="J40:J46" si="7">SUM(C40*I40)</f>
        <v>0</v>
      </c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2.75" customHeight="1" x14ac:dyDescent="0.25">
      <c r="A41" s="72"/>
      <c r="B41" s="108"/>
      <c r="C41" s="101"/>
      <c r="D41" s="101"/>
      <c r="E41" s="101"/>
      <c r="F41" s="92"/>
      <c r="G41" s="92"/>
      <c r="H41" s="92"/>
      <c r="I41" s="96">
        <f t="shared" si="6"/>
        <v>0</v>
      </c>
      <c r="J41" s="97">
        <f t="shared" si="7"/>
        <v>0</v>
      </c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2.75" customHeight="1" x14ac:dyDescent="0.25">
      <c r="A42" s="72"/>
      <c r="B42" s="108"/>
      <c r="C42" s="115"/>
      <c r="D42" s="115"/>
      <c r="E42" s="116"/>
      <c r="F42" s="92"/>
      <c r="G42" s="92"/>
      <c r="H42" s="92"/>
      <c r="I42" s="96">
        <f t="shared" si="6"/>
        <v>0</v>
      </c>
      <c r="J42" s="97">
        <f t="shared" si="7"/>
        <v>0</v>
      </c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2.75" customHeight="1" x14ac:dyDescent="0.25">
      <c r="A43" s="72"/>
      <c r="B43" s="108"/>
      <c r="C43" s="115"/>
      <c r="D43" s="115"/>
      <c r="E43" s="116"/>
      <c r="F43" s="92"/>
      <c r="G43" s="92"/>
      <c r="H43" s="92"/>
      <c r="I43" s="96">
        <f t="shared" si="6"/>
        <v>0</v>
      </c>
      <c r="J43" s="97">
        <f t="shared" si="7"/>
        <v>0</v>
      </c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2.75" customHeight="1" x14ac:dyDescent="0.25">
      <c r="A44" s="72"/>
      <c r="B44" s="108"/>
      <c r="C44" s="115"/>
      <c r="D44" s="115"/>
      <c r="E44" s="116"/>
      <c r="F44" s="92"/>
      <c r="G44" s="92"/>
      <c r="H44" s="92"/>
      <c r="I44" s="96">
        <f t="shared" si="6"/>
        <v>0</v>
      </c>
      <c r="J44" s="97">
        <f t="shared" si="7"/>
        <v>0</v>
      </c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2.75" customHeight="1" x14ac:dyDescent="0.25">
      <c r="A45" s="72"/>
      <c r="B45" s="108"/>
      <c r="C45" s="115"/>
      <c r="D45" s="115"/>
      <c r="E45" s="116"/>
      <c r="F45" s="92"/>
      <c r="G45" s="92"/>
      <c r="H45" s="92"/>
      <c r="I45" s="96">
        <f t="shared" si="6"/>
        <v>0</v>
      </c>
      <c r="J45" s="97">
        <f t="shared" si="7"/>
        <v>0</v>
      </c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2.75" customHeight="1" x14ac:dyDescent="0.25">
      <c r="A46" s="72"/>
      <c r="B46" s="108"/>
      <c r="C46" s="115"/>
      <c r="D46" s="115"/>
      <c r="E46" s="116"/>
      <c r="F46" s="92"/>
      <c r="G46" s="92"/>
      <c r="H46" s="92"/>
      <c r="I46" s="96">
        <f t="shared" si="6"/>
        <v>0</v>
      </c>
      <c r="J46" s="97">
        <f t="shared" si="7"/>
        <v>0</v>
      </c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2.75" customHeight="1" x14ac:dyDescent="0.25">
      <c r="A47" s="72"/>
      <c r="B47" s="108"/>
      <c r="C47" s="115"/>
      <c r="D47" s="115"/>
      <c r="E47" s="116"/>
      <c r="F47" s="92"/>
      <c r="G47" s="92"/>
      <c r="H47" s="92"/>
      <c r="I47" s="93"/>
      <c r="J47" s="113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2.75" customHeight="1" x14ac:dyDescent="0.25">
      <c r="A48" s="72"/>
      <c r="B48" s="108"/>
      <c r="C48" s="115"/>
      <c r="D48" s="115"/>
      <c r="E48" s="116"/>
      <c r="F48" s="92"/>
      <c r="G48" s="92"/>
      <c r="H48" s="92"/>
      <c r="I48" s="93"/>
      <c r="J48" s="113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2.75" customHeight="1" x14ac:dyDescent="0.25">
      <c r="A49" s="72"/>
      <c r="B49" s="108"/>
      <c r="C49" s="115"/>
      <c r="D49" s="115"/>
      <c r="E49" s="116"/>
      <c r="F49" s="92"/>
      <c r="G49" s="92"/>
      <c r="H49" s="92"/>
      <c r="I49" s="95"/>
      <c r="J49" s="93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2.75" customHeight="1" x14ac:dyDescent="0.25">
      <c r="A50" s="72"/>
      <c r="B50" s="108"/>
      <c r="C50" s="115"/>
      <c r="D50" s="115"/>
      <c r="E50" s="116"/>
      <c r="F50" s="92"/>
      <c r="G50" s="92"/>
      <c r="H50" s="92"/>
      <c r="I50" s="95"/>
      <c r="J50" s="93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2.75" customHeight="1" x14ac:dyDescent="0.25">
      <c r="A51" s="72"/>
      <c r="B51" s="108"/>
      <c r="C51" s="115"/>
      <c r="D51" s="115"/>
      <c r="E51" s="116"/>
      <c r="F51" s="92"/>
      <c r="G51" s="92"/>
      <c r="H51" s="92"/>
      <c r="I51" s="95"/>
      <c r="J51" s="93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2.75" customHeight="1" x14ac:dyDescent="0.25">
      <c r="A52" s="72"/>
      <c r="B52" s="108"/>
      <c r="C52" s="115"/>
      <c r="D52" s="115"/>
      <c r="E52" s="116"/>
      <c r="F52" s="92"/>
      <c r="G52" s="92"/>
      <c r="H52" s="92"/>
      <c r="I52" s="95"/>
      <c r="J52" s="93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2.75" customHeight="1" x14ac:dyDescent="0.25">
      <c r="A53" s="72"/>
      <c r="B53" s="108"/>
      <c r="C53" s="115"/>
      <c r="D53" s="115"/>
      <c r="E53" s="116"/>
      <c r="F53" s="92"/>
      <c r="G53" s="92"/>
      <c r="H53" s="92"/>
      <c r="I53" s="95"/>
      <c r="J53" s="93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2.75" customHeight="1" x14ac:dyDescent="0.25">
      <c r="A54" s="72"/>
      <c r="B54" s="108"/>
      <c r="C54" s="115"/>
      <c r="D54" s="115"/>
      <c r="E54" s="116"/>
      <c r="F54" s="92"/>
      <c r="G54" s="92"/>
      <c r="H54" s="92"/>
      <c r="I54" s="95"/>
      <c r="J54" s="93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2.75" customHeight="1" x14ac:dyDescent="0.25">
      <c r="A55" s="72"/>
      <c r="B55" s="108"/>
      <c r="C55" s="115"/>
      <c r="D55" s="115"/>
      <c r="E55" s="116"/>
      <c r="F55" s="92"/>
      <c r="G55" s="92"/>
      <c r="H55" s="92"/>
      <c r="I55" s="95"/>
      <c r="J55" s="93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2.75" customHeight="1" x14ac:dyDescent="0.25">
      <c r="A56" s="72"/>
      <c r="B56" s="108"/>
      <c r="C56" s="115"/>
      <c r="D56" s="115"/>
      <c r="E56" s="116"/>
      <c r="F56" s="92"/>
      <c r="G56" s="92"/>
      <c r="H56" s="92"/>
      <c r="I56" s="95"/>
      <c r="J56" s="93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2.75" customHeight="1" x14ac:dyDescent="0.25">
      <c r="A57" s="72"/>
      <c r="B57" s="108"/>
      <c r="C57" s="115"/>
      <c r="D57" s="115"/>
      <c r="E57" s="116"/>
      <c r="F57" s="92"/>
      <c r="G57" s="92"/>
      <c r="H57" s="92"/>
      <c r="I57" s="95"/>
      <c r="J57" s="93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2.75" customHeight="1" x14ac:dyDescent="0.25">
      <c r="A58" s="72"/>
      <c r="B58" s="108"/>
      <c r="C58" s="115"/>
      <c r="D58" s="115"/>
      <c r="E58" s="116"/>
      <c r="F58" s="92"/>
      <c r="G58" s="92"/>
      <c r="H58" s="92"/>
      <c r="I58" s="93"/>
      <c r="J58" s="113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2.75" customHeight="1" x14ac:dyDescent="0.25">
      <c r="A59" s="72"/>
      <c r="B59" s="108"/>
      <c r="C59" s="115"/>
      <c r="D59" s="115"/>
      <c r="E59" s="116"/>
      <c r="F59" s="92"/>
      <c r="G59" s="92"/>
      <c r="H59" s="92"/>
      <c r="I59" s="95"/>
      <c r="J59" s="93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2.75" customHeight="1" x14ac:dyDescent="0.25">
      <c r="A60" s="72"/>
      <c r="B60" s="108"/>
      <c r="C60" s="115"/>
      <c r="D60" s="115"/>
      <c r="E60" s="116"/>
      <c r="F60" s="92"/>
      <c r="G60" s="92"/>
      <c r="H60" s="92"/>
      <c r="I60" s="95"/>
      <c r="J60" s="93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2.75" customHeight="1" x14ac:dyDescent="0.25">
      <c r="A61" s="72"/>
      <c r="B61" s="108"/>
      <c r="C61" s="115"/>
      <c r="D61" s="115"/>
      <c r="E61" s="116"/>
      <c r="F61" s="92"/>
      <c r="G61" s="92"/>
      <c r="H61" s="92"/>
      <c r="I61" s="95"/>
      <c r="J61" s="93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2.75" customHeight="1" x14ac:dyDescent="0.25">
      <c r="A62" s="72"/>
      <c r="B62" s="108"/>
      <c r="C62" s="115"/>
      <c r="D62" s="115"/>
      <c r="E62" s="116"/>
      <c r="F62" s="92"/>
      <c r="G62" s="92"/>
      <c r="H62" s="92"/>
      <c r="I62" s="95"/>
      <c r="J62" s="93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2.75" customHeight="1" x14ac:dyDescent="0.25">
      <c r="A63" s="72"/>
      <c r="B63" s="108"/>
      <c r="C63" s="115"/>
      <c r="D63" s="115"/>
      <c r="E63" s="116"/>
      <c r="F63" s="92"/>
      <c r="G63" s="92"/>
      <c r="H63" s="92"/>
      <c r="I63" s="95"/>
      <c r="J63" s="93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2.75" customHeight="1" x14ac:dyDescent="0.25">
      <c r="A64" s="72"/>
      <c r="B64" s="108"/>
      <c r="C64" s="115"/>
      <c r="D64" s="115"/>
      <c r="E64" s="116"/>
      <c r="F64" s="92"/>
      <c r="G64" s="92"/>
      <c r="H64" s="92"/>
      <c r="I64" s="95"/>
      <c r="J64" s="93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2.75" customHeight="1" x14ac:dyDescent="0.25">
      <c r="A65" s="72"/>
      <c r="B65" s="108"/>
      <c r="C65" s="115"/>
      <c r="D65" s="115"/>
      <c r="E65" s="116"/>
      <c r="F65" s="92"/>
      <c r="G65" s="92"/>
      <c r="H65" s="92"/>
      <c r="I65" s="95"/>
      <c r="J65" s="93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2.75" customHeight="1" x14ac:dyDescent="0.25">
      <c r="A66" s="72"/>
      <c r="B66" s="108"/>
      <c r="C66" s="115"/>
      <c r="D66" s="115"/>
      <c r="E66" s="116"/>
      <c r="F66" s="92"/>
      <c r="G66" s="92"/>
      <c r="H66" s="92"/>
      <c r="I66" s="95"/>
      <c r="J66" s="93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2.75" customHeight="1" x14ac:dyDescent="0.25">
      <c r="A67" s="72"/>
      <c r="B67" s="108"/>
      <c r="C67" s="115"/>
      <c r="D67" s="115"/>
      <c r="E67" s="116"/>
      <c r="F67" s="92"/>
      <c r="G67" s="92"/>
      <c r="H67" s="92"/>
      <c r="I67" s="95"/>
      <c r="J67" s="93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2.75" customHeight="1" x14ac:dyDescent="0.25">
      <c r="A68" s="72"/>
      <c r="B68" s="108"/>
      <c r="C68" s="115"/>
      <c r="D68" s="115"/>
      <c r="E68" s="116"/>
      <c r="F68" s="92"/>
      <c r="G68" s="92"/>
      <c r="H68" s="92"/>
      <c r="I68" s="95"/>
      <c r="J68" s="93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2.75" customHeight="1" x14ac:dyDescent="0.25">
      <c r="A69" s="72"/>
      <c r="B69" s="108"/>
      <c r="C69" s="115"/>
      <c r="D69" s="115"/>
      <c r="E69" s="116"/>
      <c r="F69" s="92"/>
      <c r="G69" s="92"/>
      <c r="H69" s="92"/>
      <c r="I69" s="95"/>
      <c r="J69" s="93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2.75" customHeight="1" x14ac:dyDescent="0.25">
      <c r="A70" s="79"/>
      <c r="B70" s="78"/>
      <c r="C70" s="82"/>
      <c r="D70" s="82"/>
      <c r="E70" s="83"/>
      <c r="F70" s="92"/>
      <c r="G70" s="92"/>
      <c r="H70" s="92"/>
      <c r="I70" s="95"/>
      <c r="J70" s="93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2.75" customHeight="1" x14ac:dyDescent="0.25">
      <c r="A71" s="79"/>
      <c r="B71" s="78"/>
      <c r="C71" s="82"/>
      <c r="D71" s="82"/>
      <c r="E71" s="83"/>
      <c r="F71" s="92"/>
      <c r="G71" s="92"/>
      <c r="H71" s="92"/>
      <c r="I71" s="95"/>
      <c r="J71" s="93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2.75" customHeight="1" x14ac:dyDescent="0.25">
      <c r="A72" s="79"/>
      <c r="B72" s="78"/>
      <c r="C72" s="82"/>
      <c r="D72" s="82"/>
      <c r="E72" s="83"/>
      <c r="F72" s="92"/>
      <c r="G72" s="92"/>
      <c r="H72" s="92"/>
      <c r="I72" s="93"/>
      <c r="J72" s="93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2.75" customHeight="1" x14ac:dyDescent="0.25">
      <c r="A73" s="79"/>
      <c r="B73" s="78"/>
      <c r="C73" s="82"/>
      <c r="D73" s="82"/>
      <c r="E73" s="83"/>
      <c r="F73" s="92"/>
      <c r="G73" s="92"/>
      <c r="H73" s="92"/>
      <c r="I73" s="93"/>
      <c r="J73" s="113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2.75" customHeight="1" x14ac:dyDescent="0.25">
      <c r="A74" s="79"/>
      <c r="B74" s="78"/>
      <c r="C74" s="82"/>
      <c r="D74" s="82"/>
      <c r="E74" s="83"/>
      <c r="F74" s="92"/>
      <c r="G74" s="92"/>
      <c r="H74" s="92"/>
      <c r="I74" s="93"/>
      <c r="J74" s="113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2.75" customHeight="1" x14ac:dyDescent="0.25">
      <c r="A75" s="79"/>
      <c r="B75" s="78"/>
      <c r="C75" s="82"/>
      <c r="D75" s="82"/>
      <c r="E75" s="83"/>
      <c r="F75" s="92"/>
      <c r="G75" s="92"/>
      <c r="H75" s="92"/>
      <c r="I75" s="93"/>
      <c r="J75" s="113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2.75" customHeight="1" x14ac:dyDescent="0.25">
      <c r="A76" s="79"/>
      <c r="B76" s="78"/>
      <c r="C76" s="82"/>
      <c r="D76" s="82"/>
      <c r="E76" s="83"/>
      <c r="F76" s="92"/>
      <c r="G76" s="92"/>
      <c r="H76" s="92"/>
      <c r="I76" s="95"/>
      <c r="J76" s="93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2.75" customHeight="1" x14ac:dyDescent="0.25">
      <c r="A77" s="79"/>
      <c r="B77" s="78"/>
      <c r="C77" s="82"/>
      <c r="D77" s="82"/>
      <c r="E77" s="83"/>
      <c r="F77" s="92"/>
      <c r="G77" s="92"/>
      <c r="H77" s="92"/>
      <c r="I77" s="95"/>
      <c r="J77" s="93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2.75" customHeight="1" x14ac:dyDescent="0.25">
      <c r="A78" s="79"/>
      <c r="B78" s="78"/>
      <c r="C78" s="82"/>
      <c r="D78" s="82"/>
      <c r="E78" s="83"/>
      <c r="F78" s="92"/>
      <c r="G78" s="92"/>
      <c r="H78" s="92"/>
      <c r="I78" s="95"/>
      <c r="J78" s="93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2.75" customHeight="1" x14ac:dyDescent="0.25">
      <c r="A79" s="79"/>
      <c r="B79" s="78"/>
      <c r="C79" s="82"/>
      <c r="D79" s="82"/>
      <c r="E79" s="83"/>
      <c r="F79" s="92"/>
      <c r="G79" s="92"/>
      <c r="H79" s="92"/>
      <c r="I79" s="95"/>
      <c r="J79" s="93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2.75" customHeight="1" x14ac:dyDescent="0.25">
      <c r="A80" s="79"/>
      <c r="B80" s="78"/>
      <c r="C80" s="82"/>
      <c r="D80" s="82"/>
      <c r="E80" s="83"/>
      <c r="F80" s="92"/>
      <c r="G80" s="92"/>
      <c r="H80" s="92"/>
      <c r="I80" s="95"/>
      <c r="J80" s="93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2.75" customHeight="1" x14ac:dyDescent="0.25">
      <c r="A81" s="79"/>
      <c r="B81" s="78"/>
      <c r="C81" s="82"/>
      <c r="D81" s="82"/>
      <c r="E81" s="83"/>
      <c r="F81" s="92"/>
      <c r="G81" s="92"/>
      <c r="H81" s="92"/>
      <c r="I81" s="93"/>
      <c r="J81" s="113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2.75" customHeight="1" x14ac:dyDescent="0.25">
      <c r="A82" s="79"/>
      <c r="B82" s="78"/>
      <c r="C82" s="82"/>
      <c r="D82" s="82"/>
      <c r="E82" s="83"/>
      <c r="F82" s="92"/>
      <c r="G82" s="92"/>
      <c r="H82" s="92"/>
      <c r="I82" s="93"/>
      <c r="J82" s="113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2.75" customHeight="1" x14ac:dyDescent="0.25">
      <c r="A83" s="79"/>
      <c r="B83" s="78"/>
      <c r="C83" s="82"/>
      <c r="D83" s="82"/>
      <c r="E83" s="83"/>
      <c r="F83" s="92"/>
      <c r="G83" s="92"/>
      <c r="H83" s="92"/>
      <c r="I83" s="93"/>
      <c r="J83" s="113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2.75" customHeight="1" x14ac:dyDescent="0.25">
      <c r="A84" s="79"/>
      <c r="B84" s="78"/>
      <c r="C84" s="82"/>
      <c r="D84" s="82"/>
      <c r="E84" s="83"/>
      <c r="F84" s="92"/>
      <c r="G84" s="92"/>
      <c r="H84" s="92"/>
      <c r="I84" s="93"/>
      <c r="J84" s="113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2.75" customHeight="1" x14ac:dyDescent="0.25">
      <c r="A85" s="79"/>
      <c r="B85" s="78"/>
      <c r="C85" s="82"/>
      <c r="D85" s="82"/>
      <c r="E85" s="83"/>
      <c r="F85" s="92"/>
      <c r="G85" s="92"/>
      <c r="H85" s="92"/>
      <c r="I85" s="93"/>
      <c r="J85" s="113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2.75" customHeight="1" x14ac:dyDescent="0.25">
      <c r="A86" s="79"/>
      <c r="B86" s="78"/>
      <c r="C86" s="82"/>
      <c r="D86" s="82"/>
      <c r="E86" s="83"/>
      <c r="F86" s="92"/>
      <c r="G86" s="92"/>
      <c r="H86" s="92"/>
      <c r="I86" s="93"/>
      <c r="J86" s="113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2.75" customHeight="1" x14ac:dyDescent="0.25">
      <c r="A87" s="79"/>
      <c r="B87" s="78"/>
      <c r="C87" s="82"/>
      <c r="D87" s="82"/>
      <c r="E87" s="83"/>
      <c r="F87" s="92"/>
      <c r="G87" s="92"/>
      <c r="H87" s="92"/>
      <c r="I87" s="93"/>
      <c r="J87" s="113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2.75" customHeight="1" x14ac:dyDescent="0.25">
      <c r="A88" s="79"/>
      <c r="B88" s="78"/>
      <c r="C88" s="82"/>
      <c r="D88" s="82"/>
      <c r="E88" s="83"/>
      <c r="F88" s="92"/>
      <c r="G88" s="92"/>
      <c r="H88" s="92"/>
      <c r="I88" s="93"/>
      <c r="J88" s="93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2.75" customHeight="1" x14ac:dyDescent="0.25">
      <c r="A89" s="79"/>
      <c r="B89" s="78"/>
      <c r="C89" s="82"/>
      <c r="D89" s="82"/>
      <c r="E89" s="83"/>
      <c r="F89" s="92"/>
      <c r="G89" s="92"/>
      <c r="H89" s="92"/>
      <c r="I89" s="93"/>
      <c r="J89" s="93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2.75" customHeight="1" x14ac:dyDescent="0.25">
      <c r="A90" s="79"/>
      <c r="B90" s="78"/>
      <c r="C90" s="82"/>
      <c r="D90" s="82"/>
      <c r="E90" s="83"/>
      <c r="F90" s="92"/>
      <c r="G90" s="92"/>
      <c r="H90" s="92"/>
      <c r="I90" s="93"/>
      <c r="J90" s="93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2.75" customHeight="1" x14ac:dyDescent="0.25">
      <c r="A91" s="79"/>
      <c r="B91" s="78"/>
      <c r="C91" s="82"/>
      <c r="D91" s="82"/>
      <c r="E91" s="83"/>
      <c r="F91" s="92"/>
      <c r="G91" s="92"/>
      <c r="H91" s="92"/>
      <c r="I91" s="93"/>
      <c r="J91" s="93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2.75" customHeight="1" x14ac:dyDescent="0.25">
      <c r="A92" s="79"/>
      <c r="B92" s="78"/>
      <c r="C92" s="82"/>
      <c r="D92" s="82"/>
      <c r="E92" s="83"/>
      <c r="F92" s="92"/>
      <c r="G92" s="92"/>
      <c r="H92" s="92"/>
      <c r="I92" s="93"/>
      <c r="J92" s="93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2.75" customHeight="1" x14ac:dyDescent="0.25">
      <c r="A93" s="79"/>
      <c r="B93" s="78"/>
      <c r="C93" s="82"/>
      <c r="D93" s="82"/>
      <c r="E93" s="83"/>
      <c r="F93" s="92"/>
      <c r="G93" s="92"/>
      <c r="H93" s="92"/>
      <c r="I93" s="93"/>
      <c r="J93" s="93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2.75" customHeight="1" x14ac:dyDescent="0.25">
      <c r="A94" s="79"/>
      <c r="B94" s="78"/>
      <c r="C94" s="82"/>
      <c r="D94" s="82"/>
      <c r="E94" s="83"/>
      <c r="F94" s="92"/>
      <c r="G94" s="92"/>
      <c r="H94" s="92"/>
      <c r="I94" s="93"/>
      <c r="J94" s="93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2.75" customHeight="1" x14ac:dyDescent="0.25">
      <c r="A95" s="79"/>
      <c r="B95" s="78"/>
      <c r="C95" s="82"/>
      <c r="D95" s="82"/>
      <c r="E95" s="83"/>
      <c r="F95" s="92"/>
      <c r="G95" s="92"/>
      <c r="H95" s="92"/>
      <c r="I95" s="93"/>
      <c r="J95" s="93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2.75" customHeight="1" x14ac:dyDescent="0.25">
      <c r="A96" s="79"/>
      <c r="B96" s="78"/>
      <c r="C96" s="82"/>
      <c r="D96" s="82"/>
      <c r="E96" s="83"/>
      <c r="F96" s="92"/>
      <c r="G96" s="92"/>
      <c r="H96" s="92"/>
      <c r="I96" s="93"/>
      <c r="J96" s="113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2.75" customHeight="1" x14ac:dyDescent="0.25">
      <c r="A97" s="79"/>
      <c r="B97" s="78"/>
      <c r="C97" s="82"/>
      <c r="D97" s="82"/>
      <c r="E97" s="83"/>
      <c r="F97" s="92"/>
      <c r="G97" s="92"/>
      <c r="H97" s="92"/>
      <c r="I97" s="93"/>
      <c r="J97" s="113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2.75" customHeight="1" x14ac:dyDescent="0.25">
      <c r="A98" s="79"/>
      <c r="B98" s="78"/>
      <c r="C98" s="82"/>
      <c r="D98" s="82"/>
      <c r="E98" s="83"/>
      <c r="F98" s="92"/>
      <c r="G98" s="92"/>
      <c r="H98" s="92"/>
      <c r="I98" s="93"/>
      <c r="J98" s="113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2.75" customHeight="1" x14ac:dyDescent="0.25">
      <c r="A99" s="79"/>
      <c r="B99" s="78"/>
      <c r="C99" s="82"/>
      <c r="D99" s="82"/>
      <c r="E99" s="83"/>
      <c r="F99" s="92"/>
      <c r="G99" s="92"/>
      <c r="H99" s="92"/>
      <c r="I99" s="93"/>
      <c r="J99" s="93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2.75" customHeight="1" x14ac:dyDescent="0.25">
      <c r="A100" s="79"/>
      <c r="B100" s="78"/>
      <c r="C100" s="82"/>
      <c r="D100" s="82"/>
      <c r="E100" s="83"/>
      <c r="F100" s="92"/>
      <c r="G100" s="92"/>
      <c r="H100" s="92"/>
      <c r="I100" s="93"/>
      <c r="J100" s="93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2.75" customHeight="1" x14ac:dyDescent="0.25">
      <c r="A101" s="79"/>
      <c r="B101" s="78"/>
      <c r="C101" s="82"/>
      <c r="D101" s="82"/>
      <c r="E101" s="83"/>
      <c r="F101" s="92"/>
      <c r="G101" s="92"/>
      <c r="H101" s="92"/>
      <c r="I101" s="93"/>
      <c r="J101" s="93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2.75" customHeight="1" x14ac:dyDescent="0.25">
      <c r="A102" s="79"/>
      <c r="B102" s="78"/>
      <c r="C102" s="82"/>
      <c r="D102" s="82"/>
      <c r="E102" s="83"/>
      <c r="F102" s="92"/>
      <c r="G102" s="92"/>
      <c r="H102" s="92"/>
      <c r="I102" s="93"/>
      <c r="J102" s="113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2.75" customHeight="1" x14ac:dyDescent="0.25">
      <c r="A103" s="79"/>
      <c r="B103" s="78"/>
      <c r="C103" s="82"/>
      <c r="D103" s="82"/>
      <c r="E103" s="83"/>
      <c r="F103" s="92"/>
      <c r="G103" s="92"/>
      <c r="H103" s="92"/>
      <c r="I103" s="93"/>
      <c r="J103" s="113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2.75" customHeight="1" x14ac:dyDescent="0.25">
      <c r="A104" s="79"/>
      <c r="B104" s="78"/>
      <c r="C104" s="82"/>
      <c r="D104" s="82"/>
      <c r="E104" s="83"/>
      <c r="F104" s="92"/>
      <c r="G104" s="92"/>
      <c r="H104" s="92"/>
      <c r="I104" s="93"/>
      <c r="J104" s="113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2.75" customHeight="1" x14ac:dyDescent="0.25">
      <c r="A105" s="79"/>
      <c r="B105" s="78"/>
      <c r="C105" s="82"/>
      <c r="D105" s="82"/>
      <c r="E105" s="83"/>
      <c r="F105" s="92"/>
      <c r="G105" s="92"/>
      <c r="H105" s="92"/>
      <c r="I105" s="93"/>
      <c r="J105" s="113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2.75" customHeight="1" x14ac:dyDescent="0.25">
      <c r="A106" s="79"/>
      <c r="B106" s="78"/>
      <c r="C106" s="82"/>
      <c r="D106" s="82"/>
      <c r="E106" s="83"/>
      <c r="F106" s="92"/>
      <c r="G106" s="92"/>
      <c r="H106" s="92"/>
      <c r="I106" s="93"/>
      <c r="J106" s="113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2.75" customHeight="1" x14ac:dyDescent="0.25">
      <c r="A107" s="79"/>
      <c r="B107" s="78"/>
      <c r="C107" s="82"/>
      <c r="D107" s="82"/>
      <c r="E107" s="83"/>
      <c r="F107" s="92"/>
      <c r="G107" s="92"/>
      <c r="H107" s="92"/>
      <c r="I107" s="93"/>
      <c r="J107" s="113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2.75" customHeight="1" x14ac:dyDescent="0.25">
      <c r="A108" s="79"/>
      <c r="B108" s="78"/>
      <c r="C108" s="82"/>
      <c r="D108" s="82"/>
      <c r="E108" s="83"/>
      <c r="F108" s="92"/>
      <c r="G108" s="92"/>
      <c r="H108" s="92"/>
      <c r="I108" s="93"/>
      <c r="J108" s="113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2.75" customHeight="1" x14ac:dyDescent="0.25">
      <c r="A109" s="79"/>
      <c r="B109" s="78"/>
      <c r="C109" s="82"/>
      <c r="D109" s="82"/>
      <c r="E109" s="83"/>
      <c r="F109" s="92"/>
      <c r="G109" s="92"/>
      <c r="H109" s="92"/>
      <c r="I109" s="93"/>
      <c r="J109" s="113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2.75" customHeight="1" x14ac:dyDescent="0.25">
      <c r="A110" s="79"/>
      <c r="B110" s="78"/>
      <c r="C110" s="82"/>
      <c r="D110" s="82"/>
      <c r="E110" s="83"/>
      <c r="F110" s="92"/>
      <c r="G110" s="92"/>
      <c r="H110" s="92"/>
      <c r="I110" s="93"/>
      <c r="J110" s="113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2.75" customHeight="1" x14ac:dyDescent="0.25">
      <c r="A111" s="79"/>
      <c r="B111" s="78"/>
      <c r="C111" s="82"/>
      <c r="D111" s="82"/>
      <c r="E111" s="83"/>
      <c r="F111" s="92"/>
      <c r="G111" s="92"/>
      <c r="H111" s="92"/>
      <c r="I111" s="93"/>
      <c r="J111" s="113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2.75" customHeight="1" x14ac:dyDescent="0.25">
      <c r="A112" s="79"/>
      <c r="B112" s="78"/>
      <c r="C112" s="82"/>
      <c r="D112" s="82"/>
      <c r="E112" s="83"/>
      <c r="F112" s="92"/>
      <c r="G112" s="92"/>
      <c r="H112" s="92"/>
      <c r="I112" s="93"/>
      <c r="J112" s="113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2.75" customHeight="1" x14ac:dyDescent="0.25">
      <c r="A113" s="79"/>
      <c r="B113" s="78"/>
      <c r="C113" s="82"/>
      <c r="D113" s="82"/>
      <c r="E113" s="83"/>
      <c r="F113" s="92"/>
      <c r="G113" s="92"/>
      <c r="H113" s="92"/>
      <c r="I113" s="93"/>
      <c r="J113" s="113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2.75" customHeight="1" x14ac:dyDescent="0.25">
      <c r="A114" s="79"/>
      <c r="B114" s="78"/>
      <c r="C114" s="82"/>
      <c r="D114" s="82"/>
      <c r="E114" s="83"/>
      <c r="F114" s="92"/>
      <c r="G114" s="92"/>
      <c r="H114" s="92"/>
      <c r="I114" s="93"/>
      <c r="J114" s="113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2.75" customHeight="1" x14ac:dyDescent="0.25">
      <c r="A115" s="79"/>
      <c r="B115" s="78"/>
      <c r="C115" s="82"/>
      <c r="D115" s="82"/>
      <c r="E115" s="83"/>
      <c r="F115" s="92"/>
      <c r="G115" s="92"/>
      <c r="H115" s="92"/>
      <c r="I115" s="93"/>
      <c r="J115" s="113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2.75" customHeight="1" x14ac:dyDescent="0.25">
      <c r="A116" s="79"/>
      <c r="B116" s="78"/>
      <c r="C116" s="82"/>
      <c r="D116" s="82"/>
      <c r="E116" s="83"/>
      <c r="F116" s="92"/>
      <c r="G116" s="92"/>
      <c r="H116" s="92"/>
      <c r="I116" s="93"/>
      <c r="J116" s="113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2.75" customHeight="1" x14ac:dyDescent="0.25">
      <c r="A117" s="79"/>
      <c r="B117" s="78"/>
      <c r="C117" s="82"/>
      <c r="D117" s="82"/>
      <c r="E117" s="83"/>
      <c r="F117" s="92"/>
      <c r="G117" s="92"/>
      <c r="H117" s="92"/>
      <c r="I117" s="93"/>
      <c r="J117" s="113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2.75" customHeight="1" x14ac:dyDescent="0.25">
      <c r="A118" s="79"/>
      <c r="B118" s="78"/>
      <c r="C118" s="82"/>
      <c r="D118" s="82"/>
      <c r="E118" s="83"/>
      <c r="F118" s="92"/>
      <c r="G118" s="92"/>
      <c r="H118" s="92"/>
      <c r="I118" s="93"/>
      <c r="J118" s="113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2.75" customHeight="1" x14ac:dyDescent="0.25">
      <c r="A119" s="79"/>
      <c r="B119" s="78"/>
      <c r="C119" s="82"/>
      <c r="D119" s="82"/>
      <c r="E119" s="83"/>
      <c r="F119" s="92"/>
      <c r="G119" s="92"/>
      <c r="H119" s="92"/>
      <c r="I119" s="93"/>
      <c r="J119" s="113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2.75" customHeight="1" x14ac:dyDescent="0.25">
      <c r="A120" s="79"/>
      <c r="B120" s="78"/>
      <c r="C120" s="82"/>
      <c r="D120" s="82"/>
      <c r="E120" s="83"/>
      <c r="F120" s="92"/>
      <c r="G120" s="92"/>
      <c r="H120" s="92"/>
      <c r="I120" s="93"/>
      <c r="J120" s="113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2.75" customHeight="1" x14ac:dyDescent="0.25">
      <c r="A121" s="79"/>
      <c r="B121" s="78"/>
      <c r="C121" s="82"/>
      <c r="D121" s="82"/>
      <c r="E121" s="83"/>
      <c r="F121" s="92"/>
      <c r="G121" s="92"/>
      <c r="H121" s="92"/>
      <c r="I121" s="93"/>
      <c r="J121" s="93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2.75" customHeight="1" x14ac:dyDescent="0.25">
      <c r="A122" s="79"/>
      <c r="B122" s="78"/>
      <c r="C122" s="82"/>
      <c r="D122" s="82"/>
      <c r="E122" s="83"/>
      <c r="F122" s="92"/>
      <c r="G122" s="92"/>
      <c r="H122" s="92"/>
      <c r="I122" s="93"/>
      <c r="J122" s="113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2.75" customHeight="1" x14ac:dyDescent="0.25">
      <c r="A123" s="79"/>
      <c r="B123" s="78"/>
      <c r="C123" s="82"/>
      <c r="D123" s="82"/>
      <c r="E123" s="83"/>
      <c r="F123" s="92"/>
      <c r="G123" s="92"/>
      <c r="H123" s="92"/>
      <c r="I123" s="93"/>
      <c r="J123" s="113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2.75" customHeight="1" x14ac:dyDescent="0.25">
      <c r="A124" s="79"/>
      <c r="B124" s="78"/>
      <c r="C124" s="82"/>
      <c r="D124" s="82"/>
      <c r="E124" s="83"/>
      <c r="F124" s="92"/>
      <c r="G124" s="92"/>
      <c r="H124" s="92"/>
      <c r="I124" s="93"/>
      <c r="J124" s="113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2.75" customHeight="1" x14ac:dyDescent="0.25">
      <c r="A125" s="79"/>
      <c r="B125" s="78"/>
      <c r="C125" s="82"/>
      <c r="D125" s="82"/>
      <c r="E125" s="83"/>
      <c r="F125" s="92"/>
      <c r="G125" s="92"/>
      <c r="H125" s="92"/>
      <c r="I125" s="93"/>
      <c r="J125" s="113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2.75" customHeight="1" x14ac:dyDescent="0.25">
      <c r="A126" s="79"/>
      <c r="B126" s="78"/>
      <c r="C126" s="82"/>
      <c r="D126" s="82"/>
      <c r="E126" s="83"/>
      <c r="F126" s="92"/>
      <c r="G126" s="92"/>
      <c r="H126" s="92"/>
      <c r="I126" s="93"/>
      <c r="J126" s="113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2.75" customHeight="1" x14ac:dyDescent="0.25">
      <c r="A127" s="79"/>
      <c r="B127" s="78"/>
      <c r="C127" s="82"/>
      <c r="D127" s="82"/>
      <c r="E127" s="83"/>
      <c r="F127" s="92"/>
      <c r="G127" s="92"/>
      <c r="H127" s="92"/>
      <c r="I127" s="93"/>
      <c r="J127" s="113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2.75" customHeight="1" x14ac:dyDescent="0.25">
      <c r="A128" s="79"/>
      <c r="B128" s="78"/>
      <c r="C128" s="82"/>
      <c r="D128" s="82"/>
      <c r="E128" s="83"/>
      <c r="F128" s="92"/>
      <c r="G128" s="92"/>
      <c r="H128" s="92"/>
      <c r="I128" s="93"/>
      <c r="J128" s="113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2.75" customHeight="1" x14ac:dyDescent="0.25">
      <c r="A129" s="79"/>
      <c r="B129" s="78"/>
      <c r="C129" s="82"/>
      <c r="D129" s="82"/>
      <c r="E129" s="83"/>
      <c r="F129" s="92"/>
      <c r="G129" s="92"/>
      <c r="H129" s="92"/>
      <c r="I129" s="93"/>
      <c r="J129" s="113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2.75" customHeight="1" x14ac:dyDescent="0.25">
      <c r="A130" s="79"/>
      <c r="B130" s="78"/>
      <c r="C130" s="82"/>
      <c r="D130" s="82"/>
      <c r="E130" s="83"/>
      <c r="F130" s="92"/>
      <c r="G130" s="92"/>
      <c r="H130" s="92"/>
      <c r="I130" s="93"/>
      <c r="J130" s="113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2.75" customHeight="1" x14ac:dyDescent="0.25">
      <c r="A131" s="79"/>
      <c r="B131" s="78"/>
      <c r="C131" s="82"/>
      <c r="D131" s="82"/>
      <c r="E131" s="83"/>
      <c r="F131" s="92"/>
      <c r="G131" s="92"/>
      <c r="H131" s="92"/>
      <c r="I131" s="93"/>
      <c r="J131" s="113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2.75" customHeight="1" x14ac:dyDescent="0.25">
      <c r="A132" s="79"/>
      <c r="B132" s="78"/>
      <c r="C132" s="82"/>
      <c r="D132" s="82"/>
      <c r="E132" s="83"/>
      <c r="F132" s="92"/>
      <c r="G132" s="92"/>
      <c r="H132" s="92"/>
      <c r="I132" s="93"/>
      <c r="J132" s="113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2.75" customHeight="1" x14ac:dyDescent="0.25">
      <c r="A133" s="79"/>
      <c r="B133" s="78"/>
      <c r="C133" s="82"/>
      <c r="D133" s="82"/>
      <c r="E133" s="83"/>
      <c r="F133" s="92"/>
      <c r="G133" s="92"/>
      <c r="H133" s="92"/>
      <c r="I133" s="93"/>
      <c r="J133" s="113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2.75" customHeight="1" x14ac:dyDescent="0.25">
      <c r="A134" s="79"/>
      <c r="B134" s="78"/>
      <c r="C134" s="82"/>
      <c r="D134" s="82"/>
      <c r="E134" s="83"/>
      <c r="F134" s="92"/>
      <c r="G134" s="92"/>
      <c r="H134" s="92"/>
      <c r="I134" s="93"/>
      <c r="J134" s="113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2.75" customHeight="1" x14ac:dyDescent="0.25">
      <c r="A135" s="79"/>
      <c r="B135" s="78"/>
      <c r="C135" s="82"/>
      <c r="D135" s="82"/>
      <c r="E135" s="83"/>
      <c r="F135" s="92"/>
      <c r="G135" s="92"/>
      <c r="H135" s="92"/>
      <c r="I135" s="93"/>
      <c r="J135" s="113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2.75" customHeight="1" x14ac:dyDescent="0.25">
      <c r="A136" s="79"/>
      <c r="B136" s="78"/>
      <c r="C136" s="82"/>
      <c r="D136" s="82"/>
      <c r="E136" s="83"/>
      <c r="F136" s="92"/>
      <c r="G136" s="92"/>
      <c r="H136" s="92"/>
      <c r="I136" s="93"/>
      <c r="J136" s="113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2.75" customHeight="1" x14ac:dyDescent="0.25">
      <c r="A137" s="79"/>
      <c r="B137" s="78"/>
      <c r="C137" s="82"/>
      <c r="D137" s="82"/>
      <c r="E137" s="83"/>
      <c r="F137" s="92"/>
      <c r="G137" s="92"/>
      <c r="H137" s="92"/>
      <c r="I137" s="93"/>
      <c r="J137" s="113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2.75" customHeight="1" x14ac:dyDescent="0.25">
      <c r="A138" s="79"/>
      <c r="B138" s="78"/>
      <c r="C138" s="82"/>
      <c r="D138" s="82"/>
      <c r="E138" s="83"/>
      <c r="F138" s="92"/>
      <c r="G138" s="92"/>
      <c r="H138" s="92"/>
      <c r="I138" s="93"/>
      <c r="J138" s="113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2.75" customHeight="1" x14ac:dyDescent="0.25">
      <c r="A139" s="79"/>
      <c r="B139" s="78"/>
      <c r="C139" s="82"/>
      <c r="D139" s="82"/>
      <c r="E139" s="83"/>
      <c r="F139" s="92"/>
      <c r="G139" s="92"/>
      <c r="H139" s="92"/>
      <c r="I139" s="93"/>
      <c r="J139" s="113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2.75" customHeight="1" x14ac:dyDescent="0.25">
      <c r="A140" s="79"/>
      <c r="B140" s="78"/>
      <c r="C140" s="82"/>
      <c r="D140" s="82"/>
      <c r="E140" s="83"/>
      <c r="F140" s="92"/>
      <c r="G140" s="92"/>
      <c r="H140" s="92"/>
      <c r="I140" s="93"/>
      <c r="J140" s="93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2.75" customHeight="1" x14ac:dyDescent="0.25">
      <c r="A141" s="79"/>
      <c r="B141" s="78"/>
      <c r="C141" s="82"/>
      <c r="D141" s="82"/>
      <c r="E141" s="83"/>
      <c r="F141" s="92"/>
      <c r="G141" s="92"/>
      <c r="H141" s="92"/>
      <c r="I141" s="93"/>
      <c r="J141" s="93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2.75" customHeight="1" x14ac:dyDescent="0.25">
      <c r="A142" s="79"/>
      <c r="B142" s="78"/>
      <c r="C142" s="82"/>
      <c r="D142" s="82"/>
      <c r="E142" s="83"/>
      <c r="F142" s="92"/>
      <c r="G142" s="92"/>
      <c r="H142" s="92"/>
      <c r="I142" s="93"/>
      <c r="J142" s="93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2.75" customHeight="1" x14ac:dyDescent="0.25">
      <c r="A143" s="79"/>
      <c r="B143" s="78"/>
      <c r="C143" s="82"/>
      <c r="D143" s="82"/>
      <c r="E143" s="83"/>
      <c r="F143" s="92"/>
      <c r="G143" s="92"/>
      <c r="H143" s="92"/>
      <c r="I143" s="93"/>
      <c r="J143" s="93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2.75" customHeight="1" x14ac:dyDescent="0.25">
      <c r="A144" s="79"/>
      <c r="B144" s="78"/>
      <c r="C144" s="82"/>
      <c r="D144" s="82"/>
      <c r="E144" s="83"/>
      <c r="F144" s="92"/>
      <c r="G144" s="92"/>
      <c r="H144" s="92"/>
      <c r="I144" s="93"/>
      <c r="J144" s="93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2.75" customHeight="1" x14ac:dyDescent="0.25">
      <c r="A145" s="79"/>
      <c r="B145" s="78"/>
      <c r="C145" s="82"/>
      <c r="D145" s="82"/>
      <c r="E145" s="83"/>
      <c r="F145" s="92"/>
      <c r="G145" s="92"/>
      <c r="H145" s="92"/>
      <c r="I145" s="93"/>
      <c r="J145" s="93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2.75" customHeight="1" x14ac:dyDescent="0.25">
      <c r="A146" s="79"/>
      <c r="B146" s="78"/>
      <c r="C146" s="82"/>
      <c r="D146" s="82"/>
      <c r="E146" s="83"/>
      <c r="F146" s="92"/>
      <c r="G146" s="92"/>
      <c r="H146" s="92"/>
      <c r="I146" s="93"/>
      <c r="J146" s="93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2.75" customHeight="1" x14ac:dyDescent="0.25">
      <c r="A147" s="79"/>
      <c r="B147" s="78"/>
      <c r="C147" s="82"/>
      <c r="D147" s="82"/>
      <c r="E147" s="83"/>
      <c r="F147" s="92"/>
      <c r="G147" s="92"/>
      <c r="H147" s="92"/>
      <c r="I147" s="93"/>
      <c r="J147" s="93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2.75" customHeight="1" x14ac:dyDescent="0.25">
      <c r="A148" s="79"/>
      <c r="B148" s="78"/>
      <c r="C148" s="82"/>
      <c r="D148" s="82"/>
      <c r="E148" s="83"/>
      <c r="F148" s="92"/>
      <c r="G148" s="92"/>
      <c r="H148" s="92"/>
      <c r="I148" s="93"/>
      <c r="J148" s="93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2.75" customHeight="1" x14ac:dyDescent="0.25">
      <c r="A149" s="79"/>
      <c r="B149" s="78"/>
      <c r="C149" s="82"/>
      <c r="D149" s="82"/>
      <c r="E149" s="83"/>
      <c r="F149" s="92"/>
      <c r="G149" s="92"/>
      <c r="H149" s="92"/>
      <c r="I149" s="93"/>
      <c r="J149" s="93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2.75" customHeight="1" x14ac:dyDescent="0.25">
      <c r="A150" s="79"/>
      <c r="B150" s="78"/>
      <c r="C150" s="82"/>
      <c r="D150" s="82"/>
      <c r="E150" s="83"/>
      <c r="F150" s="92"/>
      <c r="G150" s="92"/>
      <c r="H150" s="92"/>
      <c r="I150" s="93"/>
      <c r="J150" s="93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2.75" customHeight="1" x14ac:dyDescent="0.25">
      <c r="A151" s="79"/>
      <c r="B151" s="78"/>
      <c r="C151" s="82"/>
      <c r="D151" s="82"/>
      <c r="E151" s="83"/>
      <c r="F151" s="92"/>
      <c r="G151" s="92"/>
      <c r="H151" s="92"/>
      <c r="I151" s="93"/>
      <c r="J151" s="93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2.75" customHeight="1" x14ac:dyDescent="0.25">
      <c r="A152" s="79"/>
      <c r="B152" s="78"/>
      <c r="C152" s="82"/>
      <c r="D152" s="82"/>
      <c r="E152" s="83"/>
      <c r="F152" s="92"/>
      <c r="G152" s="92"/>
      <c r="H152" s="92"/>
      <c r="I152" s="93"/>
      <c r="J152" s="93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2.75" customHeight="1" x14ac:dyDescent="0.25">
      <c r="A153" s="79"/>
      <c r="B153" s="78"/>
      <c r="C153" s="82"/>
      <c r="D153" s="82"/>
      <c r="E153" s="83"/>
      <c r="F153" s="92"/>
      <c r="G153" s="92"/>
      <c r="H153" s="92"/>
      <c r="I153" s="93"/>
      <c r="J153" s="93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2.75" customHeight="1" x14ac:dyDescent="0.25">
      <c r="A154" s="79"/>
      <c r="B154" s="78"/>
      <c r="C154" s="82"/>
      <c r="D154" s="82"/>
      <c r="E154" s="83"/>
      <c r="F154" s="92"/>
      <c r="G154" s="92"/>
      <c r="H154" s="92"/>
      <c r="I154" s="93"/>
      <c r="J154" s="93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2.75" customHeight="1" x14ac:dyDescent="0.25">
      <c r="A155" s="79"/>
      <c r="B155" s="78"/>
      <c r="C155" s="82"/>
      <c r="D155" s="82"/>
      <c r="E155" s="83"/>
      <c r="F155" s="92"/>
      <c r="G155" s="92"/>
      <c r="H155" s="92"/>
      <c r="I155" s="93"/>
      <c r="J155" s="93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2.75" customHeight="1" x14ac:dyDescent="0.25">
      <c r="A156" s="79"/>
      <c r="B156" s="78"/>
      <c r="C156" s="82"/>
      <c r="D156" s="82"/>
      <c r="E156" s="83"/>
      <c r="F156" s="92"/>
      <c r="G156" s="92"/>
      <c r="H156" s="92"/>
      <c r="I156" s="93"/>
      <c r="J156" s="93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2.75" customHeight="1" x14ac:dyDescent="0.25">
      <c r="A157" s="79"/>
      <c r="B157" s="78"/>
      <c r="C157" s="82"/>
      <c r="D157" s="82"/>
      <c r="E157" s="83"/>
      <c r="F157" s="92"/>
      <c r="G157" s="92"/>
      <c r="H157" s="92"/>
      <c r="I157" s="93"/>
      <c r="J157" s="93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2.75" customHeight="1" x14ac:dyDescent="0.25">
      <c r="A158" s="79"/>
      <c r="B158" s="78"/>
      <c r="C158" s="82"/>
      <c r="D158" s="82"/>
      <c r="E158" s="83"/>
      <c r="F158" s="92"/>
      <c r="G158" s="92"/>
      <c r="H158" s="92"/>
      <c r="I158" s="93"/>
      <c r="J158" s="93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2.75" customHeight="1" x14ac:dyDescent="0.25">
      <c r="A159" s="79"/>
      <c r="B159" s="78"/>
      <c r="C159" s="82"/>
      <c r="D159" s="82"/>
      <c r="E159" s="83"/>
      <c r="F159" s="92"/>
      <c r="G159" s="92"/>
      <c r="H159" s="92"/>
      <c r="I159" s="93"/>
      <c r="J159" s="93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2.75" customHeight="1" x14ac:dyDescent="0.25">
      <c r="A160" s="79"/>
      <c r="B160" s="78"/>
      <c r="C160" s="82"/>
      <c r="D160" s="82"/>
      <c r="E160" s="83"/>
      <c r="F160" s="92"/>
      <c r="G160" s="92"/>
      <c r="H160" s="92"/>
      <c r="I160" s="93"/>
      <c r="J160" s="93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2.75" customHeight="1" x14ac:dyDescent="0.25">
      <c r="A161" s="79"/>
      <c r="B161" s="78"/>
      <c r="C161" s="82"/>
      <c r="D161" s="82"/>
      <c r="E161" s="83"/>
      <c r="F161" s="92"/>
      <c r="G161" s="92"/>
      <c r="H161" s="92"/>
      <c r="I161" s="93"/>
      <c r="J161" s="93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2.75" customHeight="1" x14ac:dyDescent="0.25">
      <c r="A162" s="79"/>
      <c r="B162" s="78"/>
      <c r="C162" s="82"/>
      <c r="D162" s="82"/>
      <c r="E162" s="83"/>
      <c r="F162" s="92"/>
      <c r="G162" s="92"/>
      <c r="H162" s="92"/>
      <c r="I162" s="93"/>
      <c r="J162" s="93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2.75" customHeight="1" x14ac:dyDescent="0.25">
      <c r="A163" s="79"/>
      <c r="B163" s="78"/>
      <c r="C163" s="82"/>
      <c r="D163" s="82"/>
      <c r="E163" s="83"/>
      <c r="F163" s="92"/>
      <c r="G163" s="92"/>
      <c r="H163" s="92"/>
      <c r="I163" s="93"/>
      <c r="J163" s="93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2.75" customHeight="1" x14ac:dyDescent="0.25">
      <c r="A164" s="79"/>
      <c r="B164" s="78"/>
      <c r="C164" s="82"/>
      <c r="D164" s="82"/>
      <c r="E164" s="83"/>
      <c r="F164" s="92"/>
      <c r="G164" s="92"/>
      <c r="H164" s="92"/>
      <c r="I164" s="93"/>
      <c r="J164" s="93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2.75" customHeight="1" x14ac:dyDescent="0.25">
      <c r="A165" s="79"/>
      <c r="B165" s="78"/>
      <c r="C165" s="82"/>
      <c r="D165" s="82"/>
      <c r="E165" s="83"/>
      <c r="F165" s="92"/>
      <c r="G165" s="92"/>
      <c r="H165" s="92"/>
      <c r="I165" s="93"/>
      <c r="J165" s="93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2.75" customHeight="1" x14ac:dyDescent="0.25">
      <c r="A166" s="79"/>
      <c r="B166" s="78"/>
      <c r="C166" s="82"/>
      <c r="D166" s="82"/>
      <c r="E166" s="83"/>
      <c r="F166" s="92"/>
      <c r="G166" s="92"/>
      <c r="H166" s="92"/>
      <c r="I166" s="93"/>
      <c r="J166" s="93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2.75" customHeight="1" x14ac:dyDescent="0.25">
      <c r="A167" s="79"/>
      <c r="B167" s="78"/>
      <c r="C167" s="82"/>
      <c r="D167" s="82"/>
      <c r="E167" s="83"/>
      <c r="F167" s="92"/>
      <c r="G167" s="92"/>
      <c r="H167" s="92"/>
      <c r="I167" s="93"/>
      <c r="J167" s="93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2.75" customHeight="1" x14ac:dyDescent="0.25">
      <c r="A168" s="79"/>
      <c r="B168" s="78"/>
      <c r="C168" s="82"/>
      <c r="D168" s="82"/>
      <c r="E168" s="83"/>
      <c r="F168" s="92"/>
      <c r="G168" s="92"/>
      <c r="H168" s="92"/>
      <c r="I168" s="93"/>
      <c r="J168" s="93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2.75" customHeight="1" x14ac:dyDescent="0.25">
      <c r="A169" s="79"/>
      <c r="B169" s="78"/>
      <c r="C169" s="82"/>
      <c r="D169" s="82"/>
      <c r="E169" s="83"/>
      <c r="F169" s="92"/>
      <c r="G169" s="92"/>
      <c r="H169" s="92"/>
      <c r="I169" s="93"/>
      <c r="J169" s="93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2.75" customHeight="1" x14ac:dyDescent="0.25">
      <c r="A170" s="79"/>
      <c r="B170" s="78"/>
      <c r="C170" s="82"/>
      <c r="D170" s="82"/>
      <c r="E170" s="83"/>
      <c r="F170" s="92"/>
      <c r="G170" s="92"/>
      <c r="H170" s="92"/>
      <c r="I170" s="93"/>
      <c r="J170" s="93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2.75" customHeight="1" x14ac:dyDescent="0.25">
      <c r="A171" s="79"/>
      <c r="B171" s="78"/>
      <c r="C171" s="82"/>
      <c r="D171" s="82"/>
      <c r="E171" s="83"/>
      <c r="F171" s="92"/>
      <c r="G171" s="92"/>
      <c r="H171" s="92"/>
      <c r="I171" s="93"/>
      <c r="J171" s="93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2.75" customHeight="1" x14ac:dyDescent="0.25">
      <c r="A172" s="79"/>
      <c r="B172" s="78"/>
      <c r="C172" s="82"/>
      <c r="D172" s="82"/>
      <c r="E172" s="83"/>
      <c r="F172" s="92"/>
      <c r="G172" s="92"/>
      <c r="H172" s="92"/>
      <c r="I172" s="93"/>
      <c r="J172" s="93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2.75" customHeight="1" x14ac:dyDescent="0.25">
      <c r="A173" s="79"/>
      <c r="B173" s="78"/>
      <c r="C173" s="82"/>
      <c r="D173" s="82"/>
      <c r="E173" s="83"/>
      <c r="F173" s="92"/>
      <c r="G173" s="92"/>
      <c r="H173" s="92"/>
      <c r="I173" s="93"/>
      <c r="J173" s="93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2.75" customHeight="1" x14ac:dyDescent="0.25">
      <c r="A174" s="79"/>
      <c r="B174" s="78"/>
      <c r="C174" s="82"/>
      <c r="D174" s="82"/>
      <c r="E174" s="83"/>
      <c r="F174" s="92"/>
      <c r="G174" s="92"/>
      <c r="H174" s="92"/>
      <c r="I174" s="93"/>
      <c r="J174" s="93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2.75" customHeight="1" x14ac:dyDescent="0.25">
      <c r="A175" s="79"/>
      <c r="B175" s="78"/>
      <c r="C175" s="82"/>
      <c r="D175" s="82"/>
      <c r="E175" s="83"/>
      <c r="F175" s="92"/>
      <c r="G175" s="92"/>
      <c r="H175" s="92"/>
      <c r="I175" s="93"/>
      <c r="J175" s="93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2.75" customHeight="1" x14ac:dyDescent="0.25">
      <c r="A176" s="79"/>
      <c r="B176" s="78"/>
      <c r="C176" s="82"/>
      <c r="D176" s="82"/>
      <c r="E176" s="83"/>
      <c r="F176" s="92"/>
      <c r="G176" s="92"/>
      <c r="H176" s="92"/>
      <c r="I176" s="93"/>
      <c r="J176" s="93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2.75" customHeight="1" x14ac:dyDescent="0.25">
      <c r="A177" s="79"/>
      <c r="B177" s="78"/>
      <c r="C177" s="82"/>
      <c r="D177" s="82"/>
      <c r="E177" s="83"/>
      <c r="F177" s="92"/>
      <c r="G177" s="92"/>
      <c r="H177" s="92"/>
      <c r="I177" s="93"/>
      <c r="J177" s="93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2.75" customHeight="1" x14ac:dyDescent="0.25">
      <c r="A178" s="79"/>
      <c r="B178" s="78"/>
      <c r="C178" s="82"/>
      <c r="D178" s="82"/>
      <c r="E178" s="83"/>
      <c r="F178" s="92"/>
      <c r="G178" s="92"/>
      <c r="H178" s="92"/>
      <c r="I178" s="93"/>
      <c r="J178" s="93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2.75" customHeight="1" x14ac:dyDescent="0.25">
      <c r="A179" s="79"/>
      <c r="B179" s="78"/>
      <c r="C179" s="82"/>
      <c r="D179" s="82"/>
      <c r="E179" s="83"/>
      <c r="F179" s="92"/>
      <c r="G179" s="92"/>
      <c r="H179" s="92"/>
      <c r="I179" s="93"/>
      <c r="J179" s="93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2.75" customHeight="1" x14ac:dyDescent="0.25">
      <c r="A180" s="79"/>
      <c r="B180" s="78"/>
      <c r="C180" s="82"/>
      <c r="D180" s="82"/>
      <c r="E180" s="83"/>
      <c r="F180" s="92"/>
      <c r="G180" s="92"/>
      <c r="H180" s="92"/>
      <c r="I180" s="93"/>
      <c r="J180" s="93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2.75" customHeight="1" x14ac:dyDescent="0.25">
      <c r="A181" s="79"/>
      <c r="B181" s="78"/>
      <c r="C181" s="82"/>
      <c r="D181" s="82"/>
      <c r="E181" s="83"/>
      <c r="F181" s="92"/>
      <c r="G181" s="92"/>
      <c r="H181" s="92"/>
      <c r="I181" s="93"/>
      <c r="J181" s="93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2.75" customHeight="1" x14ac:dyDescent="0.25">
      <c r="A182" s="79"/>
      <c r="B182" s="78"/>
      <c r="C182" s="82"/>
      <c r="D182" s="82"/>
      <c r="E182" s="83"/>
      <c r="F182" s="92"/>
      <c r="G182" s="92"/>
      <c r="H182" s="92"/>
      <c r="I182" s="93"/>
      <c r="J182" s="93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2.75" customHeight="1" x14ac:dyDescent="0.25">
      <c r="A183" s="79"/>
      <c r="B183" s="78"/>
      <c r="C183" s="82"/>
      <c r="D183" s="82"/>
      <c r="E183" s="83"/>
      <c r="F183" s="92"/>
      <c r="G183" s="92"/>
      <c r="H183" s="92"/>
      <c r="I183" s="93"/>
      <c r="J183" s="93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2.75" customHeight="1" x14ac:dyDescent="0.25">
      <c r="A184" s="79"/>
      <c r="B184" s="78"/>
      <c r="C184" s="82"/>
      <c r="D184" s="82"/>
      <c r="E184" s="83"/>
      <c r="F184" s="92"/>
      <c r="G184" s="92"/>
      <c r="H184" s="92"/>
      <c r="I184" s="93"/>
      <c r="J184" s="93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2.75" customHeight="1" x14ac:dyDescent="0.25">
      <c r="A185" s="79"/>
      <c r="B185" s="78"/>
      <c r="C185" s="82"/>
      <c r="D185" s="82"/>
      <c r="E185" s="83"/>
      <c r="F185" s="92"/>
      <c r="G185" s="92"/>
      <c r="H185" s="92"/>
      <c r="I185" s="93"/>
      <c r="J185" s="93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2.75" customHeight="1" x14ac:dyDescent="0.25">
      <c r="A186" s="79"/>
      <c r="B186" s="78"/>
      <c r="C186" s="82"/>
      <c r="D186" s="82"/>
      <c r="E186" s="83"/>
      <c r="F186" s="92"/>
      <c r="G186" s="92"/>
      <c r="H186" s="92"/>
      <c r="I186" s="93"/>
      <c r="J186" s="93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2.75" customHeight="1" x14ac:dyDescent="0.25">
      <c r="A187" s="79"/>
      <c r="B187" s="78"/>
      <c r="C187" s="82"/>
      <c r="D187" s="82"/>
      <c r="E187" s="83"/>
      <c r="F187" s="92"/>
      <c r="G187" s="92"/>
      <c r="H187" s="92"/>
      <c r="I187" s="93"/>
      <c r="J187" s="93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2.75" customHeight="1" x14ac:dyDescent="0.25">
      <c r="A188" s="79"/>
      <c r="B188" s="78"/>
      <c r="C188" s="82"/>
      <c r="D188" s="82"/>
      <c r="E188" s="83"/>
      <c r="F188" s="92"/>
      <c r="G188" s="92"/>
      <c r="H188" s="92"/>
      <c r="I188" s="93"/>
      <c r="J188" s="93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2.75" customHeight="1" x14ac:dyDescent="0.25">
      <c r="A189" s="79"/>
      <c r="B189" s="78"/>
      <c r="C189" s="82"/>
      <c r="D189" s="82"/>
      <c r="E189" s="83"/>
      <c r="F189" s="92"/>
      <c r="G189" s="92"/>
      <c r="H189" s="92"/>
      <c r="I189" s="93"/>
      <c r="J189" s="93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2.75" customHeight="1" x14ac:dyDescent="0.25">
      <c r="A190" s="79"/>
      <c r="B190" s="78"/>
      <c r="C190" s="82"/>
      <c r="D190" s="82"/>
      <c r="E190" s="83"/>
      <c r="F190" s="92"/>
      <c r="G190" s="92"/>
      <c r="H190" s="92"/>
      <c r="I190" s="93"/>
      <c r="J190" s="93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2.75" customHeight="1" x14ac:dyDescent="0.25">
      <c r="A191" s="79"/>
      <c r="B191" s="78"/>
      <c r="C191" s="82"/>
      <c r="D191" s="82"/>
      <c r="E191" s="83"/>
      <c r="F191" s="92"/>
      <c r="G191" s="92"/>
      <c r="H191" s="92"/>
      <c r="I191" s="93"/>
      <c r="J191" s="93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2.75" customHeight="1" x14ac:dyDescent="0.25">
      <c r="A192" s="79"/>
      <c r="B192" s="78"/>
      <c r="C192" s="82"/>
      <c r="D192" s="82"/>
      <c r="E192" s="83"/>
      <c r="F192" s="92"/>
      <c r="G192" s="92"/>
      <c r="H192" s="92"/>
      <c r="I192" s="93"/>
      <c r="J192" s="93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2.75" customHeight="1" x14ac:dyDescent="0.25">
      <c r="A193" s="79"/>
      <c r="B193" s="78"/>
      <c r="C193" s="82"/>
      <c r="D193" s="82"/>
      <c r="E193" s="83"/>
      <c r="F193" s="92"/>
      <c r="G193" s="92"/>
      <c r="H193" s="92"/>
      <c r="I193" s="93"/>
      <c r="J193" s="93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2.75" customHeight="1" x14ac:dyDescent="0.25">
      <c r="A194" s="79"/>
      <c r="B194" s="78"/>
      <c r="C194" s="82"/>
      <c r="D194" s="82"/>
      <c r="E194" s="83"/>
      <c r="F194" s="92"/>
      <c r="G194" s="92"/>
      <c r="H194" s="92"/>
      <c r="I194" s="93"/>
      <c r="J194" s="93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2.75" customHeight="1" x14ac:dyDescent="0.25">
      <c r="A195" s="79"/>
      <c r="B195" s="78"/>
      <c r="C195" s="82"/>
      <c r="D195" s="82"/>
      <c r="E195" s="83"/>
      <c r="F195" s="92"/>
      <c r="G195" s="92"/>
      <c r="H195" s="92"/>
      <c r="I195" s="93"/>
      <c r="J195" s="93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2.75" customHeight="1" x14ac:dyDescent="0.25">
      <c r="A196" s="79"/>
      <c r="B196" s="78"/>
      <c r="C196" s="82"/>
      <c r="D196" s="82"/>
      <c r="E196" s="83"/>
      <c r="F196" s="92"/>
      <c r="G196" s="92"/>
      <c r="H196" s="92"/>
      <c r="I196" s="93"/>
      <c r="J196" s="93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2.75" customHeight="1" x14ac:dyDescent="0.25">
      <c r="A197" s="79"/>
      <c r="B197" s="78"/>
      <c r="C197" s="82"/>
      <c r="D197" s="82"/>
      <c r="E197" s="83"/>
      <c r="F197" s="92"/>
      <c r="G197" s="92"/>
      <c r="H197" s="92"/>
      <c r="I197" s="93"/>
      <c r="J197" s="93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2.75" customHeight="1" x14ac:dyDescent="0.25">
      <c r="A198" s="79"/>
      <c r="B198" s="78"/>
      <c r="C198" s="82"/>
      <c r="D198" s="82"/>
      <c r="E198" s="83"/>
      <c r="F198" s="92"/>
      <c r="G198" s="92"/>
      <c r="H198" s="92"/>
      <c r="I198" s="93"/>
      <c r="J198" s="93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2.75" customHeight="1" x14ac:dyDescent="0.25">
      <c r="A199" s="79"/>
      <c r="B199" s="78"/>
      <c r="C199" s="82"/>
      <c r="D199" s="82"/>
      <c r="E199" s="83"/>
      <c r="F199" s="92"/>
      <c r="G199" s="92"/>
      <c r="H199" s="92"/>
      <c r="I199" s="93"/>
      <c r="J199" s="93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2.75" customHeight="1" x14ac:dyDescent="0.25">
      <c r="A200" s="79"/>
      <c r="B200" s="78"/>
      <c r="C200" s="82"/>
      <c r="D200" s="82"/>
      <c r="E200" s="83"/>
      <c r="F200" s="92"/>
      <c r="G200" s="92"/>
      <c r="H200" s="92"/>
      <c r="I200" s="93"/>
      <c r="J200" s="93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2.75" customHeight="1" x14ac:dyDescent="0.25">
      <c r="A201" s="79"/>
      <c r="B201" s="78"/>
      <c r="C201" s="82"/>
      <c r="D201" s="82"/>
      <c r="E201" s="83"/>
      <c r="F201" s="92"/>
      <c r="G201" s="92"/>
      <c r="H201" s="92"/>
      <c r="I201" s="93"/>
      <c r="J201" s="113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2.75" customHeight="1" x14ac:dyDescent="0.25">
      <c r="A202" s="79"/>
      <c r="B202" s="78"/>
      <c r="C202" s="82"/>
      <c r="D202" s="82"/>
      <c r="E202" s="83"/>
      <c r="F202" s="92"/>
      <c r="G202" s="92"/>
      <c r="H202" s="92"/>
      <c r="I202" s="93"/>
      <c r="J202" s="93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2.75" customHeight="1" x14ac:dyDescent="0.25">
      <c r="A203" s="79"/>
      <c r="B203" s="78"/>
      <c r="C203" s="82"/>
      <c r="D203" s="82"/>
      <c r="E203" s="83"/>
      <c r="F203" s="92"/>
      <c r="G203" s="92"/>
      <c r="H203" s="92"/>
      <c r="I203" s="93"/>
      <c r="J203" s="93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2.75" customHeight="1" x14ac:dyDescent="0.25">
      <c r="A204" s="79"/>
      <c r="B204" s="78"/>
      <c r="C204" s="82"/>
      <c r="D204" s="82"/>
      <c r="E204" s="83"/>
      <c r="F204" s="92"/>
      <c r="G204" s="92"/>
      <c r="H204" s="92"/>
      <c r="I204" s="93"/>
      <c r="J204" s="93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2.75" customHeight="1" x14ac:dyDescent="0.25">
      <c r="A205" s="79"/>
      <c r="B205" s="78"/>
      <c r="C205" s="82"/>
      <c r="D205" s="82"/>
      <c r="E205" s="83"/>
      <c r="F205" s="92"/>
      <c r="G205" s="92"/>
      <c r="H205" s="92"/>
      <c r="I205" s="93"/>
      <c r="J205" s="93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2.75" customHeight="1" x14ac:dyDescent="0.25">
      <c r="A206" s="79"/>
      <c r="B206" s="78"/>
      <c r="C206" s="82"/>
      <c r="D206" s="82"/>
      <c r="E206" s="83"/>
      <c r="F206" s="92"/>
      <c r="G206" s="92"/>
      <c r="H206" s="92"/>
      <c r="I206" s="93"/>
      <c r="J206" s="93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2.75" customHeight="1" x14ac:dyDescent="0.25">
      <c r="A207" s="79"/>
      <c r="B207" s="78"/>
      <c r="C207" s="82"/>
      <c r="D207" s="82"/>
      <c r="E207" s="83"/>
      <c r="F207" s="92"/>
      <c r="G207" s="92"/>
      <c r="H207" s="92"/>
      <c r="I207" s="93"/>
      <c r="J207" s="93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2.75" customHeight="1" x14ac:dyDescent="0.25">
      <c r="A208" s="79"/>
      <c r="B208" s="78"/>
      <c r="C208" s="82"/>
      <c r="D208" s="82"/>
      <c r="E208" s="83"/>
      <c r="F208" s="92"/>
      <c r="G208" s="92"/>
      <c r="H208" s="92"/>
      <c r="I208" s="93"/>
      <c r="J208" s="93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2.75" customHeight="1" x14ac:dyDescent="0.25">
      <c r="A209" s="79"/>
      <c r="B209" s="78"/>
      <c r="C209" s="82"/>
      <c r="D209" s="82"/>
      <c r="E209" s="83"/>
      <c r="F209" s="92"/>
      <c r="G209" s="92"/>
      <c r="H209" s="92"/>
      <c r="I209" s="93"/>
      <c r="J209" s="93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2.75" customHeight="1" x14ac:dyDescent="0.25">
      <c r="A210" s="79"/>
      <c r="B210" s="78"/>
      <c r="C210" s="82"/>
      <c r="D210" s="82"/>
      <c r="E210" s="83"/>
      <c r="F210" s="92"/>
      <c r="G210" s="92"/>
      <c r="H210" s="92"/>
      <c r="I210" s="93"/>
      <c r="J210" s="93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2.75" customHeight="1" x14ac:dyDescent="0.25">
      <c r="A211" s="79"/>
      <c r="B211" s="78"/>
      <c r="C211" s="82"/>
      <c r="D211" s="82"/>
      <c r="E211" s="83"/>
      <c r="F211" s="92"/>
      <c r="G211" s="92"/>
      <c r="H211" s="92"/>
      <c r="I211" s="93"/>
      <c r="J211" s="93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2.75" customHeight="1" x14ac:dyDescent="0.25">
      <c r="A212" s="79"/>
      <c r="B212" s="78"/>
      <c r="C212" s="82"/>
      <c r="D212" s="82"/>
      <c r="E212" s="83"/>
      <c r="F212" s="92"/>
      <c r="G212" s="92"/>
      <c r="H212" s="92"/>
      <c r="I212" s="93"/>
      <c r="J212" s="93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2.75" customHeight="1" x14ac:dyDescent="0.25">
      <c r="A213" s="79"/>
      <c r="B213" s="78"/>
      <c r="C213" s="82"/>
      <c r="D213" s="82"/>
      <c r="E213" s="83"/>
      <c r="F213" s="92"/>
      <c r="G213" s="92"/>
      <c r="H213" s="92"/>
      <c r="I213" s="93"/>
      <c r="J213" s="93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2.75" customHeight="1" x14ac:dyDescent="0.25">
      <c r="A214" s="79"/>
      <c r="B214" s="78"/>
      <c r="C214" s="82"/>
      <c r="D214" s="82"/>
      <c r="E214" s="83"/>
      <c r="F214" s="92"/>
      <c r="G214" s="92"/>
      <c r="H214" s="92"/>
      <c r="I214" s="93"/>
      <c r="J214" s="93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2.75" customHeight="1" x14ac:dyDescent="0.25">
      <c r="A215" s="79"/>
      <c r="B215" s="78"/>
      <c r="C215" s="82"/>
      <c r="D215" s="82"/>
      <c r="E215" s="83"/>
      <c r="F215" s="92"/>
      <c r="G215" s="92"/>
      <c r="H215" s="92"/>
      <c r="I215" s="93"/>
      <c r="J215" s="93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2.75" customHeight="1" x14ac:dyDescent="0.25">
      <c r="A216" s="79"/>
      <c r="B216" s="78"/>
      <c r="C216" s="82"/>
      <c r="D216" s="82"/>
      <c r="E216" s="83"/>
      <c r="F216" s="92"/>
      <c r="G216" s="92"/>
      <c r="H216" s="92"/>
      <c r="I216" s="93"/>
      <c r="J216" s="93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2.75" customHeight="1" x14ac:dyDescent="0.25">
      <c r="A217" s="79"/>
      <c r="B217" s="78"/>
      <c r="C217" s="82"/>
      <c r="D217" s="82"/>
      <c r="E217" s="83"/>
      <c r="F217" s="92"/>
      <c r="G217" s="92"/>
      <c r="H217" s="92"/>
      <c r="I217" s="93"/>
      <c r="J217" s="93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2.75" customHeight="1" x14ac:dyDescent="0.25">
      <c r="A218" s="79"/>
      <c r="B218" s="78"/>
      <c r="C218" s="82"/>
      <c r="D218" s="82"/>
      <c r="E218" s="83"/>
      <c r="F218" s="92"/>
      <c r="G218" s="92"/>
      <c r="H218" s="92"/>
      <c r="I218" s="93"/>
      <c r="J218" s="93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2.75" customHeight="1" x14ac:dyDescent="0.25">
      <c r="A219" s="79"/>
      <c r="B219" s="78"/>
      <c r="C219" s="82"/>
      <c r="D219" s="82"/>
      <c r="E219" s="83"/>
      <c r="F219" s="92"/>
      <c r="G219" s="92"/>
      <c r="H219" s="92"/>
      <c r="I219" s="93"/>
      <c r="J219" s="93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2.75" customHeight="1" x14ac:dyDescent="0.25">
      <c r="A220" s="79"/>
      <c r="B220" s="78"/>
      <c r="C220" s="82"/>
      <c r="D220" s="82"/>
      <c r="E220" s="83"/>
      <c r="F220" s="92"/>
      <c r="G220" s="92"/>
      <c r="H220" s="92"/>
      <c r="I220" s="93"/>
      <c r="J220" s="93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2.75" customHeight="1" x14ac:dyDescent="0.25">
      <c r="A221" s="79"/>
      <c r="B221" s="78"/>
      <c r="C221" s="82"/>
      <c r="D221" s="82"/>
      <c r="E221" s="83"/>
      <c r="F221" s="92"/>
      <c r="G221" s="92"/>
      <c r="H221" s="92"/>
      <c r="I221" s="93"/>
      <c r="J221" s="93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2.75" customHeight="1" x14ac:dyDescent="0.25">
      <c r="A222" s="79"/>
      <c r="B222" s="78"/>
      <c r="C222" s="82"/>
      <c r="D222" s="82"/>
      <c r="E222" s="83"/>
      <c r="F222" s="92"/>
      <c r="G222" s="92"/>
      <c r="H222" s="92"/>
      <c r="I222" s="93"/>
      <c r="J222" s="93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spans="1:26" ht="12.75" customHeight="1" x14ac:dyDescent="0.25">
      <c r="A223" s="79"/>
      <c r="B223" s="78"/>
      <c r="C223" s="82"/>
      <c r="D223" s="82"/>
      <c r="E223" s="83"/>
      <c r="F223" s="92"/>
      <c r="G223" s="92"/>
      <c r="H223" s="92"/>
      <c r="I223" s="93"/>
      <c r="J223" s="93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spans="1:26" ht="12.75" customHeight="1" x14ac:dyDescent="0.25">
      <c r="A224" s="79"/>
      <c r="B224" s="78"/>
      <c r="C224" s="82"/>
      <c r="D224" s="82"/>
      <c r="E224" s="83"/>
      <c r="F224" s="92"/>
      <c r="G224" s="92"/>
      <c r="H224" s="92"/>
      <c r="I224" s="93"/>
      <c r="J224" s="93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spans="1:26" ht="12.75" customHeight="1" x14ac:dyDescent="0.25">
      <c r="A225" s="79"/>
      <c r="B225" s="78"/>
      <c r="C225" s="82"/>
      <c r="D225" s="82"/>
      <c r="E225" s="83"/>
      <c r="F225" s="92"/>
      <c r="G225" s="92"/>
      <c r="H225" s="92"/>
      <c r="I225" s="93"/>
      <c r="J225" s="93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spans="1:26" ht="12.75" customHeight="1" x14ac:dyDescent="0.25">
      <c r="A226" s="79"/>
      <c r="B226" s="78"/>
      <c r="C226" s="82"/>
      <c r="D226" s="82"/>
      <c r="E226" s="83"/>
      <c r="F226" s="92"/>
      <c r="G226" s="92"/>
      <c r="H226" s="92"/>
      <c r="I226" s="93"/>
      <c r="J226" s="93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spans="1:26" ht="12.75" customHeight="1" x14ac:dyDescent="0.25">
      <c r="A227" s="79"/>
      <c r="B227" s="78"/>
      <c r="C227" s="82"/>
      <c r="D227" s="82"/>
      <c r="E227" s="83"/>
      <c r="F227" s="92"/>
      <c r="G227" s="92"/>
      <c r="H227" s="92"/>
      <c r="I227" s="93"/>
      <c r="J227" s="93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spans="1:26" ht="12.75" customHeight="1" x14ac:dyDescent="0.25">
      <c r="A228" s="79"/>
      <c r="B228" s="78"/>
      <c r="C228" s="82"/>
      <c r="D228" s="82"/>
      <c r="E228" s="83"/>
      <c r="F228" s="92"/>
      <c r="G228" s="92"/>
      <c r="H228" s="92"/>
      <c r="I228" s="93"/>
      <c r="J228" s="93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spans="1:26" ht="12.75" customHeight="1" x14ac:dyDescent="0.25">
      <c r="A229" s="79"/>
      <c r="B229" s="78"/>
      <c r="C229" s="82"/>
      <c r="D229" s="82"/>
      <c r="E229" s="83"/>
      <c r="F229" s="92"/>
      <c r="G229" s="92"/>
      <c r="H229" s="92"/>
      <c r="I229" s="93"/>
      <c r="J229" s="93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spans="1:26" ht="12.75" customHeight="1" x14ac:dyDescent="0.25">
      <c r="A230" s="79"/>
      <c r="B230" s="78"/>
      <c r="C230" s="82"/>
      <c r="D230" s="82"/>
      <c r="E230" s="83"/>
      <c r="F230" s="92"/>
      <c r="G230" s="92"/>
      <c r="H230" s="92"/>
      <c r="I230" s="93"/>
      <c r="J230" s="93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spans="1:26" ht="12.75" customHeight="1" x14ac:dyDescent="0.25">
      <c r="A231" s="79"/>
      <c r="B231" s="78"/>
      <c r="C231" s="82"/>
      <c r="D231" s="82"/>
      <c r="E231" s="83"/>
      <c r="F231" s="92"/>
      <c r="G231" s="92"/>
      <c r="H231" s="92"/>
      <c r="I231" s="93"/>
      <c r="J231" s="93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spans="1:26" ht="12.75" customHeight="1" x14ac:dyDescent="0.25">
      <c r="A232" s="79"/>
      <c r="B232" s="78"/>
      <c r="C232" s="82"/>
      <c r="D232" s="82"/>
      <c r="E232" s="83"/>
      <c r="F232" s="92"/>
      <c r="G232" s="92"/>
      <c r="H232" s="92"/>
      <c r="I232" s="93"/>
      <c r="J232" s="93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spans="1:26" ht="12.75" customHeight="1" x14ac:dyDescent="0.25">
      <c r="A233" s="79"/>
      <c r="B233" s="78"/>
      <c r="C233" s="82"/>
      <c r="D233" s="82"/>
      <c r="E233" s="83"/>
      <c r="F233" s="92"/>
      <c r="G233" s="92"/>
      <c r="H233" s="92"/>
      <c r="I233" s="93"/>
      <c r="J233" s="93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spans="1:26" ht="12.75" customHeight="1" x14ac:dyDescent="0.25">
      <c r="A234" s="79"/>
      <c r="B234" s="78"/>
      <c r="C234" s="82"/>
      <c r="D234" s="82"/>
      <c r="E234" s="83"/>
      <c r="F234" s="92"/>
      <c r="G234" s="92"/>
      <c r="H234" s="92"/>
      <c r="I234" s="93"/>
      <c r="J234" s="93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spans="1:26" ht="12.75" customHeight="1" x14ac:dyDescent="0.25">
      <c r="A235" s="79"/>
      <c r="B235" s="78"/>
      <c r="C235" s="82"/>
      <c r="D235" s="82"/>
      <c r="E235" s="83"/>
      <c r="F235" s="92"/>
      <c r="G235" s="92"/>
      <c r="H235" s="92"/>
      <c r="I235" s="93"/>
      <c r="J235" s="93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spans="1:26" ht="12.75" customHeight="1" x14ac:dyDescent="0.25">
      <c r="A236" s="79"/>
      <c r="B236" s="78"/>
      <c r="C236" s="82"/>
      <c r="D236" s="82"/>
      <c r="E236" s="83"/>
      <c r="F236" s="92"/>
      <c r="G236" s="92"/>
      <c r="H236" s="92"/>
      <c r="I236" s="93"/>
      <c r="J236" s="93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spans="1:26" ht="12.75" customHeight="1" x14ac:dyDescent="0.25">
      <c r="A237" s="79"/>
      <c r="B237" s="78"/>
      <c r="C237" s="82"/>
      <c r="D237" s="82"/>
      <c r="E237" s="83"/>
      <c r="F237" s="92"/>
      <c r="G237" s="92"/>
      <c r="H237" s="92"/>
      <c r="I237" s="93"/>
      <c r="J237" s="93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spans="1:26" ht="12.75" customHeight="1" x14ac:dyDescent="0.25">
      <c r="A238" s="79"/>
      <c r="B238" s="78"/>
      <c r="C238" s="82"/>
      <c r="D238" s="82"/>
      <c r="E238" s="83"/>
      <c r="F238" s="92"/>
      <c r="G238" s="92"/>
      <c r="H238" s="92"/>
      <c r="I238" s="93"/>
      <c r="J238" s="93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spans="1:26" ht="12.75" customHeight="1" x14ac:dyDescent="0.25">
      <c r="A239" s="79"/>
      <c r="B239" s="78"/>
      <c r="C239" s="82"/>
      <c r="D239" s="82"/>
      <c r="E239" s="83"/>
      <c r="F239" s="92"/>
      <c r="G239" s="92"/>
      <c r="H239" s="92"/>
      <c r="I239" s="93"/>
      <c r="J239" s="93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spans="1:26" ht="12.75" customHeight="1" x14ac:dyDescent="0.25">
      <c r="A240" s="79"/>
      <c r="B240" s="78"/>
      <c r="C240" s="82"/>
      <c r="D240" s="82"/>
      <c r="E240" s="83"/>
      <c r="F240" s="92"/>
      <c r="G240" s="92"/>
      <c r="H240" s="92"/>
      <c r="I240" s="93"/>
      <c r="J240" s="93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spans="1:26" ht="12.75" customHeight="1" x14ac:dyDescent="0.25">
      <c r="A241" s="79"/>
      <c r="B241" s="78"/>
      <c r="C241" s="82"/>
      <c r="D241" s="82"/>
      <c r="E241" s="83"/>
      <c r="F241" s="92"/>
      <c r="G241" s="92"/>
      <c r="H241" s="92"/>
      <c r="I241" s="93"/>
      <c r="J241" s="93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spans="1:26" ht="12.75" customHeight="1" x14ac:dyDescent="0.25">
      <c r="A242" s="79"/>
      <c r="B242" s="78"/>
      <c r="C242" s="82"/>
      <c r="D242" s="82"/>
      <c r="E242" s="83"/>
      <c r="F242" s="92"/>
      <c r="G242" s="92"/>
      <c r="H242" s="92"/>
      <c r="I242" s="93"/>
      <c r="J242" s="93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spans="1:26" ht="12.75" customHeight="1" x14ac:dyDescent="0.25">
      <c r="A243" s="79"/>
      <c r="B243" s="78"/>
      <c r="C243" s="82"/>
      <c r="D243" s="82"/>
      <c r="E243" s="83"/>
      <c r="F243" s="92"/>
      <c r="G243" s="92"/>
      <c r="H243" s="92"/>
      <c r="I243" s="93"/>
      <c r="J243" s="93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spans="1:26" ht="12.75" customHeight="1" x14ac:dyDescent="0.25">
      <c r="A244" s="79"/>
      <c r="B244" s="78"/>
      <c r="C244" s="82"/>
      <c r="D244" s="82"/>
      <c r="E244" s="83"/>
      <c r="F244" s="92"/>
      <c r="G244" s="92"/>
      <c r="H244" s="92"/>
      <c r="I244" s="93"/>
      <c r="J244" s="93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spans="1:26" ht="12.75" customHeight="1" x14ac:dyDescent="0.25">
      <c r="A245" s="79"/>
      <c r="B245" s="78"/>
      <c r="C245" s="82"/>
      <c r="D245" s="82"/>
      <c r="E245" s="83"/>
      <c r="F245" s="92"/>
      <c r="G245" s="92"/>
      <c r="H245" s="92"/>
      <c r="I245" s="93"/>
      <c r="J245" s="93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spans="1:26" ht="12.75" customHeight="1" x14ac:dyDescent="0.25">
      <c r="A246" s="79"/>
      <c r="B246" s="78"/>
      <c r="C246" s="82"/>
      <c r="D246" s="82"/>
      <c r="E246" s="83"/>
      <c r="F246" s="92"/>
      <c r="G246" s="92"/>
      <c r="H246" s="92"/>
      <c r="I246" s="93"/>
      <c r="J246" s="93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spans="1:26" ht="12.75" customHeight="1" x14ac:dyDescent="0.25">
      <c r="A247" s="79"/>
      <c r="B247" s="78"/>
      <c r="C247" s="82"/>
      <c r="D247" s="82"/>
      <c r="E247" s="83"/>
      <c r="F247" s="92"/>
      <c r="G247" s="92"/>
      <c r="H247" s="92"/>
      <c r="I247" s="93"/>
      <c r="J247" s="93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spans="1:26" ht="12.75" customHeight="1" x14ac:dyDescent="0.25">
      <c r="A248" s="79"/>
      <c r="B248" s="78"/>
      <c r="C248" s="82"/>
      <c r="D248" s="82"/>
      <c r="E248" s="83"/>
      <c r="F248" s="92"/>
      <c r="G248" s="92"/>
      <c r="H248" s="92"/>
      <c r="I248" s="93"/>
      <c r="J248" s="93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spans="1:26" ht="12.75" customHeight="1" x14ac:dyDescent="0.25">
      <c r="A249" s="79"/>
      <c r="B249" s="78"/>
      <c r="C249" s="82"/>
      <c r="D249" s="82"/>
      <c r="E249" s="83"/>
      <c r="F249" s="92"/>
      <c r="G249" s="92"/>
      <c r="H249" s="92"/>
      <c r="I249" s="93"/>
      <c r="J249" s="93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spans="1:26" ht="12.75" customHeight="1" x14ac:dyDescent="0.25">
      <c r="A250" s="79"/>
      <c r="B250" s="78"/>
      <c r="C250" s="82"/>
      <c r="D250" s="82"/>
      <c r="E250" s="83"/>
      <c r="F250" s="92"/>
      <c r="G250" s="92"/>
      <c r="H250" s="92"/>
      <c r="I250" s="93"/>
      <c r="J250" s="93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spans="1:26" ht="12.75" customHeight="1" x14ac:dyDescent="0.25">
      <c r="A251" s="79"/>
      <c r="B251" s="78"/>
      <c r="C251" s="82"/>
      <c r="D251" s="82"/>
      <c r="E251" s="83"/>
      <c r="F251" s="92"/>
      <c r="G251" s="92"/>
      <c r="H251" s="92"/>
      <c r="I251" s="93"/>
      <c r="J251" s="93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spans="1:26" ht="12.75" customHeight="1" x14ac:dyDescent="0.25">
      <c r="A252" s="79"/>
      <c r="B252" s="78"/>
      <c r="C252" s="82"/>
      <c r="D252" s="82"/>
      <c r="E252" s="83"/>
      <c r="F252" s="92"/>
      <c r="G252" s="92"/>
      <c r="H252" s="92"/>
      <c r="I252" s="93"/>
      <c r="J252" s="93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spans="1:26" ht="12.75" customHeight="1" x14ac:dyDescent="0.25">
      <c r="A253" s="79"/>
      <c r="B253" s="78"/>
      <c r="C253" s="82"/>
      <c r="D253" s="82"/>
      <c r="E253" s="83"/>
      <c r="F253" s="92"/>
      <c r="G253" s="92"/>
      <c r="H253" s="92"/>
      <c r="I253" s="93"/>
      <c r="J253" s="93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spans="1:26" ht="12.75" customHeight="1" x14ac:dyDescent="0.25">
      <c r="A254" s="79"/>
      <c r="B254" s="78"/>
      <c r="C254" s="82"/>
      <c r="D254" s="82"/>
      <c r="E254" s="83"/>
      <c r="F254" s="92"/>
      <c r="G254" s="92"/>
      <c r="H254" s="92"/>
      <c r="I254" s="93"/>
      <c r="J254" s="93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spans="1:26" ht="12.75" customHeight="1" x14ac:dyDescent="0.25">
      <c r="A255" s="79"/>
      <c r="B255" s="78"/>
      <c r="C255" s="82"/>
      <c r="D255" s="82"/>
      <c r="E255" s="83"/>
      <c r="F255" s="92"/>
      <c r="G255" s="92"/>
      <c r="H255" s="92"/>
      <c r="I255" s="93"/>
      <c r="J255" s="93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spans="1:26" ht="12.75" customHeight="1" x14ac:dyDescent="0.25">
      <c r="A256" s="79"/>
      <c r="B256" s="78"/>
      <c r="C256" s="82"/>
      <c r="D256" s="82"/>
      <c r="E256" s="83"/>
      <c r="F256" s="92"/>
      <c r="G256" s="92"/>
      <c r="H256" s="92"/>
      <c r="I256" s="93"/>
      <c r="J256" s="113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spans="1:26" ht="12.75" customHeight="1" x14ac:dyDescent="0.25">
      <c r="A257" s="79"/>
      <c r="B257" s="78"/>
      <c r="C257" s="82"/>
      <c r="D257" s="82"/>
      <c r="E257" s="83"/>
      <c r="F257" s="92"/>
      <c r="G257" s="92"/>
      <c r="H257" s="92"/>
      <c r="I257" s="93"/>
      <c r="J257" s="93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spans="1:26" ht="12.75" customHeight="1" x14ac:dyDescent="0.25">
      <c r="A258" s="79"/>
      <c r="B258" s="78"/>
      <c r="C258" s="82"/>
      <c r="D258" s="82"/>
      <c r="E258" s="83"/>
      <c r="F258" s="92"/>
      <c r="G258" s="92"/>
      <c r="H258" s="92"/>
      <c r="I258" s="93"/>
      <c r="J258" s="93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spans="1:26" ht="12.75" customHeight="1" x14ac:dyDescent="0.25">
      <c r="A259" s="79"/>
      <c r="B259" s="78"/>
      <c r="C259" s="82"/>
      <c r="D259" s="82"/>
      <c r="E259" s="83"/>
      <c r="F259" s="92"/>
      <c r="G259" s="92"/>
      <c r="H259" s="92"/>
      <c r="I259" s="93"/>
      <c r="J259" s="93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spans="1:26" ht="12.75" customHeight="1" x14ac:dyDescent="0.25">
      <c r="A260" s="79"/>
      <c r="B260" s="78"/>
      <c r="C260" s="82"/>
      <c r="D260" s="82"/>
      <c r="E260" s="83"/>
      <c r="F260" s="92"/>
      <c r="G260" s="92"/>
      <c r="H260" s="92"/>
      <c r="I260" s="93"/>
      <c r="J260" s="93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spans="1:26" ht="12.75" customHeight="1" x14ac:dyDescent="0.25">
      <c r="A261" s="79"/>
      <c r="B261" s="78"/>
      <c r="C261" s="82"/>
      <c r="D261" s="82"/>
      <c r="E261" s="83"/>
      <c r="F261" s="92"/>
      <c r="G261" s="92"/>
      <c r="H261" s="92"/>
      <c r="I261" s="93"/>
      <c r="J261" s="113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spans="1:26" ht="12.75" customHeight="1" x14ac:dyDescent="0.25">
      <c r="A262" s="79"/>
      <c r="B262" s="78"/>
      <c r="C262" s="82"/>
      <c r="D262" s="82"/>
      <c r="E262" s="83"/>
      <c r="F262" s="92"/>
      <c r="G262" s="92"/>
      <c r="H262" s="92"/>
      <c r="I262" s="93"/>
      <c r="J262" s="113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spans="1:26" ht="12.75" customHeight="1" x14ac:dyDescent="0.25">
      <c r="A263" s="79"/>
      <c r="B263" s="78"/>
      <c r="C263" s="82"/>
      <c r="D263" s="82"/>
      <c r="E263" s="83"/>
      <c r="F263" s="92"/>
      <c r="G263" s="92"/>
      <c r="H263" s="92"/>
      <c r="I263" s="93"/>
      <c r="J263" s="113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spans="1:26" ht="12.75" customHeight="1" x14ac:dyDescent="0.25">
      <c r="A264" s="79"/>
      <c r="B264" s="78"/>
      <c r="C264" s="82"/>
      <c r="D264" s="82"/>
      <c r="E264" s="83"/>
      <c r="F264" s="92"/>
      <c r="G264" s="92"/>
      <c r="H264" s="92"/>
      <c r="I264" s="93"/>
      <c r="J264" s="113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spans="1:26" ht="12.75" customHeight="1" x14ac:dyDescent="0.25">
      <c r="A265" s="79"/>
      <c r="B265" s="78"/>
      <c r="C265" s="82"/>
      <c r="D265" s="82"/>
      <c r="E265" s="83"/>
      <c r="F265" s="92"/>
      <c r="G265" s="92"/>
      <c r="H265" s="92"/>
      <c r="I265" s="93"/>
      <c r="J265" s="113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spans="1:26" ht="12.75" customHeight="1" x14ac:dyDescent="0.25">
      <c r="A266" s="79"/>
      <c r="B266" s="78"/>
      <c r="C266" s="82"/>
      <c r="D266" s="82"/>
      <c r="E266" s="83"/>
      <c r="F266" s="92"/>
      <c r="G266" s="92"/>
      <c r="H266" s="92"/>
      <c r="I266" s="93"/>
      <c r="J266" s="113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spans="1:26" ht="12.75" customHeight="1" x14ac:dyDescent="0.25">
      <c r="A267" s="79"/>
      <c r="B267" s="78"/>
      <c r="C267" s="82"/>
      <c r="D267" s="82"/>
      <c r="E267" s="83"/>
      <c r="F267" s="92"/>
      <c r="G267" s="92"/>
      <c r="H267" s="92"/>
      <c r="I267" s="93"/>
      <c r="J267" s="113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spans="1:26" ht="12.75" customHeight="1" x14ac:dyDescent="0.25">
      <c r="A268" s="79"/>
      <c r="B268" s="78"/>
      <c r="C268" s="82"/>
      <c r="D268" s="82"/>
      <c r="E268" s="83"/>
      <c r="F268" s="92"/>
      <c r="G268" s="92"/>
      <c r="H268" s="92"/>
      <c r="I268" s="93"/>
      <c r="J268" s="113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spans="1:26" ht="12.75" customHeight="1" x14ac:dyDescent="0.25">
      <c r="A269" s="79"/>
      <c r="B269" s="78"/>
      <c r="C269" s="82"/>
      <c r="D269" s="82"/>
      <c r="E269" s="83"/>
      <c r="F269" s="92"/>
      <c r="G269" s="92"/>
      <c r="H269" s="92"/>
      <c r="I269" s="93"/>
      <c r="J269" s="113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spans="1:26" ht="12.75" customHeight="1" x14ac:dyDescent="0.25">
      <c r="A270" s="79"/>
      <c r="B270" s="78"/>
      <c r="C270" s="82"/>
      <c r="D270" s="82"/>
      <c r="E270" s="83"/>
      <c r="F270" s="92"/>
      <c r="G270" s="92"/>
      <c r="H270" s="92"/>
      <c r="I270" s="93"/>
      <c r="J270" s="113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spans="1:26" ht="12.75" customHeight="1" x14ac:dyDescent="0.25">
      <c r="A271" s="79"/>
      <c r="B271" s="78"/>
      <c r="C271" s="82"/>
      <c r="D271" s="82"/>
      <c r="E271" s="83"/>
      <c r="F271" s="92"/>
      <c r="G271" s="92"/>
      <c r="H271" s="92"/>
      <c r="I271" s="93"/>
      <c r="J271" s="113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spans="1:26" ht="12.75" customHeight="1" x14ac:dyDescent="0.25">
      <c r="A272" s="79"/>
      <c r="B272" s="78"/>
      <c r="C272" s="82"/>
      <c r="D272" s="82"/>
      <c r="E272" s="83"/>
      <c r="F272" s="92"/>
      <c r="G272" s="92"/>
      <c r="H272" s="92"/>
      <c r="I272" s="93"/>
      <c r="J272" s="113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spans="1:26" ht="12.75" customHeight="1" x14ac:dyDescent="0.25">
      <c r="A273" s="79"/>
      <c r="B273" s="78"/>
      <c r="C273" s="82"/>
      <c r="D273" s="82"/>
      <c r="E273" s="83"/>
      <c r="F273" s="92"/>
      <c r="G273" s="92"/>
      <c r="H273" s="92"/>
      <c r="I273" s="93"/>
      <c r="J273" s="113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spans="1:26" ht="12.75" customHeight="1" x14ac:dyDescent="0.25">
      <c r="A274" s="79"/>
      <c r="B274" s="78"/>
      <c r="C274" s="82"/>
      <c r="D274" s="82"/>
      <c r="E274" s="83"/>
      <c r="F274" s="92"/>
      <c r="G274" s="92"/>
      <c r="H274" s="92"/>
      <c r="I274" s="93"/>
      <c r="J274" s="113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spans="1:26" ht="12.75" customHeight="1" x14ac:dyDescent="0.25">
      <c r="A275" s="79"/>
      <c r="B275" s="78"/>
      <c r="C275" s="82"/>
      <c r="D275" s="82"/>
      <c r="E275" s="83"/>
      <c r="F275" s="92"/>
      <c r="G275" s="92"/>
      <c r="H275" s="92"/>
      <c r="I275" s="93"/>
      <c r="J275" s="113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spans="1:26" ht="12.75" customHeight="1" x14ac:dyDescent="0.25">
      <c r="A276" s="79"/>
      <c r="B276" s="78"/>
      <c r="C276" s="82"/>
      <c r="D276" s="82"/>
      <c r="E276" s="83"/>
      <c r="F276" s="92"/>
      <c r="G276" s="92"/>
      <c r="H276" s="92"/>
      <c r="I276" s="93"/>
      <c r="J276" s="113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spans="1:26" ht="12.75" customHeight="1" x14ac:dyDescent="0.25">
      <c r="A277" s="79"/>
      <c r="B277" s="78"/>
      <c r="C277" s="82"/>
      <c r="D277" s="82"/>
      <c r="E277" s="83"/>
      <c r="F277" s="92"/>
      <c r="G277" s="92"/>
      <c r="H277" s="92"/>
      <c r="I277" s="93"/>
      <c r="J277" s="93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spans="1:26" ht="12.75" customHeight="1" x14ac:dyDescent="0.25">
      <c r="A278" s="79"/>
      <c r="B278" s="78"/>
      <c r="C278" s="82"/>
      <c r="D278" s="82"/>
      <c r="E278" s="83"/>
      <c r="F278" s="92"/>
      <c r="G278" s="92"/>
      <c r="H278" s="92"/>
      <c r="I278" s="93"/>
      <c r="J278" s="113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spans="1:26" ht="12.75" customHeight="1" x14ac:dyDescent="0.25">
      <c r="A279" s="79"/>
      <c r="B279" s="78"/>
      <c r="C279" s="82"/>
      <c r="D279" s="82"/>
      <c r="E279" s="83"/>
      <c r="F279" s="92"/>
      <c r="G279" s="92"/>
      <c r="H279" s="92"/>
      <c r="I279" s="93"/>
      <c r="J279" s="113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spans="1:26" ht="12.75" customHeight="1" x14ac:dyDescent="0.25">
      <c r="A280" s="79"/>
      <c r="B280" s="78"/>
      <c r="C280" s="82"/>
      <c r="D280" s="82"/>
      <c r="E280" s="83"/>
      <c r="F280" s="92"/>
      <c r="G280" s="92"/>
      <c r="H280" s="92"/>
      <c r="I280" s="93"/>
      <c r="J280" s="113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spans="1:26" ht="12.75" customHeight="1" x14ac:dyDescent="0.25">
      <c r="A281" s="79"/>
      <c r="B281" s="78"/>
      <c r="C281" s="82"/>
      <c r="D281" s="82"/>
      <c r="E281" s="83"/>
      <c r="F281" s="92"/>
      <c r="G281" s="92"/>
      <c r="H281" s="92"/>
      <c r="I281" s="93"/>
      <c r="J281" s="113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spans="1:26" ht="12.75" customHeight="1" x14ac:dyDescent="0.25">
      <c r="A282" s="79"/>
      <c r="B282" s="78"/>
      <c r="C282" s="82"/>
      <c r="D282" s="82"/>
      <c r="E282" s="83"/>
      <c r="F282" s="92"/>
      <c r="G282" s="92"/>
      <c r="H282" s="92"/>
      <c r="I282" s="93"/>
      <c r="J282" s="113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spans="1:26" ht="12.75" customHeight="1" x14ac:dyDescent="0.25">
      <c r="A283" s="79"/>
      <c r="B283" s="78"/>
      <c r="C283" s="82"/>
      <c r="D283" s="82"/>
      <c r="E283" s="83"/>
      <c r="F283" s="92"/>
      <c r="G283" s="92"/>
      <c r="H283" s="92"/>
      <c r="I283" s="93"/>
      <c r="J283" s="113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spans="1:26" ht="12.75" customHeight="1" x14ac:dyDescent="0.25">
      <c r="A284" s="79"/>
      <c r="B284" s="78"/>
      <c r="C284" s="82"/>
      <c r="D284" s="82"/>
      <c r="E284" s="83"/>
      <c r="F284" s="92"/>
      <c r="G284" s="92"/>
      <c r="H284" s="92"/>
      <c r="I284" s="93"/>
      <c r="J284" s="113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spans="1:26" ht="12.75" customHeight="1" x14ac:dyDescent="0.25">
      <c r="A285" s="79"/>
      <c r="B285" s="78"/>
      <c r="C285" s="82"/>
      <c r="D285" s="82"/>
      <c r="E285" s="83"/>
      <c r="F285" s="92"/>
      <c r="G285" s="92"/>
      <c r="H285" s="92"/>
      <c r="I285" s="93"/>
      <c r="J285" s="113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spans="1:26" ht="12.75" customHeight="1" x14ac:dyDescent="0.25">
      <c r="A286" s="79"/>
      <c r="B286" s="78"/>
      <c r="C286" s="82"/>
      <c r="D286" s="82"/>
      <c r="E286" s="83"/>
      <c r="F286" s="92"/>
      <c r="G286" s="92"/>
      <c r="H286" s="92"/>
      <c r="I286" s="93"/>
      <c r="J286" s="113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spans="1:26" ht="12.75" customHeight="1" x14ac:dyDescent="0.25">
      <c r="A287" s="79"/>
      <c r="B287" s="78"/>
      <c r="C287" s="82"/>
      <c r="D287" s="82"/>
      <c r="E287" s="83"/>
      <c r="F287" s="92"/>
      <c r="G287" s="92"/>
      <c r="H287" s="92"/>
      <c r="I287" s="93"/>
      <c r="J287" s="113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spans="1:26" ht="12.75" customHeight="1" x14ac:dyDescent="0.25">
      <c r="A288" s="79"/>
      <c r="B288" s="78"/>
      <c r="C288" s="82"/>
      <c r="D288" s="82"/>
      <c r="E288" s="83"/>
      <c r="F288" s="92"/>
      <c r="G288" s="92"/>
      <c r="H288" s="92"/>
      <c r="I288" s="93"/>
      <c r="J288" s="113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spans="1:26" ht="12.75" customHeight="1" x14ac:dyDescent="0.25">
      <c r="A289" s="79"/>
      <c r="B289" s="78"/>
      <c r="C289" s="82"/>
      <c r="D289" s="82"/>
      <c r="E289" s="83"/>
      <c r="F289" s="92"/>
      <c r="G289" s="92"/>
      <c r="H289" s="92"/>
      <c r="I289" s="93"/>
      <c r="J289" s="113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spans="1:26" ht="12.75" customHeight="1" x14ac:dyDescent="0.25">
      <c r="A290" s="79"/>
      <c r="B290" s="78"/>
      <c r="C290" s="82"/>
      <c r="D290" s="82"/>
      <c r="E290" s="83"/>
      <c r="F290" s="92"/>
      <c r="G290" s="92"/>
      <c r="H290" s="92"/>
      <c r="I290" s="93"/>
      <c r="J290" s="113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spans="1:26" ht="12.75" customHeight="1" x14ac:dyDescent="0.25">
      <c r="A291" s="79"/>
      <c r="B291" s="78"/>
      <c r="C291" s="82"/>
      <c r="D291" s="82"/>
      <c r="E291" s="83"/>
      <c r="F291" s="92"/>
      <c r="G291" s="92"/>
      <c r="H291" s="92"/>
      <c r="I291" s="93"/>
      <c r="J291" s="113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spans="1:26" ht="12.75" customHeight="1" x14ac:dyDescent="0.25">
      <c r="A292" s="79"/>
      <c r="B292" s="78"/>
      <c r="C292" s="82"/>
      <c r="D292" s="82"/>
      <c r="E292" s="83"/>
      <c r="F292" s="92"/>
      <c r="G292" s="92"/>
      <c r="H292" s="92"/>
      <c r="I292" s="93"/>
      <c r="J292" s="113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spans="1:26" ht="12.75" customHeight="1" x14ac:dyDescent="0.25">
      <c r="A293" s="79"/>
      <c r="B293" s="78"/>
      <c r="C293" s="82"/>
      <c r="D293" s="82"/>
      <c r="E293" s="83"/>
      <c r="F293" s="92"/>
      <c r="G293" s="92"/>
      <c r="H293" s="92"/>
      <c r="I293" s="93"/>
      <c r="J293" s="113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spans="1:26" ht="12.75" customHeight="1" x14ac:dyDescent="0.25">
      <c r="A294" s="79"/>
      <c r="B294" s="78"/>
      <c r="C294" s="82"/>
      <c r="D294" s="82"/>
      <c r="E294" s="83"/>
      <c r="F294" s="92"/>
      <c r="G294" s="92"/>
      <c r="H294" s="92"/>
      <c r="I294" s="93"/>
      <c r="J294" s="113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spans="1:26" ht="12.75" customHeight="1" x14ac:dyDescent="0.25">
      <c r="A295" s="79"/>
      <c r="B295" s="78"/>
      <c r="C295" s="82"/>
      <c r="D295" s="82"/>
      <c r="E295" s="83"/>
      <c r="F295" s="92"/>
      <c r="G295" s="92"/>
      <c r="H295" s="92"/>
      <c r="I295" s="93"/>
      <c r="J295" s="113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spans="1:26" ht="12.75" customHeight="1" x14ac:dyDescent="0.25">
      <c r="A296" s="79"/>
      <c r="B296" s="78"/>
      <c r="C296" s="82"/>
      <c r="D296" s="82"/>
      <c r="E296" s="83"/>
      <c r="F296" s="92"/>
      <c r="G296" s="92"/>
      <c r="H296" s="92"/>
      <c r="I296" s="93"/>
      <c r="J296" s="113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spans="1:26" ht="12.75" customHeight="1" x14ac:dyDescent="0.25">
      <c r="A297" s="79"/>
      <c r="B297" s="78"/>
      <c r="C297" s="82"/>
      <c r="D297" s="82"/>
      <c r="E297" s="83"/>
      <c r="F297" s="92"/>
      <c r="G297" s="92"/>
      <c r="H297" s="92"/>
      <c r="I297" s="93"/>
      <c r="J297" s="113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spans="1:26" ht="12.75" customHeight="1" x14ac:dyDescent="0.25">
      <c r="A298" s="79"/>
      <c r="B298" s="78"/>
      <c r="C298" s="82"/>
      <c r="D298" s="82"/>
      <c r="E298" s="83"/>
      <c r="F298" s="92"/>
      <c r="G298" s="92"/>
      <c r="H298" s="92"/>
      <c r="I298" s="93"/>
      <c r="J298" s="113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spans="1:26" ht="12.75" customHeight="1" x14ac:dyDescent="0.25">
      <c r="A299" s="79"/>
      <c r="B299" s="78"/>
      <c r="C299" s="82"/>
      <c r="D299" s="82"/>
      <c r="E299" s="83"/>
      <c r="F299" s="92"/>
      <c r="G299" s="92"/>
      <c r="H299" s="92"/>
      <c r="I299" s="93"/>
      <c r="J299" s="113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spans="1:26" ht="12.75" customHeight="1" x14ac:dyDescent="0.25">
      <c r="A300" s="79"/>
      <c r="B300" s="78"/>
      <c r="C300" s="82"/>
      <c r="D300" s="82"/>
      <c r="E300" s="83"/>
      <c r="F300" s="92"/>
      <c r="G300" s="92"/>
      <c r="H300" s="92"/>
      <c r="I300" s="93"/>
      <c r="J300" s="113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spans="1:26" ht="12.75" customHeight="1" x14ac:dyDescent="0.25">
      <c r="A301" s="79"/>
      <c r="B301" s="78"/>
      <c r="C301" s="82"/>
      <c r="D301" s="82"/>
      <c r="E301" s="83"/>
      <c r="F301" s="92"/>
      <c r="G301" s="92"/>
      <c r="H301" s="92"/>
      <c r="I301" s="93"/>
      <c r="J301" s="113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spans="1:26" ht="12.75" customHeight="1" x14ac:dyDescent="0.25">
      <c r="A302" s="79"/>
      <c r="B302" s="78"/>
      <c r="C302" s="82"/>
      <c r="D302" s="82"/>
      <c r="E302" s="83"/>
      <c r="F302" s="92"/>
      <c r="G302" s="92"/>
      <c r="H302" s="92"/>
      <c r="I302" s="93"/>
      <c r="J302" s="113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spans="1:26" ht="12.75" customHeight="1" x14ac:dyDescent="0.25">
      <c r="A303" s="79"/>
      <c r="B303" s="78"/>
      <c r="C303" s="82"/>
      <c r="D303" s="82"/>
      <c r="E303" s="83"/>
      <c r="F303" s="92"/>
      <c r="G303" s="92"/>
      <c r="H303" s="92"/>
      <c r="I303" s="93"/>
      <c r="J303" s="113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spans="1:26" ht="12.75" customHeight="1" x14ac:dyDescent="0.25">
      <c r="A304" s="79"/>
      <c r="B304" s="78"/>
      <c r="C304" s="82"/>
      <c r="D304" s="82"/>
      <c r="E304" s="83"/>
      <c r="F304" s="92"/>
      <c r="G304" s="92"/>
      <c r="H304" s="92"/>
      <c r="I304" s="93"/>
      <c r="J304" s="113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spans="1:26" ht="12.75" customHeight="1" x14ac:dyDescent="0.25">
      <c r="A305" s="79"/>
      <c r="B305" s="78"/>
      <c r="C305" s="82"/>
      <c r="D305" s="82"/>
      <c r="E305" s="83"/>
      <c r="F305" s="92"/>
      <c r="G305" s="92"/>
      <c r="H305" s="92"/>
      <c r="I305" s="93"/>
      <c r="J305" s="113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spans="1:26" ht="12.75" customHeight="1" x14ac:dyDescent="0.25">
      <c r="A306" s="79"/>
      <c r="B306" s="78"/>
      <c r="C306" s="82"/>
      <c r="D306" s="82"/>
      <c r="E306" s="83"/>
      <c r="F306" s="92"/>
      <c r="G306" s="92"/>
      <c r="H306" s="92"/>
      <c r="I306" s="93"/>
      <c r="J306" s="113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spans="1:26" ht="12.75" customHeight="1" x14ac:dyDescent="0.25">
      <c r="A307" s="79"/>
      <c r="B307" s="78"/>
      <c r="C307" s="82"/>
      <c r="D307" s="82"/>
      <c r="E307" s="83"/>
      <c r="F307" s="92"/>
      <c r="G307" s="92"/>
      <c r="H307" s="92"/>
      <c r="I307" s="93"/>
      <c r="J307" s="113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spans="1:26" ht="12.75" customHeight="1" x14ac:dyDescent="0.25">
      <c r="A308" s="79"/>
      <c r="B308" s="78"/>
      <c r="C308" s="82"/>
      <c r="D308" s="82"/>
      <c r="E308" s="83"/>
      <c r="F308" s="92"/>
      <c r="G308" s="92"/>
      <c r="H308" s="92"/>
      <c r="I308" s="93"/>
      <c r="J308" s="113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spans="1:26" ht="12.75" customHeight="1" x14ac:dyDescent="0.25">
      <c r="A309" s="79"/>
      <c r="B309" s="78"/>
      <c r="C309" s="82"/>
      <c r="D309" s="82"/>
      <c r="E309" s="83"/>
      <c r="F309" s="92"/>
      <c r="G309" s="92"/>
      <c r="H309" s="92"/>
      <c r="I309" s="93"/>
      <c r="J309" s="113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spans="1:26" ht="12.75" customHeight="1" x14ac:dyDescent="0.25">
      <c r="A310" s="79"/>
      <c r="B310" s="78"/>
      <c r="C310" s="82"/>
      <c r="D310" s="82"/>
      <c r="E310" s="83"/>
      <c r="F310" s="92"/>
      <c r="G310" s="92"/>
      <c r="H310" s="92"/>
      <c r="I310" s="93"/>
      <c r="J310" s="113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spans="1:26" ht="12.75" customHeight="1" x14ac:dyDescent="0.25">
      <c r="A311" s="79"/>
      <c r="B311" s="78"/>
      <c r="C311" s="82"/>
      <c r="D311" s="82"/>
      <c r="E311" s="83"/>
      <c r="F311" s="92"/>
      <c r="G311" s="92"/>
      <c r="H311" s="92"/>
      <c r="I311" s="93"/>
      <c r="J311" s="113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spans="1:26" ht="12.75" customHeight="1" x14ac:dyDescent="0.25">
      <c r="A312" s="79"/>
      <c r="B312" s="78"/>
      <c r="C312" s="82"/>
      <c r="D312" s="82"/>
      <c r="E312" s="83"/>
      <c r="F312" s="92"/>
      <c r="G312" s="92"/>
      <c r="H312" s="92"/>
      <c r="I312" s="93"/>
      <c r="J312" s="113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spans="1:26" ht="12.75" customHeight="1" x14ac:dyDescent="0.25">
      <c r="A313" s="79"/>
      <c r="B313" s="78"/>
      <c r="C313" s="82"/>
      <c r="D313" s="82"/>
      <c r="E313" s="83"/>
      <c r="F313" s="92"/>
      <c r="G313" s="92"/>
      <c r="H313" s="92"/>
      <c r="I313" s="93"/>
      <c r="J313" s="113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spans="1:26" ht="12.75" customHeight="1" x14ac:dyDescent="0.25">
      <c r="A314" s="79"/>
      <c r="B314" s="78"/>
      <c r="C314" s="82"/>
      <c r="D314" s="82"/>
      <c r="E314" s="83"/>
      <c r="F314" s="92"/>
      <c r="G314" s="92"/>
      <c r="H314" s="92"/>
      <c r="I314" s="93"/>
      <c r="J314" s="113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spans="1:26" ht="12.75" customHeight="1" x14ac:dyDescent="0.25">
      <c r="A315" s="79"/>
      <c r="B315" s="78"/>
      <c r="C315" s="82"/>
      <c r="D315" s="82"/>
      <c r="E315" s="83"/>
      <c r="F315" s="92"/>
      <c r="G315" s="92"/>
      <c r="H315" s="92"/>
      <c r="I315" s="93"/>
      <c r="J315" s="113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spans="1:26" ht="12.75" customHeight="1" x14ac:dyDescent="0.25">
      <c r="A316" s="79"/>
      <c r="B316" s="78"/>
      <c r="C316" s="82"/>
      <c r="D316" s="82"/>
      <c r="E316" s="83"/>
      <c r="F316" s="92"/>
      <c r="G316" s="92"/>
      <c r="H316" s="92"/>
      <c r="I316" s="93"/>
      <c r="J316" s="113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spans="1:26" ht="12.75" customHeight="1" x14ac:dyDescent="0.25">
      <c r="A317" s="79"/>
      <c r="B317" s="78"/>
      <c r="C317" s="82"/>
      <c r="D317" s="82"/>
      <c r="E317" s="83"/>
      <c r="F317" s="92"/>
      <c r="G317" s="92"/>
      <c r="H317" s="92"/>
      <c r="I317" s="93"/>
      <c r="J317" s="113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spans="1:26" ht="12.75" customHeight="1" x14ac:dyDescent="0.25">
      <c r="A318" s="79"/>
      <c r="B318" s="78"/>
      <c r="C318" s="82"/>
      <c r="D318" s="82"/>
      <c r="E318" s="83"/>
      <c r="F318" s="92"/>
      <c r="G318" s="92"/>
      <c r="H318" s="92"/>
      <c r="I318" s="93"/>
      <c r="J318" s="113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spans="1:26" ht="12.75" customHeight="1" x14ac:dyDescent="0.25">
      <c r="A319" s="79"/>
      <c r="B319" s="78"/>
      <c r="C319" s="82"/>
      <c r="D319" s="82"/>
      <c r="E319" s="83"/>
      <c r="F319" s="92"/>
      <c r="G319" s="92"/>
      <c r="H319" s="92"/>
      <c r="I319" s="93"/>
      <c r="J319" s="113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spans="1:26" ht="12.75" customHeight="1" x14ac:dyDescent="0.25">
      <c r="A320" s="79"/>
      <c r="B320" s="78"/>
      <c r="C320" s="82"/>
      <c r="D320" s="82"/>
      <c r="E320" s="83"/>
      <c r="F320" s="92"/>
      <c r="G320" s="92"/>
      <c r="H320" s="92"/>
      <c r="I320" s="93"/>
      <c r="J320" s="113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spans="1:26" ht="12.75" customHeight="1" x14ac:dyDescent="0.25">
      <c r="A321" s="79"/>
      <c r="B321" s="78"/>
      <c r="C321" s="82"/>
      <c r="D321" s="82"/>
      <c r="E321" s="83"/>
      <c r="F321" s="92"/>
      <c r="G321" s="92"/>
      <c r="H321" s="92"/>
      <c r="I321" s="93"/>
      <c r="J321" s="113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spans="1:26" ht="12.75" customHeight="1" x14ac:dyDescent="0.25">
      <c r="A322" s="79"/>
      <c r="B322" s="78"/>
      <c r="C322" s="82"/>
      <c r="D322" s="82"/>
      <c r="E322" s="83"/>
      <c r="F322" s="92"/>
      <c r="G322" s="92"/>
      <c r="H322" s="92"/>
      <c r="I322" s="93"/>
      <c r="J322" s="113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spans="1:26" ht="12.75" customHeight="1" x14ac:dyDescent="0.25">
      <c r="A323" s="79"/>
      <c r="B323" s="78"/>
      <c r="C323" s="82"/>
      <c r="D323" s="82"/>
      <c r="E323" s="83"/>
      <c r="F323" s="92"/>
      <c r="G323" s="92"/>
      <c r="H323" s="92"/>
      <c r="I323" s="93"/>
      <c r="J323" s="113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spans="1:26" ht="12.75" customHeight="1" x14ac:dyDescent="0.25">
      <c r="A324" s="79"/>
      <c r="B324" s="78"/>
      <c r="C324" s="82"/>
      <c r="D324" s="82"/>
      <c r="E324" s="83"/>
      <c r="F324" s="92"/>
      <c r="G324" s="92"/>
      <c r="H324" s="92"/>
      <c r="I324" s="93"/>
      <c r="J324" s="113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spans="1:26" ht="12.75" customHeight="1" x14ac:dyDescent="0.25">
      <c r="A325" s="79"/>
      <c r="B325" s="78"/>
      <c r="C325" s="82"/>
      <c r="D325" s="82"/>
      <c r="E325" s="83"/>
      <c r="F325" s="92"/>
      <c r="G325" s="92"/>
      <c r="H325" s="92"/>
      <c r="I325" s="93"/>
      <c r="J325" s="113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spans="1:26" ht="12.75" customHeight="1" x14ac:dyDescent="0.25">
      <c r="A326" s="79"/>
      <c r="B326" s="78"/>
      <c r="C326" s="82"/>
      <c r="D326" s="82"/>
      <c r="E326" s="83"/>
      <c r="F326" s="92"/>
      <c r="G326" s="92"/>
      <c r="H326" s="92"/>
      <c r="I326" s="93"/>
      <c r="J326" s="113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spans="1:26" ht="12.75" customHeight="1" x14ac:dyDescent="0.25">
      <c r="A327" s="79"/>
      <c r="B327" s="78"/>
      <c r="C327" s="82"/>
      <c r="D327" s="82"/>
      <c r="E327" s="83"/>
      <c r="F327" s="92"/>
      <c r="G327" s="92"/>
      <c r="H327" s="92"/>
      <c r="I327" s="93"/>
      <c r="J327" s="113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spans="1:26" ht="12.75" customHeight="1" x14ac:dyDescent="0.25">
      <c r="A328" s="79"/>
      <c r="B328" s="78"/>
      <c r="C328" s="82"/>
      <c r="D328" s="82"/>
      <c r="E328" s="83"/>
      <c r="F328" s="92"/>
      <c r="G328" s="92"/>
      <c r="H328" s="92"/>
      <c r="I328" s="93"/>
      <c r="J328" s="113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spans="1:26" ht="12.75" customHeight="1" x14ac:dyDescent="0.25">
      <c r="A329" s="79"/>
      <c r="B329" s="78"/>
      <c r="C329" s="82"/>
      <c r="D329" s="82"/>
      <c r="E329" s="83"/>
      <c r="F329" s="92"/>
      <c r="G329" s="92"/>
      <c r="H329" s="92"/>
      <c r="I329" s="93"/>
      <c r="J329" s="113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spans="1:26" ht="12.75" customHeight="1" x14ac:dyDescent="0.25">
      <c r="A330" s="79"/>
      <c r="B330" s="78"/>
      <c r="C330" s="82"/>
      <c r="D330" s="82"/>
      <c r="E330" s="83"/>
      <c r="F330" s="92"/>
      <c r="G330" s="92"/>
      <c r="H330" s="92"/>
      <c r="I330" s="93"/>
      <c r="J330" s="113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spans="1:26" ht="12.75" customHeight="1" x14ac:dyDescent="0.25">
      <c r="A331" s="79"/>
      <c r="B331" s="78"/>
      <c r="C331" s="82"/>
      <c r="D331" s="82"/>
      <c r="E331" s="83"/>
      <c r="F331" s="92"/>
      <c r="G331" s="92"/>
      <c r="H331" s="92"/>
      <c r="I331" s="93"/>
      <c r="J331" s="113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spans="1:26" ht="12.75" customHeight="1" x14ac:dyDescent="0.25">
      <c r="A332" s="79"/>
      <c r="B332" s="78"/>
      <c r="C332" s="82"/>
      <c r="D332" s="82"/>
      <c r="E332" s="83"/>
      <c r="F332" s="92"/>
      <c r="G332" s="92"/>
      <c r="H332" s="92"/>
      <c r="I332" s="93"/>
      <c r="J332" s="113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spans="1:26" ht="12.75" customHeight="1" x14ac:dyDescent="0.25">
      <c r="A333" s="79"/>
      <c r="B333" s="78"/>
      <c r="C333" s="82"/>
      <c r="D333" s="82"/>
      <c r="E333" s="83"/>
      <c r="F333" s="92"/>
      <c r="G333" s="92"/>
      <c r="H333" s="92"/>
      <c r="I333" s="93"/>
      <c r="J333" s="113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spans="1:26" ht="12.75" customHeight="1" x14ac:dyDescent="0.25">
      <c r="A334" s="79"/>
      <c r="B334" s="78"/>
      <c r="C334" s="82"/>
      <c r="D334" s="82"/>
      <c r="E334" s="83"/>
      <c r="F334" s="92"/>
      <c r="G334" s="92"/>
      <c r="H334" s="92"/>
      <c r="I334" s="93"/>
      <c r="J334" s="113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spans="1:26" ht="12.75" customHeight="1" x14ac:dyDescent="0.25">
      <c r="A335" s="79"/>
      <c r="B335" s="78"/>
      <c r="C335" s="82"/>
      <c r="D335" s="82"/>
      <c r="E335" s="83"/>
      <c r="F335" s="92"/>
      <c r="G335" s="92"/>
      <c r="H335" s="92"/>
      <c r="I335" s="93"/>
      <c r="J335" s="113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spans="1:26" ht="12.75" customHeight="1" x14ac:dyDescent="0.25">
      <c r="A336" s="79"/>
      <c r="B336" s="78"/>
      <c r="C336" s="82"/>
      <c r="D336" s="82"/>
      <c r="E336" s="83"/>
      <c r="F336" s="92"/>
      <c r="G336" s="92"/>
      <c r="H336" s="92"/>
      <c r="I336" s="93"/>
      <c r="J336" s="113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spans="1:26" ht="12.75" customHeight="1" x14ac:dyDescent="0.25">
      <c r="A337" s="79"/>
      <c r="B337" s="78"/>
      <c r="C337" s="82"/>
      <c r="D337" s="82"/>
      <c r="E337" s="83"/>
      <c r="F337" s="92"/>
      <c r="G337" s="92"/>
      <c r="H337" s="92"/>
      <c r="I337" s="93"/>
      <c r="J337" s="113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spans="1:26" ht="12.75" customHeight="1" x14ac:dyDescent="0.25">
      <c r="A338" s="79"/>
      <c r="B338" s="78"/>
      <c r="C338" s="82"/>
      <c r="D338" s="82"/>
      <c r="E338" s="83"/>
      <c r="F338" s="92"/>
      <c r="G338" s="92"/>
      <c r="H338" s="92"/>
      <c r="I338" s="93"/>
      <c r="J338" s="113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spans="1:26" ht="12.75" customHeight="1" x14ac:dyDescent="0.25">
      <c r="A339" s="79"/>
      <c r="B339" s="78"/>
      <c r="C339" s="82"/>
      <c r="D339" s="82"/>
      <c r="E339" s="83"/>
      <c r="F339" s="92"/>
      <c r="G339" s="92"/>
      <c r="H339" s="92"/>
      <c r="I339" s="93"/>
      <c r="J339" s="113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spans="1:26" ht="12.75" customHeight="1" x14ac:dyDescent="0.25">
      <c r="A340" s="79"/>
      <c r="B340" s="78"/>
      <c r="C340" s="82"/>
      <c r="D340" s="82"/>
      <c r="E340" s="83"/>
      <c r="F340" s="92"/>
      <c r="G340" s="92"/>
      <c r="H340" s="92"/>
      <c r="I340" s="93"/>
      <c r="J340" s="113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spans="1:26" ht="12.75" customHeight="1" x14ac:dyDescent="0.25">
      <c r="A341" s="79"/>
      <c r="B341" s="78"/>
      <c r="C341" s="82"/>
      <c r="D341" s="82"/>
      <c r="E341" s="83"/>
      <c r="F341" s="92"/>
      <c r="G341" s="92"/>
      <c r="H341" s="92"/>
      <c r="I341" s="93"/>
      <c r="J341" s="113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spans="1:26" ht="12.75" customHeight="1" x14ac:dyDescent="0.25">
      <c r="A342" s="79"/>
      <c r="B342" s="78"/>
      <c r="C342" s="82"/>
      <c r="D342" s="82"/>
      <c r="E342" s="83"/>
      <c r="F342" s="92"/>
      <c r="G342" s="92"/>
      <c r="H342" s="92"/>
      <c r="I342" s="93"/>
      <c r="J342" s="113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spans="1:26" ht="12.75" customHeight="1" x14ac:dyDescent="0.25">
      <c r="A343" s="79"/>
      <c r="B343" s="78"/>
      <c r="C343" s="82"/>
      <c r="D343" s="82"/>
      <c r="E343" s="83"/>
      <c r="F343" s="92"/>
      <c r="G343" s="92"/>
      <c r="H343" s="92"/>
      <c r="I343" s="93"/>
      <c r="J343" s="113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spans="1:26" ht="12.75" customHeight="1" x14ac:dyDescent="0.25">
      <c r="A344" s="79"/>
      <c r="B344" s="78"/>
      <c r="C344" s="82"/>
      <c r="D344" s="82"/>
      <c r="E344" s="83"/>
      <c r="F344" s="92"/>
      <c r="G344" s="92"/>
      <c r="H344" s="92"/>
      <c r="I344" s="93"/>
      <c r="J344" s="113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spans="1:26" ht="12.75" customHeight="1" x14ac:dyDescent="0.25">
      <c r="A345" s="79"/>
      <c r="B345" s="78"/>
      <c r="C345" s="82"/>
      <c r="D345" s="82"/>
      <c r="E345" s="83"/>
      <c r="F345" s="92"/>
      <c r="G345" s="92"/>
      <c r="H345" s="92"/>
      <c r="I345" s="93"/>
      <c r="J345" s="113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spans="1:26" ht="12.75" customHeight="1" x14ac:dyDescent="0.25">
      <c r="A346" s="79"/>
      <c r="B346" s="78"/>
      <c r="C346" s="82"/>
      <c r="D346" s="82"/>
      <c r="E346" s="83"/>
      <c r="F346" s="92"/>
      <c r="G346" s="92"/>
      <c r="H346" s="92"/>
      <c r="I346" s="93"/>
      <c r="J346" s="113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spans="1:26" ht="12.75" customHeight="1" x14ac:dyDescent="0.25">
      <c r="A347" s="79"/>
      <c r="B347" s="78"/>
      <c r="C347" s="82"/>
      <c r="D347" s="82"/>
      <c r="E347" s="83"/>
      <c r="F347" s="92"/>
      <c r="G347" s="92"/>
      <c r="H347" s="92"/>
      <c r="I347" s="93"/>
      <c r="J347" s="113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spans="1:26" ht="12.75" customHeight="1" x14ac:dyDescent="0.25">
      <c r="A348" s="79"/>
      <c r="B348" s="78"/>
      <c r="C348" s="82"/>
      <c r="D348" s="82"/>
      <c r="E348" s="83"/>
      <c r="F348" s="92"/>
      <c r="G348" s="92"/>
      <c r="H348" s="92"/>
      <c r="I348" s="93"/>
      <c r="J348" s="113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spans="1:26" ht="12.75" customHeight="1" x14ac:dyDescent="0.25">
      <c r="A349" s="79"/>
      <c r="B349" s="78"/>
      <c r="C349" s="82"/>
      <c r="D349" s="82"/>
      <c r="E349" s="83"/>
      <c r="F349" s="92"/>
      <c r="G349" s="92"/>
      <c r="H349" s="92"/>
      <c r="I349" s="93"/>
      <c r="J349" s="113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spans="1:26" ht="12.75" customHeight="1" x14ac:dyDescent="0.25">
      <c r="A350" s="79"/>
      <c r="B350" s="78"/>
      <c r="C350" s="82"/>
      <c r="D350" s="82"/>
      <c r="E350" s="83"/>
      <c r="F350" s="92"/>
      <c r="G350" s="92"/>
      <c r="H350" s="92"/>
      <c r="I350" s="93"/>
      <c r="J350" s="113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spans="1:26" ht="12.75" customHeight="1" x14ac:dyDescent="0.25">
      <c r="A351" s="79"/>
      <c r="B351" s="78"/>
      <c r="C351" s="82"/>
      <c r="D351" s="82"/>
      <c r="E351" s="83"/>
      <c r="F351" s="92"/>
      <c r="G351" s="92"/>
      <c r="H351" s="92"/>
      <c r="I351" s="93"/>
      <c r="J351" s="113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spans="1:26" ht="12.75" customHeight="1" x14ac:dyDescent="0.25">
      <c r="A352" s="79"/>
      <c r="B352" s="78"/>
      <c r="C352" s="82"/>
      <c r="D352" s="82"/>
      <c r="E352" s="83"/>
      <c r="F352" s="92"/>
      <c r="G352" s="92"/>
      <c r="H352" s="92"/>
      <c r="I352" s="93"/>
      <c r="J352" s="113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spans="1:26" ht="12.75" customHeight="1" x14ac:dyDescent="0.25">
      <c r="A353" s="79"/>
      <c r="B353" s="78"/>
      <c r="C353" s="82"/>
      <c r="D353" s="82"/>
      <c r="E353" s="83"/>
      <c r="F353" s="92"/>
      <c r="G353" s="92"/>
      <c r="H353" s="92"/>
      <c r="I353" s="93"/>
      <c r="J353" s="113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spans="1:26" ht="12.75" customHeight="1" x14ac:dyDescent="0.25">
      <c r="A354" s="79"/>
      <c r="B354" s="78"/>
      <c r="C354" s="82"/>
      <c r="D354" s="82"/>
      <c r="E354" s="83"/>
      <c r="F354" s="92"/>
      <c r="G354" s="92"/>
      <c r="H354" s="92"/>
      <c r="I354" s="93"/>
      <c r="J354" s="113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spans="1:26" ht="12.75" customHeight="1" x14ac:dyDescent="0.25">
      <c r="A355" s="79"/>
      <c r="B355" s="78"/>
      <c r="C355" s="82"/>
      <c r="D355" s="82"/>
      <c r="E355" s="83"/>
      <c r="F355" s="92"/>
      <c r="G355" s="92"/>
      <c r="H355" s="92"/>
      <c r="I355" s="93"/>
      <c r="J355" s="113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spans="1:26" ht="12.75" customHeight="1" x14ac:dyDescent="0.25">
      <c r="A356" s="79"/>
      <c r="B356" s="78"/>
      <c r="C356" s="82"/>
      <c r="D356" s="82"/>
      <c r="E356" s="83"/>
      <c r="F356" s="92"/>
      <c r="G356" s="92"/>
      <c r="H356" s="92"/>
      <c r="I356" s="93"/>
      <c r="J356" s="113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spans="1:26" ht="12.75" customHeight="1" x14ac:dyDescent="0.25">
      <c r="A357" s="79"/>
      <c r="B357" s="78"/>
      <c r="C357" s="82"/>
      <c r="D357" s="82"/>
      <c r="E357" s="83"/>
      <c r="F357" s="92"/>
      <c r="G357" s="92"/>
      <c r="H357" s="92"/>
      <c r="I357" s="93"/>
      <c r="J357" s="113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spans="1:26" ht="12.75" customHeight="1" x14ac:dyDescent="0.25">
      <c r="A358" s="79"/>
      <c r="B358" s="78"/>
      <c r="C358" s="82"/>
      <c r="D358" s="82"/>
      <c r="E358" s="83"/>
      <c r="F358" s="92"/>
      <c r="G358" s="92"/>
      <c r="H358" s="92"/>
      <c r="I358" s="93"/>
      <c r="J358" s="113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spans="1:26" ht="12.75" customHeight="1" x14ac:dyDescent="0.25">
      <c r="A359" s="79"/>
      <c r="B359" s="78"/>
      <c r="C359" s="82"/>
      <c r="D359" s="82"/>
      <c r="E359" s="83"/>
      <c r="F359" s="92"/>
      <c r="G359" s="92"/>
      <c r="H359" s="92"/>
      <c r="I359" s="93"/>
      <c r="J359" s="113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spans="1:26" ht="12.75" customHeight="1" x14ac:dyDescent="0.25">
      <c r="A360" s="79"/>
      <c r="B360" s="78"/>
      <c r="C360" s="82"/>
      <c r="D360" s="82"/>
      <c r="E360" s="83"/>
      <c r="F360" s="92"/>
      <c r="G360" s="92"/>
      <c r="H360" s="92"/>
      <c r="I360" s="93"/>
      <c r="J360" s="113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spans="1:26" ht="12.75" customHeight="1" x14ac:dyDescent="0.25">
      <c r="A361" s="79"/>
      <c r="B361" s="78"/>
      <c r="C361" s="82"/>
      <c r="D361" s="82"/>
      <c r="E361" s="83"/>
      <c r="F361" s="92"/>
      <c r="G361" s="92"/>
      <c r="H361" s="92"/>
      <c r="I361" s="93"/>
      <c r="J361" s="113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spans="1:26" ht="12.75" customHeight="1" x14ac:dyDescent="0.25">
      <c r="A362" s="79"/>
      <c r="B362" s="78"/>
      <c r="C362" s="82"/>
      <c r="D362" s="82"/>
      <c r="E362" s="83"/>
      <c r="F362" s="92"/>
      <c r="G362" s="92"/>
      <c r="H362" s="92"/>
      <c r="I362" s="93"/>
      <c r="J362" s="113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spans="1:26" ht="12.75" customHeight="1" x14ac:dyDescent="0.25">
      <c r="A363" s="79"/>
      <c r="B363" s="78"/>
      <c r="C363" s="82"/>
      <c r="D363" s="82"/>
      <c r="E363" s="83"/>
      <c r="F363" s="92"/>
      <c r="G363" s="92"/>
      <c r="H363" s="92"/>
      <c r="I363" s="93"/>
      <c r="J363" s="113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spans="1:26" ht="12.75" customHeight="1" x14ac:dyDescent="0.25">
      <c r="A364" s="79"/>
      <c r="B364" s="78"/>
      <c r="C364" s="82"/>
      <c r="D364" s="82"/>
      <c r="E364" s="83"/>
      <c r="F364" s="92"/>
      <c r="G364" s="92"/>
      <c r="H364" s="92"/>
      <c r="I364" s="93"/>
      <c r="J364" s="113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spans="1:26" ht="12.75" customHeight="1" x14ac:dyDescent="0.25">
      <c r="A365" s="79"/>
      <c r="B365" s="78"/>
      <c r="C365" s="82"/>
      <c r="D365" s="82"/>
      <c r="E365" s="83"/>
      <c r="F365" s="92"/>
      <c r="G365" s="92"/>
      <c r="H365" s="92"/>
      <c r="I365" s="93"/>
      <c r="J365" s="113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spans="1:26" ht="12.75" customHeight="1" x14ac:dyDescent="0.25">
      <c r="A366" s="79"/>
      <c r="B366" s="78"/>
      <c r="C366" s="82"/>
      <c r="D366" s="82"/>
      <c r="E366" s="83"/>
      <c r="F366" s="92"/>
      <c r="G366" s="92"/>
      <c r="H366" s="92"/>
      <c r="I366" s="93"/>
      <c r="J366" s="113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spans="1:26" ht="12.75" customHeight="1" x14ac:dyDescent="0.25">
      <c r="A367" s="79"/>
      <c r="B367" s="78"/>
      <c r="C367" s="82"/>
      <c r="D367" s="82"/>
      <c r="E367" s="83"/>
      <c r="F367" s="92"/>
      <c r="G367" s="92"/>
      <c r="H367" s="92"/>
      <c r="I367" s="93"/>
      <c r="J367" s="113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spans="1:26" ht="12.75" customHeight="1" x14ac:dyDescent="0.25">
      <c r="A368" s="79"/>
      <c r="B368" s="78"/>
      <c r="C368" s="82"/>
      <c r="D368" s="82"/>
      <c r="E368" s="83"/>
      <c r="F368" s="92"/>
      <c r="G368" s="92"/>
      <c r="H368" s="92"/>
      <c r="I368" s="93"/>
      <c r="J368" s="113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spans="1:26" ht="12.75" customHeight="1" x14ac:dyDescent="0.25">
      <c r="A369" s="79"/>
      <c r="B369" s="78"/>
      <c r="C369" s="82"/>
      <c r="D369" s="82"/>
      <c r="E369" s="83"/>
      <c r="F369" s="92"/>
      <c r="G369" s="92"/>
      <c r="H369" s="92"/>
      <c r="I369" s="93"/>
      <c r="J369" s="113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spans="1:26" ht="12.75" customHeight="1" x14ac:dyDescent="0.25">
      <c r="A370" s="79"/>
      <c r="B370" s="78"/>
      <c r="C370" s="82"/>
      <c r="D370" s="82"/>
      <c r="E370" s="83"/>
      <c r="F370" s="92"/>
      <c r="G370" s="92"/>
      <c r="H370" s="92"/>
      <c r="I370" s="93"/>
      <c r="J370" s="113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spans="1:26" ht="12.75" customHeight="1" x14ac:dyDescent="0.25">
      <c r="A371" s="79"/>
      <c r="B371" s="78"/>
      <c r="C371" s="82"/>
      <c r="D371" s="82"/>
      <c r="E371" s="83"/>
      <c r="F371" s="92"/>
      <c r="G371" s="92"/>
      <c r="H371" s="92"/>
      <c r="I371" s="93"/>
      <c r="J371" s="113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spans="1:26" ht="12.75" customHeight="1" x14ac:dyDescent="0.25">
      <c r="A372" s="79"/>
      <c r="B372" s="78"/>
      <c r="C372" s="82"/>
      <c r="D372" s="82"/>
      <c r="E372" s="83"/>
      <c r="F372" s="92"/>
      <c r="G372" s="92"/>
      <c r="H372" s="92"/>
      <c r="I372" s="93"/>
      <c r="J372" s="113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spans="1:26" ht="12.75" customHeight="1" x14ac:dyDescent="0.25">
      <c r="A373" s="79"/>
      <c r="B373" s="78"/>
      <c r="C373" s="82"/>
      <c r="D373" s="82"/>
      <c r="E373" s="83"/>
      <c r="F373" s="92"/>
      <c r="G373" s="92"/>
      <c r="H373" s="92"/>
      <c r="I373" s="93"/>
      <c r="J373" s="113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spans="1:26" ht="12.75" customHeight="1" x14ac:dyDescent="0.25">
      <c r="A374" s="79"/>
      <c r="B374" s="78"/>
      <c r="C374" s="82"/>
      <c r="D374" s="82"/>
      <c r="E374" s="83"/>
      <c r="F374" s="92"/>
      <c r="G374" s="92"/>
      <c r="H374" s="92"/>
      <c r="I374" s="93"/>
      <c r="J374" s="113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spans="1:26" ht="12.75" customHeight="1" x14ac:dyDescent="0.25">
      <c r="A375" s="79"/>
      <c r="B375" s="78"/>
      <c r="C375" s="82"/>
      <c r="D375" s="82"/>
      <c r="E375" s="83"/>
      <c r="F375" s="92"/>
      <c r="G375" s="92"/>
      <c r="H375" s="92"/>
      <c r="I375" s="93"/>
      <c r="J375" s="113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spans="1:26" ht="12.75" customHeight="1" x14ac:dyDescent="0.25">
      <c r="A376" s="79"/>
      <c r="B376" s="78"/>
      <c r="C376" s="82"/>
      <c r="D376" s="82"/>
      <c r="E376" s="83"/>
      <c r="F376" s="92"/>
      <c r="G376" s="92"/>
      <c r="H376" s="92"/>
      <c r="I376" s="93"/>
      <c r="J376" s="113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spans="1:26" ht="12.75" customHeight="1" x14ac:dyDescent="0.25">
      <c r="A377" s="79"/>
      <c r="B377" s="78"/>
      <c r="C377" s="82"/>
      <c r="D377" s="82"/>
      <c r="E377" s="83"/>
      <c r="F377" s="92"/>
      <c r="G377" s="92"/>
      <c r="H377" s="92"/>
      <c r="I377" s="93"/>
      <c r="J377" s="113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spans="1:26" ht="12.75" customHeight="1" x14ac:dyDescent="0.25">
      <c r="A378" s="79"/>
      <c r="B378" s="78"/>
      <c r="C378" s="82"/>
      <c r="D378" s="82"/>
      <c r="E378" s="83"/>
      <c r="F378" s="92"/>
      <c r="G378" s="92"/>
      <c r="H378" s="92"/>
      <c r="I378" s="93"/>
      <c r="J378" s="113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spans="1:26" ht="12.75" customHeight="1" x14ac:dyDescent="0.25">
      <c r="A379" s="79"/>
      <c r="B379" s="78"/>
      <c r="C379" s="82"/>
      <c r="D379" s="82"/>
      <c r="E379" s="83"/>
      <c r="F379" s="92"/>
      <c r="G379" s="92"/>
      <c r="H379" s="92"/>
      <c r="I379" s="93"/>
      <c r="J379" s="113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spans="1:26" ht="12.75" customHeight="1" x14ac:dyDescent="0.25">
      <c r="A380" s="79"/>
      <c r="B380" s="78"/>
      <c r="C380" s="82"/>
      <c r="D380" s="82"/>
      <c r="E380" s="83"/>
      <c r="F380" s="92"/>
      <c r="G380" s="92"/>
      <c r="H380" s="92"/>
      <c r="I380" s="93"/>
      <c r="J380" s="113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spans="1:26" ht="12.75" customHeight="1" x14ac:dyDescent="0.25">
      <c r="A381" s="79"/>
      <c r="B381" s="78"/>
      <c r="C381" s="82"/>
      <c r="D381" s="82"/>
      <c r="E381" s="83"/>
      <c r="F381" s="92"/>
      <c r="G381" s="92"/>
      <c r="H381" s="92"/>
      <c r="I381" s="93"/>
      <c r="J381" s="113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spans="1:26" ht="12.75" customHeight="1" x14ac:dyDescent="0.25">
      <c r="A382" s="79"/>
      <c r="B382" s="78"/>
      <c r="C382" s="82"/>
      <c r="D382" s="82"/>
      <c r="E382" s="83"/>
      <c r="F382" s="92"/>
      <c r="G382" s="92"/>
      <c r="H382" s="92"/>
      <c r="I382" s="93"/>
      <c r="J382" s="113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spans="1:26" ht="12.75" customHeight="1" x14ac:dyDescent="0.25">
      <c r="A383" s="79"/>
      <c r="B383" s="78"/>
      <c r="C383" s="82"/>
      <c r="D383" s="82"/>
      <c r="E383" s="83"/>
      <c r="F383" s="92"/>
      <c r="G383" s="92"/>
      <c r="H383" s="92"/>
      <c r="I383" s="93"/>
      <c r="J383" s="113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spans="1:26" ht="12.75" customHeight="1" x14ac:dyDescent="0.25">
      <c r="A384" s="79"/>
      <c r="B384" s="78"/>
      <c r="C384" s="82"/>
      <c r="D384" s="82"/>
      <c r="E384" s="83"/>
      <c r="F384" s="92"/>
      <c r="G384" s="92"/>
      <c r="H384" s="92"/>
      <c r="I384" s="93"/>
      <c r="J384" s="113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spans="1:26" ht="12.75" customHeight="1" x14ac:dyDescent="0.25">
      <c r="A385" s="79"/>
      <c r="B385" s="78"/>
      <c r="C385" s="82"/>
      <c r="D385" s="82"/>
      <c r="E385" s="83"/>
      <c r="F385" s="92"/>
      <c r="G385" s="92"/>
      <c r="H385" s="92"/>
      <c r="I385" s="93"/>
      <c r="J385" s="113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spans="1:26" ht="12.75" customHeight="1" x14ac:dyDescent="0.25">
      <c r="A386" s="79"/>
      <c r="B386" s="78"/>
      <c r="C386" s="82"/>
      <c r="D386" s="82"/>
      <c r="E386" s="83"/>
      <c r="F386" s="92"/>
      <c r="G386" s="92"/>
      <c r="H386" s="92"/>
      <c r="I386" s="93"/>
      <c r="J386" s="113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spans="1:26" ht="12.75" customHeight="1" x14ac:dyDescent="0.25">
      <c r="A387" s="79"/>
      <c r="B387" s="78"/>
      <c r="C387" s="82"/>
      <c r="D387" s="82"/>
      <c r="E387" s="83"/>
      <c r="F387" s="92"/>
      <c r="G387" s="92"/>
      <c r="H387" s="92"/>
      <c r="I387" s="93"/>
      <c r="J387" s="113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spans="1:26" ht="12.75" customHeight="1" x14ac:dyDescent="0.25">
      <c r="A388" s="79"/>
      <c r="B388" s="78"/>
      <c r="C388" s="82"/>
      <c r="D388" s="82"/>
      <c r="E388" s="83"/>
      <c r="F388" s="92"/>
      <c r="G388" s="92"/>
      <c r="H388" s="92"/>
      <c r="I388" s="93"/>
      <c r="J388" s="113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spans="1:26" ht="12.75" customHeight="1" x14ac:dyDescent="0.25">
      <c r="A389" s="79"/>
      <c r="B389" s="78"/>
      <c r="C389" s="82"/>
      <c r="D389" s="82"/>
      <c r="E389" s="83"/>
      <c r="F389" s="92"/>
      <c r="G389" s="92"/>
      <c r="H389" s="92"/>
      <c r="I389" s="93"/>
      <c r="J389" s="113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spans="1:26" ht="12.75" customHeight="1" x14ac:dyDescent="0.25">
      <c r="A390" s="79"/>
      <c r="B390" s="78"/>
      <c r="C390" s="82"/>
      <c r="D390" s="82"/>
      <c r="E390" s="83"/>
      <c r="F390" s="92"/>
      <c r="G390" s="92"/>
      <c r="H390" s="92"/>
      <c r="I390" s="93"/>
      <c r="J390" s="113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spans="1:26" ht="12.75" customHeight="1" x14ac:dyDescent="0.25">
      <c r="A391" s="79"/>
      <c r="B391" s="78"/>
      <c r="C391" s="82"/>
      <c r="D391" s="82"/>
      <c r="E391" s="83"/>
      <c r="F391" s="92"/>
      <c r="G391" s="92"/>
      <c r="H391" s="92"/>
      <c r="I391" s="93"/>
      <c r="J391" s="113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spans="1:26" ht="12.75" customHeight="1" x14ac:dyDescent="0.25">
      <c r="A392" s="79"/>
      <c r="B392" s="78"/>
      <c r="C392" s="82"/>
      <c r="D392" s="82"/>
      <c r="E392" s="83"/>
      <c r="F392" s="92"/>
      <c r="G392" s="92"/>
      <c r="H392" s="92"/>
      <c r="I392" s="93"/>
      <c r="J392" s="113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spans="1:26" ht="12.75" customHeight="1" x14ac:dyDescent="0.25">
      <c r="A393" s="79"/>
      <c r="B393" s="78"/>
      <c r="C393" s="82"/>
      <c r="D393" s="82"/>
      <c r="E393" s="83"/>
      <c r="F393" s="92"/>
      <c r="G393" s="92"/>
      <c r="H393" s="92"/>
      <c r="I393" s="93"/>
      <c r="J393" s="113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spans="1:26" ht="12.75" customHeight="1" x14ac:dyDescent="0.25">
      <c r="A394" s="79"/>
      <c r="B394" s="78"/>
      <c r="C394" s="82"/>
      <c r="D394" s="82"/>
      <c r="E394" s="83"/>
      <c r="F394" s="92"/>
      <c r="G394" s="92"/>
      <c r="H394" s="92"/>
      <c r="I394" s="93"/>
      <c r="J394" s="113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spans="1:26" ht="12.75" customHeight="1" x14ac:dyDescent="0.25">
      <c r="A395" s="79"/>
      <c r="B395" s="78"/>
      <c r="C395" s="82"/>
      <c r="D395" s="82"/>
      <c r="E395" s="83"/>
      <c r="F395" s="92"/>
      <c r="G395" s="92"/>
      <c r="H395" s="92"/>
      <c r="I395" s="93"/>
      <c r="J395" s="113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spans="1:26" ht="12.75" customHeight="1" x14ac:dyDescent="0.25">
      <c r="A396" s="79"/>
      <c r="B396" s="78"/>
      <c r="C396" s="82"/>
      <c r="D396" s="82"/>
      <c r="E396" s="83"/>
      <c r="F396" s="92"/>
      <c r="G396" s="92"/>
      <c r="H396" s="92"/>
      <c r="I396" s="93"/>
      <c r="J396" s="113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spans="1:26" ht="12.75" customHeight="1" x14ac:dyDescent="0.25">
      <c r="A397" s="79"/>
      <c r="B397" s="78"/>
      <c r="C397" s="82"/>
      <c r="D397" s="82"/>
      <c r="E397" s="83"/>
      <c r="F397" s="92"/>
      <c r="G397" s="92"/>
      <c r="H397" s="92"/>
      <c r="I397" s="93"/>
      <c r="J397" s="113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spans="1:26" ht="12.75" customHeight="1" x14ac:dyDescent="0.25">
      <c r="A398" s="79"/>
      <c r="B398" s="78"/>
      <c r="C398" s="82"/>
      <c r="D398" s="82"/>
      <c r="E398" s="83"/>
      <c r="F398" s="92"/>
      <c r="G398" s="92"/>
      <c r="H398" s="92"/>
      <c r="I398" s="93"/>
      <c r="J398" s="113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spans="1:26" ht="12.75" customHeight="1" x14ac:dyDescent="0.25">
      <c r="A399" s="79"/>
      <c r="B399" s="78"/>
      <c r="C399" s="82"/>
      <c r="D399" s="82"/>
      <c r="E399" s="83"/>
      <c r="F399" s="92"/>
      <c r="G399" s="92"/>
      <c r="H399" s="92"/>
      <c r="I399" s="93"/>
      <c r="J399" s="113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spans="1:26" ht="12.75" customHeight="1" x14ac:dyDescent="0.25">
      <c r="A400" s="79"/>
      <c r="B400" s="78"/>
      <c r="C400" s="82"/>
      <c r="D400" s="82"/>
      <c r="E400" s="83"/>
      <c r="F400" s="92"/>
      <c r="G400" s="92"/>
      <c r="H400" s="92"/>
      <c r="I400" s="93"/>
      <c r="J400" s="113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spans="1:26" ht="12.75" customHeight="1" x14ac:dyDescent="0.25">
      <c r="A401" s="79"/>
      <c r="B401" s="78"/>
      <c r="C401" s="82"/>
      <c r="D401" s="82"/>
      <c r="E401" s="83"/>
      <c r="F401" s="92"/>
      <c r="G401" s="92"/>
      <c r="H401" s="92"/>
      <c r="I401" s="93"/>
      <c r="J401" s="113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spans="1:26" ht="12.75" customHeight="1" x14ac:dyDescent="0.25">
      <c r="A402" s="79"/>
      <c r="B402" s="78"/>
      <c r="C402" s="82"/>
      <c r="D402" s="82"/>
      <c r="E402" s="83"/>
      <c r="F402" s="92"/>
      <c r="G402" s="92"/>
      <c r="H402" s="92"/>
      <c r="I402" s="93"/>
      <c r="J402" s="113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spans="1:26" ht="12.75" customHeight="1" x14ac:dyDescent="0.25">
      <c r="A403" s="79"/>
      <c r="B403" s="78"/>
      <c r="C403" s="82"/>
      <c r="D403" s="82"/>
      <c r="E403" s="83"/>
      <c r="F403" s="92"/>
      <c r="G403" s="92"/>
      <c r="H403" s="92"/>
      <c r="I403" s="93"/>
      <c r="J403" s="113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spans="1:26" ht="12.75" customHeight="1" x14ac:dyDescent="0.25">
      <c r="A404" s="79"/>
      <c r="B404" s="78"/>
      <c r="C404" s="82"/>
      <c r="D404" s="82"/>
      <c r="E404" s="83"/>
      <c r="F404" s="92"/>
      <c r="G404" s="92"/>
      <c r="H404" s="92"/>
      <c r="I404" s="93"/>
      <c r="J404" s="113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spans="1:26" ht="12.75" customHeight="1" x14ac:dyDescent="0.25">
      <c r="A405" s="79"/>
      <c r="B405" s="78"/>
      <c r="C405" s="82"/>
      <c r="D405" s="82"/>
      <c r="E405" s="83"/>
      <c r="F405" s="92"/>
      <c r="G405" s="92"/>
      <c r="H405" s="92"/>
      <c r="I405" s="93"/>
      <c r="J405" s="113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spans="1:26" ht="12.75" customHeight="1" x14ac:dyDescent="0.25">
      <c r="A406" s="79"/>
      <c r="B406" s="78"/>
      <c r="C406" s="82"/>
      <c r="D406" s="82"/>
      <c r="E406" s="83"/>
      <c r="F406" s="92"/>
      <c r="G406" s="92"/>
      <c r="H406" s="92"/>
      <c r="I406" s="93"/>
      <c r="J406" s="113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spans="1:26" ht="12.75" customHeight="1" x14ac:dyDescent="0.25">
      <c r="A407" s="79"/>
      <c r="B407" s="78"/>
      <c r="C407" s="82"/>
      <c r="D407" s="82"/>
      <c r="E407" s="83"/>
      <c r="F407" s="92"/>
      <c r="G407" s="92"/>
      <c r="H407" s="92"/>
      <c r="I407" s="93"/>
      <c r="J407" s="113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spans="1:26" ht="12.75" customHeight="1" x14ac:dyDescent="0.25">
      <c r="A408" s="79"/>
      <c r="B408" s="78"/>
      <c r="C408" s="82"/>
      <c r="D408" s="82"/>
      <c r="E408" s="83"/>
      <c r="F408" s="92"/>
      <c r="G408" s="92"/>
      <c r="H408" s="92"/>
      <c r="I408" s="93"/>
      <c r="J408" s="113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spans="1:26" ht="12.75" customHeight="1" x14ac:dyDescent="0.25">
      <c r="A409" s="79"/>
      <c r="B409" s="78"/>
      <c r="C409" s="82"/>
      <c r="D409" s="82"/>
      <c r="E409" s="83"/>
      <c r="F409" s="92"/>
      <c r="G409" s="92"/>
      <c r="H409" s="92"/>
      <c r="I409" s="93"/>
      <c r="J409" s="113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spans="1:26" ht="12.75" customHeight="1" x14ac:dyDescent="0.25">
      <c r="A410" s="79"/>
      <c r="B410" s="78"/>
      <c r="C410" s="82"/>
      <c r="D410" s="82"/>
      <c r="E410" s="83"/>
      <c r="F410" s="92"/>
      <c r="G410" s="92"/>
      <c r="H410" s="92"/>
      <c r="I410" s="93"/>
      <c r="J410" s="113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spans="1:26" ht="12.75" customHeight="1" x14ac:dyDescent="0.25">
      <c r="A411" s="79"/>
      <c r="B411" s="78"/>
      <c r="C411" s="82"/>
      <c r="D411" s="82"/>
      <c r="E411" s="83"/>
      <c r="F411" s="92"/>
      <c r="G411" s="92"/>
      <c r="H411" s="92"/>
      <c r="I411" s="93"/>
      <c r="J411" s="113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spans="1:26" ht="12.75" customHeight="1" x14ac:dyDescent="0.25">
      <c r="A412" s="79"/>
      <c r="B412" s="78"/>
      <c r="C412" s="82"/>
      <c r="D412" s="82"/>
      <c r="E412" s="83"/>
      <c r="F412" s="92"/>
      <c r="G412" s="92"/>
      <c r="H412" s="92"/>
      <c r="I412" s="93"/>
      <c r="J412" s="113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spans="1:26" ht="12.75" customHeight="1" x14ac:dyDescent="0.25">
      <c r="A413" s="79"/>
      <c r="B413" s="78"/>
      <c r="C413" s="82"/>
      <c r="D413" s="82"/>
      <c r="E413" s="83"/>
      <c r="F413" s="92"/>
      <c r="G413" s="92"/>
      <c r="H413" s="92"/>
      <c r="I413" s="93"/>
      <c r="J413" s="113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spans="1:26" ht="12.75" customHeight="1" x14ac:dyDescent="0.25">
      <c r="A414" s="79"/>
      <c r="B414" s="78"/>
      <c r="C414" s="82"/>
      <c r="D414" s="82"/>
      <c r="E414" s="83"/>
      <c r="F414" s="92"/>
      <c r="G414" s="92"/>
      <c r="H414" s="92"/>
      <c r="I414" s="93"/>
      <c r="J414" s="113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spans="1:26" ht="12.75" customHeight="1" x14ac:dyDescent="0.25">
      <c r="A415" s="79"/>
      <c r="B415" s="78"/>
      <c r="C415" s="82"/>
      <c r="D415" s="82"/>
      <c r="E415" s="83"/>
      <c r="F415" s="92"/>
      <c r="G415" s="92"/>
      <c r="H415" s="92"/>
      <c r="I415" s="93"/>
      <c r="J415" s="113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spans="1:26" ht="12.75" customHeight="1" x14ac:dyDescent="0.25">
      <c r="A416" s="79"/>
      <c r="B416" s="78"/>
      <c r="C416" s="82"/>
      <c r="D416" s="82"/>
      <c r="E416" s="83"/>
      <c r="F416" s="92"/>
      <c r="G416" s="92"/>
      <c r="H416" s="92"/>
      <c r="I416" s="93"/>
      <c r="J416" s="113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spans="1:26" ht="12.75" customHeight="1" x14ac:dyDescent="0.25">
      <c r="A417" s="79"/>
      <c r="B417" s="78"/>
      <c r="C417" s="82"/>
      <c r="D417" s="82"/>
      <c r="E417" s="83"/>
      <c r="F417" s="92"/>
      <c r="G417" s="92"/>
      <c r="H417" s="92"/>
      <c r="I417" s="93"/>
      <c r="J417" s="113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spans="1:26" ht="12.75" customHeight="1" x14ac:dyDescent="0.25">
      <c r="A418" s="79"/>
      <c r="B418" s="78"/>
      <c r="C418" s="82"/>
      <c r="D418" s="82"/>
      <c r="E418" s="83"/>
      <c r="F418" s="92"/>
      <c r="G418" s="92"/>
      <c r="H418" s="92"/>
      <c r="I418" s="93"/>
      <c r="J418" s="113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spans="1:26" ht="12.75" customHeight="1" x14ac:dyDescent="0.25">
      <c r="A419" s="79"/>
      <c r="B419" s="78"/>
      <c r="C419" s="82"/>
      <c r="D419" s="82"/>
      <c r="E419" s="83"/>
      <c r="F419" s="92"/>
      <c r="G419" s="92"/>
      <c r="H419" s="92"/>
      <c r="I419" s="93"/>
      <c r="J419" s="113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spans="1:26" ht="12.75" customHeight="1" x14ac:dyDescent="0.25">
      <c r="A420" s="79"/>
      <c r="B420" s="78"/>
      <c r="C420" s="82"/>
      <c r="D420" s="82"/>
      <c r="E420" s="83"/>
      <c r="F420" s="92"/>
      <c r="G420" s="92"/>
      <c r="H420" s="92"/>
      <c r="I420" s="93"/>
      <c r="J420" s="113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spans="1:26" ht="12.75" customHeight="1" x14ac:dyDescent="0.25">
      <c r="A421" s="79"/>
      <c r="B421" s="78"/>
      <c r="C421" s="82"/>
      <c r="D421" s="82"/>
      <c r="E421" s="83"/>
      <c r="F421" s="92"/>
      <c r="G421" s="92"/>
      <c r="H421" s="92"/>
      <c r="I421" s="93"/>
      <c r="J421" s="113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spans="1:26" ht="12.75" customHeight="1" x14ac:dyDescent="0.25">
      <c r="A422" s="79"/>
      <c r="B422" s="78"/>
      <c r="C422" s="82"/>
      <c r="D422" s="82"/>
      <c r="E422" s="83"/>
      <c r="F422" s="92"/>
      <c r="G422" s="92"/>
      <c r="H422" s="92"/>
      <c r="I422" s="93"/>
      <c r="J422" s="113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spans="1:26" ht="12.75" customHeight="1" x14ac:dyDescent="0.25">
      <c r="A423" s="79"/>
      <c r="B423" s="78"/>
      <c r="C423" s="82"/>
      <c r="D423" s="82"/>
      <c r="E423" s="83"/>
      <c r="F423" s="92"/>
      <c r="G423" s="92"/>
      <c r="H423" s="92"/>
      <c r="I423" s="93"/>
      <c r="J423" s="113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spans="1:26" ht="12.75" customHeight="1" x14ac:dyDescent="0.25">
      <c r="A424" s="79"/>
      <c r="B424" s="78"/>
      <c r="C424" s="82"/>
      <c r="D424" s="82"/>
      <c r="E424" s="83"/>
      <c r="F424" s="92"/>
      <c r="G424" s="92"/>
      <c r="H424" s="92"/>
      <c r="I424" s="93"/>
      <c r="J424" s="113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spans="1:26" ht="12.75" customHeight="1" x14ac:dyDescent="0.25">
      <c r="A425" s="79"/>
      <c r="B425" s="78"/>
      <c r="C425" s="82"/>
      <c r="D425" s="82"/>
      <c r="E425" s="83"/>
      <c r="F425" s="92"/>
      <c r="G425" s="92"/>
      <c r="H425" s="92"/>
      <c r="I425" s="93"/>
      <c r="J425" s="113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spans="1:26" ht="12.75" customHeight="1" x14ac:dyDescent="0.25">
      <c r="A426" s="79"/>
      <c r="B426" s="78"/>
      <c r="C426" s="82"/>
      <c r="D426" s="82"/>
      <c r="E426" s="83"/>
      <c r="F426" s="92"/>
      <c r="G426" s="92"/>
      <c r="H426" s="92"/>
      <c r="I426" s="93"/>
      <c r="J426" s="113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spans="1:26" ht="12.75" customHeight="1" x14ac:dyDescent="0.25">
      <c r="A427" s="79"/>
      <c r="B427" s="78"/>
      <c r="C427" s="82"/>
      <c r="D427" s="82"/>
      <c r="E427" s="83"/>
      <c r="F427" s="92"/>
      <c r="G427" s="92"/>
      <c r="H427" s="92"/>
      <c r="I427" s="93"/>
      <c r="J427" s="113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spans="1:26" ht="12.75" customHeight="1" x14ac:dyDescent="0.25">
      <c r="A428" s="79"/>
      <c r="B428" s="78"/>
      <c r="C428" s="82"/>
      <c r="D428" s="82"/>
      <c r="E428" s="83"/>
      <c r="F428" s="92"/>
      <c r="G428" s="92"/>
      <c r="H428" s="92"/>
      <c r="I428" s="93"/>
      <c r="J428" s="113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spans="1:26" ht="12.75" customHeight="1" x14ac:dyDescent="0.25">
      <c r="A429" s="79"/>
      <c r="B429" s="78"/>
      <c r="C429" s="82"/>
      <c r="D429" s="82"/>
      <c r="E429" s="83"/>
      <c r="F429" s="92"/>
      <c r="G429" s="92"/>
      <c r="H429" s="92"/>
      <c r="I429" s="93"/>
      <c r="J429" s="113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spans="1:26" ht="12.75" customHeight="1" x14ac:dyDescent="0.25">
      <c r="A430" s="79"/>
      <c r="B430" s="78"/>
      <c r="C430" s="82"/>
      <c r="D430" s="82"/>
      <c r="E430" s="83"/>
      <c r="F430" s="92"/>
      <c r="G430" s="92"/>
      <c r="H430" s="92"/>
      <c r="I430" s="93"/>
      <c r="J430" s="113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spans="1:26" ht="12.75" customHeight="1" x14ac:dyDescent="0.25">
      <c r="A431" s="79"/>
      <c r="B431" s="78"/>
      <c r="C431" s="82"/>
      <c r="D431" s="82"/>
      <c r="E431" s="83"/>
      <c r="F431" s="92"/>
      <c r="G431" s="92"/>
      <c r="H431" s="92"/>
      <c r="I431" s="93"/>
      <c r="J431" s="113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spans="1:26" ht="12.75" customHeight="1" x14ac:dyDescent="0.25">
      <c r="A432" s="79"/>
      <c r="B432" s="78"/>
      <c r="C432" s="82"/>
      <c r="D432" s="82"/>
      <c r="E432" s="83"/>
      <c r="F432" s="92"/>
      <c r="G432" s="92"/>
      <c r="H432" s="92"/>
      <c r="I432" s="93"/>
      <c r="J432" s="113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spans="1:26" ht="12.75" customHeight="1" x14ac:dyDescent="0.25">
      <c r="A433" s="79"/>
      <c r="B433" s="78"/>
      <c r="C433" s="82"/>
      <c r="D433" s="82"/>
      <c r="E433" s="83"/>
      <c r="F433" s="92"/>
      <c r="G433" s="92"/>
      <c r="H433" s="92"/>
      <c r="I433" s="93"/>
      <c r="J433" s="113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spans="1:26" ht="12.75" customHeight="1" x14ac:dyDescent="0.25">
      <c r="A434" s="79"/>
      <c r="B434" s="78"/>
      <c r="C434" s="82"/>
      <c r="D434" s="82"/>
      <c r="E434" s="83"/>
      <c r="F434" s="92"/>
      <c r="G434" s="92"/>
      <c r="H434" s="92"/>
      <c r="I434" s="93"/>
      <c r="J434" s="113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spans="1:26" ht="12.75" customHeight="1" x14ac:dyDescent="0.25">
      <c r="A435" s="79"/>
      <c r="B435" s="78"/>
      <c r="C435" s="82"/>
      <c r="D435" s="82"/>
      <c r="E435" s="83"/>
      <c r="F435" s="92"/>
      <c r="G435" s="92"/>
      <c r="H435" s="92"/>
      <c r="I435" s="93"/>
      <c r="J435" s="113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spans="1:26" ht="12.75" customHeight="1" x14ac:dyDescent="0.25">
      <c r="A436" s="79"/>
      <c r="B436" s="78"/>
      <c r="C436" s="82"/>
      <c r="D436" s="82"/>
      <c r="E436" s="83"/>
      <c r="F436" s="92"/>
      <c r="G436" s="92"/>
      <c r="H436" s="92"/>
      <c r="I436" s="93"/>
      <c r="J436" s="113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spans="1:26" ht="12.75" customHeight="1" x14ac:dyDescent="0.25">
      <c r="A437" s="79"/>
      <c r="B437" s="78"/>
      <c r="C437" s="82"/>
      <c r="D437" s="82"/>
      <c r="E437" s="83"/>
      <c r="F437" s="92"/>
      <c r="G437" s="92"/>
      <c r="H437" s="92"/>
      <c r="I437" s="93"/>
      <c r="J437" s="113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spans="1:26" ht="12.75" customHeight="1" x14ac:dyDescent="0.25">
      <c r="A438" s="79"/>
      <c r="B438" s="78"/>
      <c r="C438" s="82"/>
      <c r="D438" s="82"/>
      <c r="E438" s="83"/>
      <c r="F438" s="92"/>
      <c r="G438" s="92"/>
      <c r="H438" s="92"/>
      <c r="I438" s="93"/>
      <c r="J438" s="113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spans="1:26" ht="12.75" customHeight="1" x14ac:dyDescent="0.25">
      <c r="A439" s="79"/>
      <c r="B439" s="78"/>
      <c r="C439" s="82"/>
      <c r="D439" s="82"/>
      <c r="E439" s="83"/>
      <c r="F439" s="92"/>
      <c r="G439" s="92"/>
      <c r="H439" s="92"/>
      <c r="I439" s="93"/>
      <c r="J439" s="113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spans="1:26" ht="12.75" customHeight="1" x14ac:dyDescent="0.25">
      <c r="A440" s="79"/>
      <c r="B440" s="78"/>
      <c r="C440" s="82"/>
      <c r="D440" s="82"/>
      <c r="E440" s="83"/>
      <c r="F440" s="92"/>
      <c r="G440" s="92"/>
      <c r="H440" s="92"/>
      <c r="I440" s="93"/>
      <c r="J440" s="113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spans="1:26" ht="12.75" customHeight="1" x14ac:dyDescent="0.25">
      <c r="A441" s="79"/>
      <c r="B441" s="78"/>
      <c r="C441" s="82"/>
      <c r="D441" s="82"/>
      <c r="E441" s="83"/>
      <c r="F441" s="92"/>
      <c r="G441" s="92"/>
      <c r="H441" s="92"/>
      <c r="I441" s="93"/>
      <c r="J441" s="113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spans="1:26" ht="12.75" customHeight="1" x14ac:dyDescent="0.25">
      <c r="A442" s="79"/>
      <c r="B442" s="78"/>
      <c r="C442" s="82"/>
      <c r="D442" s="82"/>
      <c r="E442" s="83"/>
      <c r="F442" s="92"/>
      <c r="G442" s="92"/>
      <c r="H442" s="92"/>
      <c r="I442" s="93"/>
      <c r="J442" s="113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spans="1:26" ht="12.75" customHeight="1" x14ac:dyDescent="0.25">
      <c r="A443" s="79"/>
      <c r="B443" s="78"/>
      <c r="C443" s="82"/>
      <c r="D443" s="82"/>
      <c r="E443" s="83"/>
      <c r="F443" s="92"/>
      <c r="G443" s="92"/>
      <c r="H443" s="92"/>
      <c r="I443" s="93"/>
      <c r="J443" s="113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spans="1:26" ht="12.75" customHeight="1" x14ac:dyDescent="0.25">
      <c r="A444" s="79"/>
      <c r="B444" s="78"/>
      <c r="C444" s="82"/>
      <c r="D444" s="82"/>
      <c r="E444" s="83"/>
      <c r="F444" s="92"/>
      <c r="G444" s="92"/>
      <c r="H444" s="92"/>
      <c r="I444" s="93"/>
      <c r="J444" s="113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spans="1:26" ht="12.75" customHeight="1" x14ac:dyDescent="0.25">
      <c r="A445" s="79"/>
      <c r="B445" s="78"/>
      <c r="C445" s="82"/>
      <c r="D445" s="82"/>
      <c r="E445" s="83"/>
      <c r="F445" s="92"/>
      <c r="G445" s="92"/>
      <c r="H445" s="92"/>
      <c r="I445" s="93"/>
      <c r="J445" s="113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spans="1:26" ht="12.75" customHeight="1" x14ac:dyDescent="0.25">
      <c r="A446" s="79"/>
      <c r="B446" s="78"/>
      <c r="C446" s="82"/>
      <c r="D446" s="82"/>
      <c r="E446" s="83"/>
      <c r="F446" s="92"/>
      <c r="G446" s="92"/>
      <c r="H446" s="92"/>
      <c r="I446" s="93"/>
      <c r="J446" s="113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spans="1:26" ht="12.75" customHeight="1" x14ac:dyDescent="0.25">
      <c r="A447" s="79"/>
      <c r="B447" s="78"/>
      <c r="C447" s="82"/>
      <c r="D447" s="82"/>
      <c r="E447" s="83"/>
      <c r="F447" s="92"/>
      <c r="G447" s="92"/>
      <c r="H447" s="92"/>
      <c r="I447" s="93"/>
      <c r="J447" s="113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spans="1:26" ht="12.75" customHeight="1" x14ac:dyDescent="0.25">
      <c r="A448" s="79"/>
      <c r="B448" s="78"/>
      <c r="C448" s="82"/>
      <c r="D448" s="82"/>
      <c r="E448" s="83"/>
      <c r="F448" s="92"/>
      <c r="G448" s="92"/>
      <c r="H448" s="92"/>
      <c r="I448" s="93"/>
      <c r="J448" s="113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spans="1:26" ht="12.75" customHeight="1" x14ac:dyDescent="0.25">
      <c r="A449" s="79"/>
      <c r="B449" s="78"/>
      <c r="C449" s="82"/>
      <c r="D449" s="82"/>
      <c r="E449" s="83"/>
      <c r="F449" s="92"/>
      <c r="G449" s="92"/>
      <c r="H449" s="92"/>
      <c r="I449" s="93"/>
      <c r="J449" s="113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spans="1:26" ht="12.75" customHeight="1" x14ac:dyDescent="0.25">
      <c r="A450" s="79"/>
      <c r="B450" s="78"/>
      <c r="C450" s="82"/>
      <c r="D450" s="82"/>
      <c r="E450" s="83"/>
      <c r="F450" s="92"/>
      <c r="G450" s="92"/>
      <c r="H450" s="92"/>
      <c r="I450" s="93"/>
      <c r="J450" s="113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spans="1:26" ht="12.75" customHeight="1" x14ac:dyDescent="0.25">
      <c r="A451" s="79"/>
      <c r="B451" s="78"/>
      <c r="C451" s="82"/>
      <c r="D451" s="82"/>
      <c r="E451" s="83"/>
      <c r="F451" s="92"/>
      <c r="G451" s="92"/>
      <c r="H451" s="92"/>
      <c r="I451" s="93"/>
      <c r="J451" s="113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spans="1:26" ht="12.75" customHeight="1" x14ac:dyDescent="0.25">
      <c r="A452" s="79"/>
      <c r="B452" s="78"/>
      <c r="C452" s="82"/>
      <c r="D452" s="82"/>
      <c r="E452" s="83"/>
      <c r="F452" s="92"/>
      <c r="G452" s="92"/>
      <c r="H452" s="92"/>
      <c r="I452" s="93"/>
      <c r="J452" s="113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spans="1:26" ht="12.75" customHeight="1" x14ac:dyDescent="0.25">
      <c r="A453" s="79"/>
      <c r="B453" s="78"/>
      <c r="C453" s="82"/>
      <c r="D453" s="82"/>
      <c r="E453" s="83"/>
      <c r="F453" s="92"/>
      <c r="G453" s="92"/>
      <c r="H453" s="92"/>
      <c r="I453" s="93"/>
      <c r="J453" s="113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spans="1:26" ht="12.75" customHeight="1" x14ac:dyDescent="0.25">
      <c r="A454" s="79"/>
      <c r="B454" s="78"/>
      <c r="C454" s="82"/>
      <c r="D454" s="82"/>
      <c r="E454" s="83"/>
      <c r="F454" s="92"/>
      <c r="G454" s="92"/>
      <c r="H454" s="92"/>
      <c r="I454" s="93"/>
      <c r="J454" s="113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spans="1:26" ht="12.75" customHeight="1" x14ac:dyDescent="0.25">
      <c r="A455" s="79"/>
      <c r="B455" s="78"/>
      <c r="C455" s="82"/>
      <c r="D455" s="82"/>
      <c r="E455" s="83"/>
      <c r="F455" s="92"/>
      <c r="G455" s="92"/>
      <c r="H455" s="92"/>
      <c r="I455" s="93"/>
      <c r="J455" s="113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spans="1:26" ht="12.75" customHeight="1" x14ac:dyDescent="0.25">
      <c r="A456" s="79"/>
      <c r="B456" s="78"/>
      <c r="C456" s="82"/>
      <c r="D456" s="82"/>
      <c r="E456" s="83"/>
      <c r="F456" s="92"/>
      <c r="G456" s="92"/>
      <c r="H456" s="92"/>
      <c r="I456" s="93"/>
      <c r="J456" s="113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spans="1:26" ht="12.75" customHeight="1" x14ac:dyDescent="0.25">
      <c r="A457" s="79"/>
      <c r="B457" s="78"/>
      <c r="C457" s="82"/>
      <c r="D457" s="82"/>
      <c r="E457" s="83"/>
      <c r="F457" s="92"/>
      <c r="G457" s="92"/>
      <c r="H457" s="92"/>
      <c r="I457" s="93"/>
      <c r="J457" s="113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spans="1:26" ht="12.75" customHeight="1" x14ac:dyDescent="0.25">
      <c r="A458" s="79"/>
      <c r="B458" s="78"/>
      <c r="C458" s="82"/>
      <c r="D458" s="82"/>
      <c r="E458" s="83"/>
      <c r="F458" s="92"/>
      <c r="G458" s="92"/>
      <c r="H458" s="92"/>
      <c r="I458" s="93"/>
      <c r="J458" s="113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spans="1:26" ht="12.75" customHeight="1" x14ac:dyDescent="0.25">
      <c r="A459" s="79"/>
      <c r="B459" s="78"/>
      <c r="C459" s="82"/>
      <c r="D459" s="82"/>
      <c r="E459" s="83"/>
      <c r="F459" s="92"/>
      <c r="G459" s="92"/>
      <c r="H459" s="92"/>
      <c r="I459" s="93"/>
      <c r="J459" s="113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spans="1:26" ht="12.75" customHeight="1" x14ac:dyDescent="0.25">
      <c r="A460" s="79"/>
      <c r="B460" s="78"/>
      <c r="C460" s="82"/>
      <c r="D460" s="82"/>
      <c r="E460" s="83"/>
      <c r="F460" s="92"/>
      <c r="G460" s="92"/>
      <c r="H460" s="92"/>
      <c r="I460" s="93"/>
      <c r="J460" s="113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spans="1:26" ht="12.75" customHeight="1" x14ac:dyDescent="0.25">
      <c r="A461" s="79"/>
      <c r="B461" s="78"/>
      <c r="C461" s="82"/>
      <c r="D461" s="82"/>
      <c r="E461" s="83"/>
      <c r="F461" s="92"/>
      <c r="G461" s="92"/>
      <c r="H461" s="92"/>
      <c r="I461" s="93"/>
      <c r="J461" s="113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spans="1:26" ht="12.75" customHeight="1" x14ac:dyDescent="0.25">
      <c r="A462" s="79"/>
      <c r="B462" s="78"/>
      <c r="C462" s="82"/>
      <c r="D462" s="82"/>
      <c r="E462" s="83"/>
      <c r="F462" s="92"/>
      <c r="G462" s="92"/>
      <c r="H462" s="92"/>
      <c r="I462" s="93"/>
      <c r="J462" s="113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spans="1:26" ht="12.75" customHeight="1" x14ac:dyDescent="0.25">
      <c r="A463" s="79"/>
      <c r="B463" s="78"/>
      <c r="C463" s="82"/>
      <c r="D463" s="82"/>
      <c r="E463" s="83"/>
      <c r="F463" s="92"/>
      <c r="G463" s="92"/>
      <c r="H463" s="92"/>
      <c r="I463" s="93"/>
      <c r="J463" s="113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spans="1:26" ht="12.75" customHeight="1" x14ac:dyDescent="0.25">
      <c r="A464" s="79"/>
      <c r="B464" s="78"/>
      <c r="C464" s="82"/>
      <c r="D464" s="82"/>
      <c r="E464" s="83"/>
      <c r="F464" s="92"/>
      <c r="G464" s="92"/>
      <c r="H464" s="92"/>
      <c r="I464" s="93"/>
      <c r="J464" s="113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spans="1:26" ht="12.75" customHeight="1" x14ac:dyDescent="0.25">
      <c r="A465" s="79"/>
      <c r="B465" s="78"/>
      <c r="C465" s="82"/>
      <c r="D465" s="82"/>
      <c r="E465" s="83"/>
      <c r="F465" s="92"/>
      <c r="G465" s="92"/>
      <c r="H465" s="92"/>
      <c r="I465" s="93"/>
      <c r="J465" s="113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spans="1:26" ht="12.75" customHeight="1" x14ac:dyDescent="0.25">
      <c r="A466" s="79"/>
      <c r="B466" s="78"/>
      <c r="C466" s="82"/>
      <c r="D466" s="82"/>
      <c r="E466" s="83"/>
      <c r="F466" s="92"/>
      <c r="G466" s="92"/>
      <c r="H466" s="92"/>
      <c r="I466" s="93"/>
      <c r="J466" s="113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spans="1:26" ht="12.75" customHeight="1" x14ac:dyDescent="0.25">
      <c r="A467" s="79"/>
      <c r="B467" s="78"/>
      <c r="C467" s="82"/>
      <c r="D467" s="82"/>
      <c r="E467" s="83"/>
      <c r="F467" s="92"/>
      <c r="G467" s="92"/>
      <c r="H467" s="92"/>
      <c r="I467" s="93"/>
      <c r="J467" s="113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spans="1:26" ht="12.75" customHeight="1" x14ac:dyDescent="0.25">
      <c r="A468" s="79"/>
      <c r="B468" s="78"/>
      <c r="C468" s="82"/>
      <c r="D468" s="82"/>
      <c r="E468" s="83"/>
      <c r="F468" s="92"/>
      <c r="G468" s="92"/>
      <c r="H468" s="92"/>
      <c r="I468" s="93"/>
      <c r="J468" s="113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spans="1:26" ht="12.75" customHeight="1" x14ac:dyDescent="0.25">
      <c r="A469" s="79"/>
      <c r="B469" s="78"/>
      <c r="C469" s="82"/>
      <c r="D469" s="82"/>
      <c r="E469" s="83"/>
      <c r="F469" s="92"/>
      <c r="G469" s="92"/>
      <c r="H469" s="92"/>
      <c r="I469" s="93"/>
      <c r="J469" s="113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spans="1:26" ht="12.75" customHeight="1" x14ac:dyDescent="0.25">
      <c r="A470" s="79"/>
      <c r="B470" s="78"/>
      <c r="C470" s="82"/>
      <c r="D470" s="82"/>
      <c r="E470" s="83"/>
      <c r="F470" s="92"/>
      <c r="G470" s="92"/>
      <c r="H470" s="92"/>
      <c r="I470" s="93"/>
      <c r="J470" s="113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spans="1:26" ht="12.75" customHeight="1" x14ac:dyDescent="0.25">
      <c r="A471" s="79"/>
      <c r="B471" s="78"/>
      <c r="C471" s="82"/>
      <c r="D471" s="82"/>
      <c r="E471" s="83"/>
      <c r="F471" s="92"/>
      <c r="G471" s="92"/>
      <c r="H471" s="92"/>
      <c r="I471" s="93"/>
      <c r="J471" s="113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spans="1:26" ht="12.75" customHeight="1" x14ac:dyDescent="0.25">
      <c r="A472" s="79"/>
      <c r="B472" s="78"/>
      <c r="C472" s="82"/>
      <c r="D472" s="82"/>
      <c r="E472" s="83"/>
      <c r="F472" s="92"/>
      <c r="G472" s="92"/>
      <c r="H472" s="92"/>
      <c r="I472" s="93"/>
      <c r="J472" s="113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spans="1:26" ht="12.75" customHeight="1" x14ac:dyDescent="0.25">
      <c r="A473" s="79"/>
      <c r="B473" s="78"/>
      <c r="C473" s="82"/>
      <c r="D473" s="82"/>
      <c r="E473" s="83"/>
      <c r="F473" s="92"/>
      <c r="G473" s="92"/>
      <c r="H473" s="92"/>
      <c r="I473" s="93"/>
      <c r="J473" s="113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spans="1:26" ht="12.75" customHeight="1" x14ac:dyDescent="0.25">
      <c r="A474" s="79"/>
      <c r="B474" s="78"/>
      <c r="C474" s="82"/>
      <c r="D474" s="82"/>
      <c r="E474" s="83"/>
      <c r="F474" s="92"/>
      <c r="G474" s="92"/>
      <c r="H474" s="92"/>
      <c r="I474" s="93"/>
      <c r="J474" s="113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spans="1:26" ht="12.75" customHeight="1" x14ac:dyDescent="0.25">
      <c r="A475" s="79"/>
      <c r="B475" s="78"/>
      <c r="C475" s="82"/>
      <c r="D475" s="82"/>
      <c r="E475" s="83"/>
      <c r="F475" s="92"/>
      <c r="G475" s="92"/>
      <c r="H475" s="92"/>
      <c r="I475" s="93"/>
      <c r="J475" s="113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spans="1:26" ht="12.75" customHeight="1" x14ac:dyDescent="0.25">
      <c r="A476" s="79"/>
      <c r="B476" s="78"/>
      <c r="C476" s="82"/>
      <c r="D476" s="82"/>
      <c r="E476" s="83"/>
      <c r="F476" s="92"/>
      <c r="G476" s="92"/>
      <c r="H476" s="92"/>
      <c r="I476" s="93"/>
      <c r="J476" s="113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spans="1:26" ht="12.75" customHeight="1" x14ac:dyDescent="0.25">
      <c r="A477" s="79"/>
      <c r="B477" s="78"/>
      <c r="C477" s="82"/>
      <c r="D477" s="82"/>
      <c r="E477" s="83"/>
      <c r="F477" s="92"/>
      <c r="G477" s="92"/>
      <c r="H477" s="92"/>
      <c r="I477" s="93"/>
      <c r="J477" s="113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spans="1:26" ht="12.75" customHeight="1" x14ac:dyDescent="0.25">
      <c r="A478" s="79"/>
      <c r="B478" s="78"/>
      <c r="C478" s="82"/>
      <c r="D478" s="82"/>
      <c r="E478" s="83"/>
      <c r="F478" s="92"/>
      <c r="G478" s="92"/>
      <c r="H478" s="92"/>
      <c r="I478" s="93"/>
      <c r="J478" s="113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spans="1:26" ht="12.75" customHeight="1" x14ac:dyDescent="0.25">
      <c r="A479" s="79"/>
      <c r="B479" s="78"/>
      <c r="C479" s="82"/>
      <c r="D479" s="82"/>
      <c r="E479" s="83"/>
      <c r="F479" s="92"/>
      <c r="G479" s="92"/>
      <c r="H479" s="92"/>
      <c r="I479" s="93"/>
      <c r="J479" s="113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spans="1:26" ht="12.75" customHeight="1" x14ac:dyDescent="0.25">
      <c r="A480" s="79"/>
      <c r="B480" s="78"/>
      <c r="C480" s="82"/>
      <c r="D480" s="82"/>
      <c r="E480" s="83"/>
      <c r="F480" s="92"/>
      <c r="G480" s="92"/>
      <c r="H480" s="92"/>
      <c r="I480" s="93"/>
      <c r="J480" s="113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spans="1:26" ht="12.75" customHeight="1" x14ac:dyDescent="0.25">
      <c r="A481" s="79"/>
      <c r="B481" s="78"/>
      <c r="C481" s="82"/>
      <c r="D481" s="82"/>
      <c r="E481" s="83"/>
      <c r="F481" s="92"/>
      <c r="G481" s="92"/>
      <c r="H481" s="92"/>
      <c r="I481" s="93"/>
      <c r="J481" s="113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spans="1:26" ht="12.75" customHeight="1" x14ac:dyDescent="0.25">
      <c r="A482" s="79"/>
      <c r="B482" s="78"/>
      <c r="C482" s="82"/>
      <c r="D482" s="82"/>
      <c r="E482" s="83"/>
      <c r="F482" s="92"/>
      <c r="G482" s="92"/>
      <c r="H482" s="92"/>
      <c r="I482" s="93"/>
      <c r="J482" s="113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spans="1:26" ht="12.75" customHeight="1" x14ac:dyDescent="0.25">
      <c r="A483" s="79"/>
      <c r="B483" s="78"/>
      <c r="C483" s="82"/>
      <c r="D483" s="82"/>
      <c r="E483" s="83"/>
      <c r="F483" s="92"/>
      <c r="G483" s="92"/>
      <c r="H483" s="92"/>
      <c r="I483" s="93"/>
      <c r="J483" s="113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spans="1:26" ht="12.75" customHeight="1" x14ac:dyDescent="0.25">
      <c r="A484" s="79"/>
      <c r="B484" s="78"/>
      <c r="C484" s="82"/>
      <c r="D484" s="82"/>
      <c r="E484" s="83"/>
      <c r="F484" s="92"/>
      <c r="G484" s="92"/>
      <c r="H484" s="92"/>
      <c r="I484" s="93"/>
      <c r="J484" s="113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spans="1:26" ht="12.75" customHeight="1" x14ac:dyDescent="0.25">
      <c r="A485" s="79"/>
      <c r="B485" s="78"/>
      <c r="C485" s="82"/>
      <c r="D485" s="82"/>
      <c r="E485" s="83"/>
      <c r="F485" s="92"/>
      <c r="G485" s="92"/>
      <c r="H485" s="92"/>
      <c r="I485" s="93"/>
      <c r="J485" s="113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spans="1:26" ht="12.75" customHeight="1" x14ac:dyDescent="0.25">
      <c r="A486" s="79"/>
      <c r="B486" s="78"/>
      <c r="C486" s="82"/>
      <c r="D486" s="82"/>
      <c r="E486" s="83"/>
      <c r="F486" s="92"/>
      <c r="G486" s="92"/>
      <c r="H486" s="92"/>
      <c r="I486" s="93"/>
      <c r="J486" s="113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spans="1:26" ht="12.75" customHeight="1" x14ac:dyDescent="0.25">
      <c r="A487" s="79"/>
      <c r="B487" s="78"/>
      <c r="C487" s="82"/>
      <c r="D487" s="82"/>
      <c r="E487" s="83"/>
      <c r="F487" s="92"/>
      <c r="G487" s="92"/>
      <c r="H487" s="92"/>
      <c r="I487" s="93"/>
      <c r="J487" s="113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spans="1:26" ht="12.75" customHeight="1" x14ac:dyDescent="0.25">
      <c r="A488" s="79"/>
      <c r="B488" s="78"/>
      <c r="C488" s="82"/>
      <c r="D488" s="82"/>
      <c r="E488" s="83"/>
      <c r="F488" s="92"/>
      <c r="G488" s="92"/>
      <c r="H488" s="92"/>
      <c r="I488" s="93"/>
      <c r="J488" s="113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spans="1:26" ht="12.75" customHeight="1" x14ac:dyDescent="0.25">
      <c r="A489" s="79"/>
      <c r="B489" s="78"/>
      <c r="C489" s="82"/>
      <c r="D489" s="82"/>
      <c r="E489" s="83"/>
      <c r="F489" s="92"/>
      <c r="G489" s="92"/>
      <c r="H489" s="92"/>
      <c r="I489" s="93"/>
      <c r="J489" s="113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spans="1:26" ht="12.75" customHeight="1" x14ac:dyDescent="0.25">
      <c r="A490" s="79"/>
      <c r="B490" s="78"/>
      <c r="C490" s="82"/>
      <c r="D490" s="82"/>
      <c r="E490" s="83"/>
      <c r="F490" s="92"/>
      <c r="G490" s="92"/>
      <c r="H490" s="92"/>
      <c r="I490" s="93"/>
      <c r="J490" s="113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spans="1:26" ht="12.75" customHeight="1" x14ac:dyDescent="0.25">
      <c r="A491" s="79"/>
      <c r="B491" s="78"/>
      <c r="C491" s="82"/>
      <c r="D491" s="82"/>
      <c r="E491" s="83"/>
      <c r="F491" s="92"/>
      <c r="G491" s="92"/>
      <c r="H491" s="92"/>
      <c r="I491" s="93"/>
      <c r="J491" s="113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spans="1:26" ht="12.75" customHeight="1" x14ac:dyDescent="0.25">
      <c r="A492" s="79"/>
      <c r="B492" s="78"/>
      <c r="C492" s="82"/>
      <c r="D492" s="82"/>
      <c r="E492" s="83"/>
      <c r="F492" s="92"/>
      <c r="G492" s="92"/>
      <c r="H492" s="92"/>
      <c r="I492" s="93"/>
      <c r="J492" s="113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spans="1:26" ht="12.75" customHeight="1" x14ac:dyDescent="0.25">
      <c r="A493" s="79"/>
      <c r="B493" s="78"/>
      <c r="C493" s="82"/>
      <c r="D493" s="82"/>
      <c r="E493" s="83"/>
      <c r="F493" s="92"/>
      <c r="G493" s="92"/>
      <c r="H493" s="92"/>
      <c r="I493" s="93"/>
      <c r="J493" s="113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spans="1:26" ht="12.75" customHeight="1" x14ac:dyDescent="0.25">
      <c r="A494" s="79"/>
      <c r="B494" s="78"/>
      <c r="C494" s="82"/>
      <c r="D494" s="82"/>
      <c r="E494" s="83"/>
      <c r="F494" s="92"/>
      <c r="G494" s="92"/>
      <c r="H494" s="92"/>
      <c r="I494" s="93"/>
      <c r="J494" s="113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spans="1:26" ht="12.75" customHeight="1" x14ac:dyDescent="0.25">
      <c r="A495" s="79"/>
      <c r="B495" s="78"/>
      <c r="C495" s="82"/>
      <c r="D495" s="82"/>
      <c r="E495" s="83"/>
      <c r="F495" s="92"/>
      <c r="G495" s="92"/>
      <c r="H495" s="92"/>
      <c r="I495" s="93"/>
      <c r="J495" s="113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spans="1:26" ht="12.75" customHeight="1" x14ac:dyDescent="0.25">
      <c r="A496" s="79"/>
      <c r="B496" s="78"/>
      <c r="C496" s="82"/>
      <c r="D496" s="82"/>
      <c r="E496" s="83"/>
      <c r="F496" s="92"/>
      <c r="G496" s="92"/>
      <c r="H496" s="92"/>
      <c r="I496" s="93"/>
      <c r="J496" s="113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spans="1:26" ht="12.75" customHeight="1" x14ac:dyDescent="0.25">
      <c r="A497" s="79"/>
      <c r="B497" s="78"/>
      <c r="C497" s="82"/>
      <c r="D497" s="82"/>
      <c r="E497" s="83"/>
      <c r="F497" s="92"/>
      <c r="G497" s="92"/>
      <c r="H497" s="92"/>
      <c r="I497" s="93"/>
      <c r="J497" s="113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spans="1:26" ht="12.75" customHeight="1" x14ac:dyDescent="0.25">
      <c r="A498" s="79"/>
      <c r="B498" s="78"/>
      <c r="C498" s="82"/>
      <c r="D498" s="82"/>
      <c r="E498" s="83"/>
      <c r="F498" s="92"/>
      <c r="G498" s="92"/>
      <c r="H498" s="92"/>
      <c r="I498" s="93"/>
      <c r="J498" s="113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spans="1:26" ht="12.75" customHeight="1" x14ac:dyDescent="0.25">
      <c r="A499" s="79"/>
      <c r="B499" s="78"/>
      <c r="C499" s="82"/>
      <c r="D499" s="82"/>
      <c r="E499" s="83"/>
      <c r="F499" s="92"/>
      <c r="G499" s="92"/>
      <c r="H499" s="92"/>
      <c r="I499" s="93"/>
      <c r="J499" s="113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spans="1:26" ht="12.75" customHeight="1" x14ac:dyDescent="0.25">
      <c r="A500" s="79"/>
      <c r="B500" s="78"/>
      <c r="C500" s="82"/>
      <c r="D500" s="82"/>
      <c r="E500" s="83"/>
      <c r="F500" s="92"/>
      <c r="G500" s="92"/>
      <c r="H500" s="92"/>
      <c r="I500" s="93"/>
      <c r="J500" s="113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spans="1:26" ht="12.75" customHeight="1" x14ac:dyDescent="0.25">
      <c r="A501" s="79"/>
      <c r="B501" s="78"/>
      <c r="C501" s="82"/>
      <c r="D501" s="82"/>
      <c r="E501" s="83"/>
      <c r="F501" s="92"/>
      <c r="G501" s="92"/>
      <c r="H501" s="92"/>
      <c r="I501" s="93"/>
      <c r="J501" s="113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spans="1:26" ht="12.75" customHeight="1" x14ac:dyDescent="0.25">
      <c r="A502" s="79"/>
      <c r="B502" s="78"/>
      <c r="C502" s="82"/>
      <c r="D502" s="82"/>
      <c r="E502" s="83"/>
      <c r="F502" s="92"/>
      <c r="G502" s="92"/>
      <c r="H502" s="92"/>
      <c r="I502" s="93"/>
      <c r="J502" s="113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spans="1:26" ht="12.75" customHeight="1" x14ac:dyDescent="0.25">
      <c r="A503" s="79"/>
      <c r="B503" s="78"/>
      <c r="C503" s="82"/>
      <c r="D503" s="82"/>
      <c r="E503" s="83"/>
      <c r="F503" s="92"/>
      <c r="G503" s="92"/>
      <c r="H503" s="92"/>
      <c r="I503" s="93"/>
      <c r="J503" s="113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spans="1:26" ht="12.75" customHeight="1" x14ac:dyDescent="0.25">
      <c r="A504" s="79"/>
      <c r="B504" s="78"/>
      <c r="C504" s="82"/>
      <c r="D504" s="82"/>
      <c r="E504" s="83"/>
      <c r="F504" s="92"/>
      <c r="G504" s="92"/>
      <c r="H504" s="92"/>
      <c r="I504" s="93"/>
      <c r="J504" s="113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spans="1:26" ht="12.75" customHeight="1" x14ac:dyDescent="0.25">
      <c r="A505" s="79"/>
      <c r="B505" s="78"/>
      <c r="C505" s="82"/>
      <c r="D505" s="82"/>
      <c r="E505" s="83"/>
      <c r="F505" s="92"/>
      <c r="G505" s="92"/>
      <c r="H505" s="92"/>
      <c r="I505" s="93"/>
      <c r="J505" s="113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spans="1:26" ht="12.75" customHeight="1" x14ac:dyDescent="0.25">
      <c r="A506" s="79"/>
      <c r="B506" s="78"/>
      <c r="C506" s="82"/>
      <c r="D506" s="82"/>
      <c r="E506" s="83"/>
      <c r="F506" s="92"/>
      <c r="G506" s="92"/>
      <c r="H506" s="92"/>
      <c r="I506" s="93"/>
      <c r="J506" s="113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spans="1:26" ht="12.75" customHeight="1" x14ac:dyDescent="0.25">
      <c r="A507" s="79"/>
      <c r="B507" s="78"/>
      <c r="C507" s="82"/>
      <c r="D507" s="82"/>
      <c r="E507" s="83"/>
      <c r="F507" s="92"/>
      <c r="G507" s="92"/>
      <c r="H507" s="92"/>
      <c r="I507" s="93"/>
      <c r="J507" s="113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spans="1:26" ht="12.75" customHeight="1" x14ac:dyDescent="0.25">
      <c r="A508" s="79"/>
      <c r="B508" s="78"/>
      <c r="C508" s="82"/>
      <c r="D508" s="82"/>
      <c r="E508" s="83"/>
      <c r="F508" s="92"/>
      <c r="G508" s="92"/>
      <c r="H508" s="92"/>
      <c r="I508" s="93"/>
      <c r="J508" s="113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spans="1:26" ht="12.75" customHeight="1" x14ac:dyDescent="0.25">
      <c r="A509" s="79"/>
      <c r="B509" s="78"/>
      <c r="C509" s="82"/>
      <c r="D509" s="82"/>
      <c r="E509" s="83"/>
      <c r="F509" s="92"/>
      <c r="G509" s="92"/>
      <c r="H509" s="92"/>
      <c r="I509" s="93"/>
      <c r="J509" s="113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spans="1:26" ht="12.75" customHeight="1" x14ac:dyDescent="0.25">
      <c r="A510" s="79"/>
      <c r="B510" s="78"/>
      <c r="C510" s="82"/>
      <c r="D510" s="82"/>
      <c r="E510" s="83"/>
      <c r="F510" s="92"/>
      <c r="G510" s="92"/>
      <c r="H510" s="92"/>
      <c r="I510" s="93"/>
      <c r="J510" s="113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spans="1:26" ht="12.75" customHeight="1" x14ac:dyDescent="0.25">
      <c r="A511" s="79"/>
      <c r="B511" s="78"/>
      <c r="C511" s="82"/>
      <c r="D511" s="82"/>
      <c r="E511" s="83"/>
      <c r="F511" s="92"/>
      <c r="G511" s="92"/>
      <c r="H511" s="92"/>
      <c r="I511" s="93"/>
      <c r="J511" s="113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spans="1:26" ht="12.75" customHeight="1" x14ac:dyDescent="0.25">
      <c r="A512" s="79"/>
      <c r="B512" s="78"/>
      <c r="C512" s="82"/>
      <c r="D512" s="82"/>
      <c r="E512" s="83"/>
      <c r="F512" s="92"/>
      <c r="G512" s="92"/>
      <c r="H512" s="92"/>
      <c r="I512" s="93"/>
      <c r="J512" s="113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spans="1:26" ht="12.75" customHeight="1" x14ac:dyDescent="0.25">
      <c r="A513" s="79"/>
      <c r="B513" s="78"/>
      <c r="C513" s="82"/>
      <c r="D513" s="82"/>
      <c r="E513" s="83"/>
      <c r="F513" s="92"/>
      <c r="G513" s="92"/>
      <c r="H513" s="92"/>
      <c r="I513" s="93"/>
      <c r="J513" s="113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spans="1:26" ht="12.75" customHeight="1" x14ac:dyDescent="0.25">
      <c r="A514" s="79"/>
      <c r="B514" s="78"/>
      <c r="C514" s="82"/>
      <c r="D514" s="82"/>
      <c r="E514" s="83"/>
      <c r="F514" s="92"/>
      <c r="G514" s="92"/>
      <c r="H514" s="92"/>
      <c r="I514" s="93"/>
      <c r="J514" s="113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spans="1:26" ht="12.75" customHeight="1" x14ac:dyDescent="0.25">
      <c r="A515" s="79"/>
      <c r="B515" s="78"/>
      <c r="C515" s="82"/>
      <c r="D515" s="82"/>
      <c r="E515" s="83"/>
      <c r="F515" s="92"/>
      <c r="G515" s="92"/>
      <c r="H515" s="92"/>
      <c r="I515" s="93"/>
      <c r="J515" s="113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spans="1:26" ht="12.75" customHeight="1" x14ac:dyDescent="0.25">
      <c r="A516" s="79"/>
      <c r="B516" s="78"/>
      <c r="C516" s="82"/>
      <c r="D516" s="82"/>
      <c r="E516" s="83"/>
      <c r="F516" s="92"/>
      <c r="G516" s="92"/>
      <c r="H516" s="92"/>
      <c r="I516" s="93"/>
      <c r="J516" s="113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spans="1:26" ht="12.75" customHeight="1" x14ac:dyDescent="0.25">
      <c r="A517" s="79"/>
      <c r="B517" s="78"/>
      <c r="C517" s="82"/>
      <c r="D517" s="82"/>
      <c r="E517" s="83"/>
      <c r="F517" s="92"/>
      <c r="G517" s="92"/>
      <c r="H517" s="92"/>
      <c r="I517" s="93"/>
      <c r="J517" s="113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spans="1:26" ht="12.75" customHeight="1" x14ac:dyDescent="0.25">
      <c r="A518" s="79"/>
      <c r="B518" s="78"/>
      <c r="C518" s="82"/>
      <c r="D518" s="82"/>
      <c r="E518" s="83"/>
      <c r="F518" s="92"/>
      <c r="G518" s="92"/>
      <c r="H518" s="92"/>
      <c r="I518" s="93"/>
      <c r="J518" s="113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spans="1:26" ht="12.75" customHeight="1" x14ac:dyDescent="0.25">
      <c r="A519" s="79"/>
      <c r="B519" s="78"/>
      <c r="C519" s="82"/>
      <c r="D519" s="82"/>
      <c r="E519" s="83"/>
      <c r="F519" s="92"/>
      <c r="G519" s="92"/>
      <c r="H519" s="92"/>
      <c r="I519" s="93"/>
      <c r="J519" s="113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spans="1:26" ht="12.75" customHeight="1" x14ac:dyDescent="0.25">
      <c r="A520" s="79"/>
      <c r="B520" s="78"/>
      <c r="C520" s="82"/>
      <c r="D520" s="82"/>
      <c r="E520" s="83"/>
      <c r="F520" s="92"/>
      <c r="G520" s="92"/>
      <c r="H520" s="92"/>
      <c r="I520" s="93"/>
      <c r="J520" s="113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spans="1:26" ht="12.75" customHeight="1" x14ac:dyDescent="0.25">
      <c r="A521" s="79"/>
      <c r="B521" s="78"/>
      <c r="C521" s="82"/>
      <c r="D521" s="82"/>
      <c r="E521" s="83"/>
      <c r="F521" s="92"/>
      <c r="G521" s="92"/>
      <c r="H521" s="92"/>
      <c r="I521" s="93"/>
      <c r="J521" s="113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spans="1:26" ht="12.75" customHeight="1" x14ac:dyDescent="0.25">
      <c r="A522" s="79"/>
      <c r="B522" s="78"/>
      <c r="C522" s="82"/>
      <c r="D522" s="82"/>
      <c r="E522" s="83"/>
      <c r="F522" s="92"/>
      <c r="G522" s="92"/>
      <c r="H522" s="92"/>
      <c r="I522" s="93"/>
      <c r="J522" s="113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spans="1:26" ht="12.75" customHeight="1" x14ac:dyDescent="0.25">
      <c r="A523" s="79"/>
      <c r="B523" s="78"/>
      <c r="C523" s="82"/>
      <c r="D523" s="82"/>
      <c r="E523" s="83"/>
      <c r="F523" s="92"/>
      <c r="G523" s="92"/>
      <c r="H523" s="92"/>
      <c r="I523" s="93"/>
      <c r="J523" s="113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spans="1:26" ht="12.75" customHeight="1" x14ac:dyDescent="0.25">
      <c r="A524" s="79"/>
      <c r="B524" s="78"/>
      <c r="C524" s="82"/>
      <c r="D524" s="82"/>
      <c r="E524" s="83"/>
      <c r="F524" s="92"/>
      <c r="G524" s="92"/>
      <c r="H524" s="92"/>
      <c r="I524" s="93"/>
      <c r="J524" s="113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spans="1:26" ht="12.75" customHeight="1" x14ac:dyDescent="0.25">
      <c r="A525" s="79"/>
      <c r="B525" s="78"/>
      <c r="C525" s="82"/>
      <c r="D525" s="82"/>
      <c r="E525" s="83"/>
      <c r="F525" s="92"/>
      <c r="G525" s="92"/>
      <c r="H525" s="92"/>
      <c r="I525" s="93"/>
      <c r="J525" s="113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spans="1:26" ht="12.75" customHeight="1" x14ac:dyDescent="0.25">
      <c r="A526" s="79"/>
      <c r="B526" s="78"/>
      <c r="C526" s="82"/>
      <c r="D526" s="82"/>
      <c r="E526" s="83"/>
      <c r="F526" s="92"/>
      <c r="G526" s="92"/>
      <c r="H526" s="92"/>
      <c r="I526" s="93"/>
      <c r="J526" s="113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spans="1:26" ht="12.75" customHeight="1" x14ac:dyDescent="0.25">
      <c r="A527" s="79"/>
      <c r="B527" s="78"/>
      <c r="C527" s="82"/>
      <c r="D527" s="82"/>
      <c r="E527" s="83"/>
      <c r="F527" s="92"/>
      <c r="G527" s="92"/>
      <c r="H527" s="92"/>
      <c r="I527" s="93"/>
      <c r="J527" s="113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spans="1:26" ht="12.75" customHeight="1" x14ac:dyDescent="0.25">
      <c r="A528" s="79"/>
      <c r="B528" s="78"/>
      <c r="C528" s="82"/>
      <c r="D528" s="82"/>
      <c r="E528" s="83"/>
      <c r="F528" s="92"/>
      <c r="G528" s="92"/>
      <c r="H528" s="92"/>
      <c r="I528" s="93"/>
      <c r="J528" s="113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spans="1:26" ht="12.75" customHeight="1" x14ac:dyDescent="0.25">
      <c r="A529" s="79"/>
      <c r="B529" s="78"/>
      <c r="C529" s="82"/>
      <c r="D529" s="82"/>
      <c r="E529" s="83"/>
      <c r="F529" s="92"/>
      <c r="G529" s="92"/>
      <c r="H529" s="92"/>
      <c r="I529" s="93"/>
      <c r="J529" s="113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spans="1:26" ht="12.75" customHeight="1" x14ac:dyDescent="0.25">
      <c r="A530" s="79"/>
      <c r="B530" s="78"/>
      <c r="C530" s="82"/>
      <c r="D530" s="82"/>
      <c r="E530" s="83"/>
      <c r="F530" s="92"/>
      <c r="G530" s="92"/>
      <c r="H530" s="92"/>
      <c r="I530" s="93"/>
      <c r="J530" s="113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spans="1:26" ht="12.75" customHeight="1" x14ac:dyDescent="0.25">
      <c r="A531" s="79"/>
      <c r="B531" s="78"/>
      <c r="C531" s="82"/>
      <c r="D531" s="82"/>
      <c r="E531" s="83"/>
      <c r="F531" s="92"/>
      <c r="G531" s="92"/>
      <c r="H531" s="92"/>
      <c r="I531" s="93"/>
      <c r="J531" s="113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spans="1:26" ht="12.75" customHeight="1" x14ac:dyDescent="0.25">
      <c r="A532" s="79"/>
      <c r="B532" s="78"/>
      <c r="C532" s="82"/>
      <c r="D532" s="82"/>
      <c r="E532" s="83"/>
      <c r="F532" s="92"/>
      <c r="G532" s="92"/>
      <c r="H532" s="92"/>
      <c r="I532" s="93"/>
      <c r="J532" s="113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spans="1:26" ht="12.75" customHeight="1" x14ac:dyDescent="0.25">
      <c r="A533" s="79"/>
      <c r="B533" s="78"/>
      <c r="C533" s="82"/>
      <c r="D533" s="82"/>
      <c r="E533" s="83"/>
      <c r="F533" s="92"/>
      <c r="G533" s="92"/>
      <c r="H533" s="92"/>
      <c r="I533" s="93"/>
      <c r="J533" s="113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spans="1:26" ht="12.75" customHeight="1" x14ac:dyDescent="0.25">
      <c r="A534" s="79"/>
      <c r="B534" s="78"/>
      <c r="C534" s="82"/>
      <c r="D534" s="82"/>
      <c r="E534" s="83"/>
      <c r="F534" s="92"/>
      <c r="G534" s="92"/>
      <c r="H534" s="92"/>
      <c r="I534" s="93"/>
      <c r="J534" s="113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spans="1:26" ht="12.75" customHeight="1" x14ac:dyDescent="0.25">
      <c r="A535" s="79"/>
      <c r="B535" s="78"/>
      <c r="C535" s="82"/>
      <c r="D535" s="82"/>
      <c r="E535" s="83"/>
      <c r="F535" s="92"/>
      <c r="G535" s="92"/>
      <c r="H535" s="92"/>
      <c r="I535" s="93"/>
      <c r="J535" s="113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spans="1:26" ht="12.75" customHeight="1" x14ac:dyDescent="0.25">
      <c r="A536" s="79"/>
      <c r="B536" s="78"/>
      <c r="C536" s="82"/>
      <c r="D536" s="82"/>
      <c r="E536" s="83"/>
      <c r="F536" s="92"/>
      <c r="G536" s="92"/>
      <c r="H536" s="92"/>
      <c r="I536" s="93"/>
      <c r="J536" s="113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spans="1:26" ht="12.75" customHeight="1" x14ac:dyDescent="0.25">
      <c r="A537" s="79"/>
      <c r="B537" s="78"/>
      <c r="C537" s="82"/>
      <c r="D537" s="82"/>
      <c r="E537" s="83"/>
      <c r="F537" s="92"/>
      <c r="G537" s="92"/>
      <c r="H537" s="92"/>
      <c r="I537" s="93"/>
      <c r="J537" s="113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spans="1:26" ht="12.75" customHeight="1" x14ac:dyDescent="0.25">
      <c r="A538" s="79"/>
      <c r="B538" s="78"/>
      <c r="C538" s="82"/>
      <c r="D538" s="82"/>
      <c r="E538" s="83"/>
      <c r="F538" s="92"/>
      <c r="G538" s="92"/>
      <c r="H538" s="92"/>
      <c r="I538" s="93"/>
      <c r="J538" s="113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spans="1:26" ht="12.75" customHeight="1" x14ac:dyDescent="0.25">
      <c r="A539" s="79"/>
      <c r="B539" s="78"/>
      <c r="C539" s="82"/>
      <c r="D539" s="82"/>
      <c r="E539" s="83"/>
      <c r="F539" s="92"/>
      <c r="G539" s="92"/>
      <c r="H539" s="92"/>
      <c r="I539" s="93"/>
      <c r="J539" s="113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spans="1:26" ht="12.75" customHeight="1" x14ac:dyDescent="0.25">
      <c r="A540" s="79"/>
      <c r="B540" s="78"/>
      <c r="C540" s="82"/>
      <c r="D540" s="82"/>
      <c r="E540" s="83"/>
      <c r="F540" s="92"/>
      <c r="G540" s="92"/>
      <c r="H540" s="92"/>
      <c r="I540" s="93"/>
      <c r="J540" s="113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spans="1:26" ht="12.75" customHeight="1" x14ac:dyDescent="0.25">
      <c r="A541" s="79"/>
      <c r="B541" s="78"/>
      <c r="C541" s="82"/>
      <c r="D541" s="82"/>
      <c r="E541" s="83"/>
      <c r="F541" s="92"/>
      <c r="G541" s="92"/>
      <c r="H541" s="92"/>
      <c r="I541" s="93"/>
      <c r="J541" s="113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spans="1:26" ht="12.75" customHeight="1" x14ac:dyDescent="0.25">
      <c r="A542" s="79"/>
      <c r="B542" s="78"/>
      <c r="C542" s="82"/>
      <c r="D542" s="82"/>
      <c r="E542" s="83"/>
      <c r="F542" s="92"/>
      <c r="G542" s="92"/>
      <c r="H542" s="92"/>
      <c r="I542" s="93"/>
      <c r="J542" s="113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spans="1:26" ht="12.75" customHeight="1" x14ac:dyDescent="0.25">
      <c r="A543" s="79"/>
      <c r="B543" s="78"/>
      <c r="C543" s="82"/>
      <c r="D543" s="82"/>
      <c r="E543" s="83"/>
      <c r="F543" s="92"/>
      <c r="G543" s="92"/>
      <c r="H543" s="92"/>
      <c r="I543" s="93"/>
      <c r="J543" s="113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spans="1:26" ht="12.75" customHeight="1" x14ac:dyDescent="0.25">
      <c r="A544" s="79"/>
      <c r="B544" s="78"/>
      <c r="C544" s="82"/>
      <c r="D544" s="82"/>
      <c r="E544" s="83"/>
      <c r="F544" s="92"/>
      <c r="G544" s="92"/>
      <c r="H544" s="92"/>
      <c r="I544" s="93"/>
      <c r="J544" s="113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spans="1:26" ht="12.75" customHeight="1" x14ac:dyDescent="0.25">
      <c r="A545" s="79"/>
      <c r="B545" s="78"/>
      <c r="C545" s="82"/>
      <c r="D545" s="82"/>
      <c r="E545" s="83"/>
      <c r="F545" s="92"/>
      <c r="G545" s="92"/>
      <c r="H545" s="92"/>
      <c r="I545" s="93"/>
      <c r="J545" s="113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spans="1:26" ht="12.75" customHeight="1" x14ac:dyDescent="0.25">
      <c r="A546" s="79"/>
      <c r="B546" s="78"/>
      <c r="C546" s="82"/>
      <c r="D546" s="82"/>
      <c r="E546" s="83"/>
      <c r="F546" s="92"/>
      <c r="G546" s="92"/>
      <c r="H546" s="92"/>
      <c r="I546" s="93"/>
      <c r="J546" s="113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spans="1:26" ht="12.75" customHeight="1" x14ac:dyDescent="0.25">
      <c r="A547" s="79"/>
      <c r="B547" s="78"/>
      <c r="C547" s="82"/>
      <c r="D547" s="82"/>
      <c r="E547" s="83"/>
      <c r="F547" s="92"/>
      <c r="G547" s="92"/>
      <c r="H547" s="92"/>
      <c r="I547" s="93"/>
      <c r="J547" s="113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spans="1:26" ht="12.75" customHeight="1" x14ac:dyDescent="0.25">
      <c r="A548" s="79"/>
      <c r="B548" s="78"/>
      <c r="C548" s="82"/>
      <c r="D548" s="82"/>
      <c r="E548" s="83"/>
      <c r="F548" s="92"/>
      <c r="G548" s="92"/>
      <c r="H548" s="92"/>
      <c r="I548" s="93"/>
      <c r="J548" s="113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spans="1:26" ht="12.75" customHeight="1" x14ac:dyDescent="0.25">
      <c r="A549" s="79"/>
      <c r="B549" s="78"/>
      <c r="C549" s="82"/>
      <c r="D549" s="82"/>
      <c r="E549" s="83"/>
      <c r="F549" s="92"/>
      <c r="G549" s="92"/>
      <c r="H549" s="92"/>
      <c r="I549" s="93"/>
      <c r="J549" s="113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spans="1:26" ht="12.75" customHeight="1" x14ac:dyDescent="0.25">
      <c r="A550" s="79"/>
      <c r="B550" s="78"/>
      <c r="C550" s="82"/>
      <c r="D550" s="82"/>
      <c r="E550" s="83"/>
      <c r="F550" s="92"/>
      <c r="G550" s="92"/>
      <c r="H550" s="92"/>
      <c r="I550" s="93"/>
      <c r="J550" s="113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spans="1:26" ht="12.75" customHeight="1" x14ac:dyDescent="0.25">
      <c r="A551" s="79"/>
      <c r="B551" s="78"/>
      <c r="C551" s="82"/>
      <c r="D551" s="82"/>
      <c r="E551" s="83"/>
      <c r="F551" s="92"/>
      <c r="G551" s="92"/>
      <c r="H551" s="92"/>
      <c r="I551" s="93"/>
      <c r="J551" s="113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spans="1:26" ht="12.75" customHeight="1" x14ac:dyDescent="0.25">
      <c r="A552" s="79"/>
      <c r="B552" s="78"/>
      <c r="C552" s="82"/>
      <c r="D552" s="82"/>
      <c r="E552" s="83"/>
      <c r="F552" s="92"/>
      <c r="G552" s="92"/>
      <c r="H552" s="92"/>
      <c r="I552" s="93"/>
      <c r="J552" s="113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spans="1:26" ht="12.75" customHeight="1" x14ac:dyDescent="0.25">
      <c r="A553" s="79"/>
      <c r="B553" s="78"/>
      <c r="C553" s="82"/>
      <c r="D553" s="82"/>
      <c r="E553" s="83"/>
      <c r="F553" s="92"/>
      <c r="G553" s="92"/>
      <c r="H553" s="92"/>
      <c r="I553" s="93"/>
      <c r="J553" s="113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spans="1:26" ht="12.75" customHeight="1" x14ac:dyDescent="0.25">
      <c r="A554" s="79"/>
      <c r="B554" s="78"/>
      <c r="C554" s="82"/>
      <c r="D554" s="82"/>
      <c r="E554" s="83"/>
      <c r="F554" s="92"/>
      <c r="G554" s="92"/>
      <c r="H554" s="92"/>
      <c r="I554" s="93"/>
      <c r="J554" s="113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spans="1:26" ht="12.75" customHeight="1" x14ac:dyDescent="0.25">
      <c r="A555" s="79"/>
      <c r="B555" s="78"/>
      <c r="C555" s="82"/>
      <c r="D555" s="82"/>
      <c r="E555" s="83"/>
      <c r="F555" s="92"/>
      <c r="G555" s="92"/>
      <c r="H555" s="92"/>
      <c r="I555" s="93"/>
      <c r="J555" s="113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spans="1:26" ht="12.75" customHeight="1" x14ac:dyDescent="0.25">
      <c r="A556" s="79"/>
      <c r="B556" s="78"/>
      <c r="C556" s="82"/>
      <c r="D556" s="82"/>
      <c r="E556" s="83"/>
      <c r="F556" s="92"/>
      <c r="G556" s="92"/>
      <c r="H556" s="92"/>
      <c r="I556" s="93"/>
      <c r="J556" s="113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spans="1:26" ht="12.75" customHeight="1" x14ac:dyDescent="0.25">
      <c r="A557" s="79"/>
      <c r="B557" s="78"/>
      <c r="C557" s="82"/>
      <c r="D557" s="82"/>
      <c r="E557" s="83"/>
      <c r="F557" s="92"/>
      <c r="G557" s="92"/>
      <c r="H557" s="92"/>
      <c r="I557" s="93"/>
      <c r="J557" s="113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spans="1:26" ht="12.75" customHeight="1" x14ac:dyDescent="0.25">
      <c r="A558" s="79"/>
      <c r="B558" s="78"/>
      <c r="C558" s="82"/>
      <c r="D558" s="82"/>
      <c r="E558" s="83"/>
      <c r="F558" s="92"/>
      <c r="G558" s="92"/>
      <c r="H558" s="92"/>
      <c r="I558" s="93"/>
      <c r="J558" s="113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spans="1:26" ht="12.75" customHeight="1" x14ac:dyDescent="0.25">
      <c r="A559" s="79"/>
      <c r="B559" s="78"/>
      <c r="C559" s="82"/>
      <c r="D559" s="82"/>
      <c r="E559" s="83"/>
      <c r="F559" s="92"/>
      <c r="G559" s="92"/>
      <c r="H559" s="92"/>
      <c r="I559" s="93"/>
      <c r="J559" s="113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spans="1:26" ht="12.75" customHeight="1" x14ac:dyDescent="0.25">
      <c r="A560" s="79"/>
      <c r="B560" s="78"/>
      <c r="C560" s="82"/>
      <c r="D560" s="82"/>
      <c r="E560" s="83"/>
      <c r="F560" s="92"/>
      <c r="G560" s="92"/>
      <c r="H560" s="92"/>
      <c r="I560" s="93"/>
      <c r="J560" s="113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spans="1:26" ht="12.75" customHeight="1" x14ac:dyDescent="0.25">
      <c r="A561" s="79"/>
      <c r="B561" s="78"/>
      <c r="C561" s="82"/>
      <c r="D561" s="82"/>
      <c r="E561" s="83"/>
      <c r="F561" s="92"/>
      <c r="G561" s="92"/>
      <c r="H561" s="92"/>
      <c r="I561" s="93"/>
      <c r="J561" s="113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spans="1:26" ht="12.75" customHeight="1" x14ac:dyDescent="0.25">
      <c r="A562" s="79"/>
      <c r="B562" s="78"/>
      <c r="C562" s="82"/>
      <c r="D562" s="82"/>
      <c r="E562" s="83"/>
      <c r="F562" s="92"/>
      <c r="G562" s="92"/>
      <c r="H562" s="92"/>
      <c r="I562" s="93"/>
      <c r="J562" s="113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spans="1:26" ht="12.75" customHeight="1" x14ac:dyDescent="0.25">
      <c r="A563" s="79"/>
      <c r="B563" s="78"/>
      <c r="C563" s="82"/>
      <c r="D563" s="82"/>
      <c r="E563" s="83"/>
      <c r="F563" s="92"/>
      <c r="G563" s="92"/>
      <c r="H563" s="92"/>
      <c r="I563" s="93"/>
      <c r="J563" s="113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spans="1:26" ht="12.75" customHeight="1" x14ac:dyDescent="0.25">
      <c r="A564" s="79"/>
      <c r="B564" s="78"/>
      <c r="C564" s="82"/>
      <c r="D564" s="82"/>
      <c r="E564" s="83"/>
      <c r="F564" s="92"/>
      <c r="G564" s="92"/>
      <c r="H564" s="92"/>
      <c r="I564" s="93"/>
      <c r="J564" s="113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spans="1:26" ht="12.75" customHeight="1" x14ac:dyDescent="0.25">
      <c r="A565" s="79"/>
      <c r="B565" s="78"/>
      <c r="C565" s="82"/>
      <c r="D565" s="82"/>
      <c r="E565" s="83"/>
      <c r="F565" s="92"/>
      <c r="G565" s="92"/>
      <c r="H565" s="92"/>
      <c r="I565" s="93"/>
      <c r="J565" s="113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spans="1:26" ht="12.75" customHeight="1" x14ac:dyDescent="0.25">
      <c r="A566" s="79"/>
      <c r="B566" s="78"/>
      <c r="C566" s="82"/>
      <c r="D566" s="82"/>
      <c r="E566" s="83"/>
      <c r="F566" s="92"/>
      <c r="G566" s="92"/>
      <c r="H566" s="92"/>
      <c r="I566" s="93"/>
      <c r="J566" s="113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spans="1:26" ht="12.75" customHeight="1" x14ac:dyDescent="0.25">
      <c r="A567" s="79"/>
      <c r="B567" s="78"/>
      <c r="C567" s="82"/>
      <c r="D567" s="82"/>
      <c r="E567" s="83"/>
      <c r="F567" s="92"/>
      <c r="G567" s="92"/>
      <c r="H567" s="92"/>
      <c r="I567" s="93"/>
      <c r="J567" s="113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spans="1:26" ht="12.75" customHeight="1" x14ac:dyDescent="0.25">
      <c r="A568" s="79"/>
      <c r="B568" s="78"/>
      <c r="C568" s="82"/>
      <c r="D568" s="82"/>
      <c r="E568" s="83"/>
      <c r="F568" s="92"/>
      <c r="G568" s="92"/>
      <c r="H568" s="92"/>
      <c r="I568" s="93"/>
      <c r="J568" s="113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spans="1:26" ht="12.75" customHeight="1" x14ac:dyDescent="0.25">
      <c r="A569" s="79"/>
      <c r="B569" s="78"/>
      <c r="C569" s="82"/>
      <c r="D569" s="82"/>
      <c r="E569" s="83"/>
      <c r="F569" s="92"/>
      <c r="G569" s="92"/>
      <c r="H569" s="92"/>
      <c r="I569" s="93"/>
      <c r="J569" s="113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spans="1:26" ht="12.75" customHeight="1" x14ac:dyDescent="0.25">
      <c r="A570" s="79"/>
      <c r="B570" s="78"/>
      <c r="C570" s="82"/>
      <c r="D570" s="82"/>
      <c r="E570" s="83"/>
      <c r="F570" s="92"/>
      <c r="G570" s="92"/>
      <c r="H570" s="92"/>
      <c r="I570" s="93"/>
      <c r="J570" s="113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spans="1:26" ht="12.75" customHeight="1" x14ac:dyDescent="0.25">
      <c r="A571" s="79"/>
      <c r="B571" s="78"/>
      <c r="C571" s="82"/>
      <c r="D571" s="82"/>
      <c r="E571" s="83"/>
      <c r="F571" s="92"/>
      <c r="G571" s="92"/>
      <c r="H571" s="92"/>
      <c r="I571" s="93"/>
      <c r="J571" s="113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spans="1:26" ht="12.75" customHeight="1" x14ac:dyDescent="0.25">
      <c r="A572" s="79"/>
      <c r="B572" s="78"/>
      <c r="C572" s="82"/>
      <c r="D572" s="82"/>
      <c r="E572" s="83"/>
      <c r="F572" s="92"/>
      <c r="G572" s="92"/>
      <c r="H572" s="92"/>
      <c r="I572" s="93"/>
      <c r="J572" s="113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spans="1:26" ht="12.75" customHeight="1" x14ac:dyDescent="0.25">
      <c r="A573" s="79"/>
      <c r="B573" s="78"/>
      <c r="C573" s="82"/>
      <c r="D573" s="82"/>
      <c r="E573" s="83"/>
      <c r="F573" s="92"/>
      <c r="G573" s="92"/>
      <c r="H573" s="92"/>
      <c r="I573" s="93"/>
      <c r="J573" s="113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spans="1:26" ht="12.75" customHeight="1" x14ac:dyDescent="0.25">
      <c r="A574" s="79"/>
      <c r="B574" s="78"/>
      <c r="C574" s="82"/>
      <c r="D574" s="82"/>
      <c r="E574" s="83"/>
      <c r="F574" s="92"/>
      <c r="G574" s="92"/>
      <c r="H574" s="92"/>
      <c r="I574" s="93"/>
      <c r="J574" s="113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spans="1:26" ht="12.75" customHeight="1" x14ac:dyDescent="0.25">
      <c r="A575" s="79"/>
      <c r="B575" s="78"/>
      <c r="C575" s="82"/>
      <c r="D575" s="82"/>
      <c r="E575" s="83"/>
      <c r="F575" s="92"/>
      <c r="G575" s="92"/>
      <c r="H575" s="92"/>
      <c r="I575" s="93"/>
      <c r="J575" s="113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spans="1:26" ht="12.75" customHeight="1" x14ac:dyDescent="0.25">
      <c r="A576" s="79"/>
      <c r="B576" s="78"/>
      <c r="C576" s="82"/>
      <c r="D576" s="82"/>
      <c r="E576" s="83"/>
      <c r="F576" s="92"/>
      <c r="G576" s="92"/>
      <c r="H576" s="92"/>
      <c r="I576" s="93"/>
      <c r="J576" s="113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spans="1:26" ht="12.75" customHeight="1" x14ac:dyDescent="0.25">
      <c r="A577" s="79"/>
      <c r="B577" s="78"/>
      <c r="C577" s="82"/>
      <c r="D577" s="82"/>
      <c r="E577" s="83"/>
      <c r="F577" s="92"/>
      <c r="G577" s="92"/>
      <c r="H577" s="92"/>
      <c r="I577" s="93"/>
      <c r="J577" s="113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spans="1:26" ht="12.75" customHeight="1" x14ac:dyDescent="0.25">
      <c r="A578" s="79"/>
      <c r="B578" s="78"/>
      <c r="C578" s="82"/>
      <c r="D578" s="82"/>
      <c r="E578" s="83"/>
      <c r="F578" s="92"/>
      <c r="G578" s="92"/>
      <c r="H578" s="92"/>
      <c r="I578" s="93"/>
      <c r="J578" s="113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spans="1:26" ht="12.75" customHeight="1" x14ac:dyDescent="0.25">
      <c r="A579" s="79"/>
      <c r="B579" s="78"/>
      <c r="C579" s="82"/>
      <c r="D579" s="82"/>
      <c r="E579" s="83"/>
      <c r="F579" s="92"/>
      <c r="G579" s="92"/>
      <c r="H579" s="92"/>
      <c r="I579" s="93"/>
      <c r="J579" s="113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spans="1:26" ht="12.75" customHeight="1" x14ac:dyDescent="0.25">
      <c r="A580" s="79"/>
      <c r="B580" s="78"/>
      <c r="C580" s="82"/>
      <c r="D580" s="82"/>
      <c r="E580" s="83"/>
      <c r="F580" s="92"/>
      <c r="G580" s="92"/>
      <c r="H580" s="92"/>
      <c r="I580" s="93"/>
      <c r="J580" s="113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spans="1:26" ht="12.75" customHeight="1" x14ac:dyDescent="0.25">
      <c r="A581" s="79"/>
      <c r="B581" s="78"/>
      <c r="C581" s="82"/>
      <c r="D581" s="82"/>
      <c r="E581" s="83"/>
      <c r="F581" s="92"/>
      <c r="G581" s="92"/>
      <c r="H581" s="92"/>
      <c r="I581" s="93"/>
      <c r="J581" s="113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spans="1:26" ht="12.75" customHeight="1" x14ac:dyDescent="0.25">
      <c r="A582" s="79"/>
      <c r="B582" s="78"/>
      <c r="C582" s="82"/>
      <c r="D582" s="82"/>
      <c r="E582" s="83"/>
      <c r="F582" s="92"/>
      <c r="G582" s="92"/>
      <c r="H582" s="92"/>
      <c r="I582" s="93"/>
      <c r="J582" s="113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spans="1:26" ht="12.75" customHeight="1" x14ac:dyDescent="0.25">
      <c r="A583" s="79"/>
      <c r="B583" s="78"/>
      <c r="C583" s="82"/>
      <c r="D583" s="82"/>
      <c r="E583" s="83"/>
      <c r="F583" s="92"/>
      <c r="G583" s="92"/>
      <c r="H583" s="92"/>
      <c r="I583" s="93"/>
      <c r="J583" s="113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spans="1:26" ht="12.75" customHeight="1" x14ac:dyDescent="0.25">
      <c r="A584" s="79"/>
      <c r="B584" s="78"/>
      <c r="C584" s="82"/>
      <c r="D584" s="82"/>
      <c r="E584" s="83"/>
      <c r="F584" s="92"/>
      <c r="G584" s="92"/>
      <c r="H584" s="92"/>
      <c r="I584" s="93"/>
      <c r="J584" s="113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spans="1:26" ht="12.75" customHeight="1" x14ac:dyDescent="0.25">
      <c r="A585" s="79"/>
      <c r="B585" s="78"/>
      <c r="C585" s="82"/>
      <c r="D585" s="82"/>
      <c r="E585" s="83"/>
      <c r="F585" s="92"/>
      <c r="G585" s="92"/>
      <c r="H585" s="92"/>
      <c r="I585" s="93"/>
      <c r="J585" s="113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spans="1:26" ht="12.75" customHeight="1" x14ac:dyDescent="0.25">
      <c r="A586" s="79"/>
      <c r="B586" s="78"/>
      <c r="C586" s="82"/>
      <c r="D586" s="82"/>
      <c r="E586" s="83"/>
      <c r="F586" s="92"/>
      <c r="G586" s="92"/>
      <c r="H586" s="92"/>
      <c r="I586" s="93"/>
      <c r="J586" s="113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spans="1:26" ht="12.75" customHeight="1" x14ac:dyDescent="0.25">
      <c r="A587" s="79"/>
      <c r="B587" s="78"/>
      <c r="C587" s="82"/>
      <c r="D587" s="82"/>
      <c r="E587" s="83"/>
      <c r="F587" s="92"/>
      <c r="G587" s="92"/>
      <c r="H587" s="92"/>
      <c r="I587" s="93"/>
      <c r="J587" s="113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spans="1:26" ht="12.75" customHeight="1" x14ac:dyDescent="0.25">
      <c r="A588" s="79"/>
      <c r="B588" s="78"/>
      <c r="C588" s="82"/>
      <c r="D588" s="82"/>
      <c r="E588" s="83"/>
      <c r="F588" s="92"/>
      <c r="G588" s="92"/>
      <c r="H588" s="92"/>
      <c r="I588" s="93"/>
      <c r="J588" s="113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spans="1:26" ht="12.75" customHeight="1" x14ac:dyDescent="0.25">
      <c r="A589" s="79"/>
      <c r="B589" s="78"/>
      <c r="C589" s="82"/>
      <c r="D589" s="82"/>
      <c r="E589" s="83"/>
      <c r="F589" s="92"/>
      <c r="G589" s="92"/>
      <c r="H589" s="92"/>
      <c r="I589" s="93"/>
      <c r="J589" s="113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spans="1:26" ht="12.75" customHeight="1" x14ac:dyDescent="0.25">
      <c r="A590" s="79"/>
      <c r="B590" s="78"/>
      <c r="C590" s="82"/>
      <c r="D590" s="82"/>
      <c r="E590" s="83"/>
      <c r="F590" s="92"/>
      <c r="G590" s="92"/>
      <c r="H590" s="92"/>
      <c r="I590" s="93"/>
      <c r="J590" s="113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spans="1:26" ht="12.75" customHeight="1" x14ac:dyDescent="0.25">
      <c r="A591" s="79"/>
      <c r="B591" s="78"/>
      <c r="C591" s="82"/>
      <c r="D591" s="82"/>
      <c r="E591" s="83"/>
      <c r="F591" s="92"/>
      <c r="G591" s="92"/>
      <c r="H591" s="92"/>
      <c r="I591" s="93"/>
      <c r="J591" s="113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spans="1:26" ht="12.75" customHeight="1" x14ac:dyDescent="0.25">
      <c r="A592" s="79"/>
      <c r="B592" s="78"/>
      <c r="C592" s="82"/>
      <c r="D592" s="82"/>
      <c r="E592" s="83"/>
      <c r="F592" s="92"/>
      <c r="G592" s="92"/>
      <c r="H592" s="92"/>
      <c r="I592" s="93"/>
      <c r="J592" s="113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spans="1:26" ht="12.75" customHeight="1" x14ac:dyDescent="0.25">
      <c r="A593" s="79"/>
      <c r="B593" s="78"/>
      <c r="C593" s="82"/>
      <c r="D593" s="82"/>
      <c r="E593" s="83"/>
      <c r="F593" s="92"/>
      <c r="G593" s="92"/>
      <c r="H593" s="92"/>
      <c r="I593" s="93"/>
      <c r="J593" s="113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spans="1:26" ht="12.75" customHeight="1" x14ac:dyDescent="0.25">
      <c r="A594" s="79"/>
      <c r="B594" s="78"/>
      <c r="C594" s="82"/>
      <c r="D594" s="82"/>
      <c r="E594" s="83"/>
      <c r="F594" s="92"/>
      <c r="G594" s="92"/>
      <c r="H594" s="92"/>
      <c r="I594" s="93"/>
      <c r="J594" s="113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spans="1:26" ht="12.75" customHeight="1" x14ac:dyDescent="0.25">
      <c r="A595" s="79"/>
      <c r="B595" s="78"/>
      <c r="C595" s="82"/>
      <c r="D595" s="82"/>
      <c r="E595" s="83"/>
      <c r="F595" s="92"/>
      <c r="G595" s="92"/>
      <c r="H595" s="92"/>
      <c r="I595" s="93"/>
      <c r="J595" s="113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spans="1:26" ht="12.75" customHeight="1" x14ac:dyDescent="0.25">
      <c r="A596" s="79"/>
      <c r="B596" s="78"/>
      <c r="C596" s="82"/>
      <c r="D596" s="82"/>
      <c r="E596" s="83"/>
      <c r="F596" s="92"/>
      <c r="G596" s="92"/>
      <c r="H596" s="92"/>
      <c r="I596" s="93"/>
      <c r="J596" s="113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spans="1:26" ht="12.75" customHeight="1" x14ac:dyDescent="0.25">
      <c r="A597" s="79"/>
      <c r="B597" s="78"/>
      <c r="C597" s="82"/>
      <c r="D597" s="82"/>
      <c r="E597" s="83"/>
      <c r="F597" s="92"/>
      <c r="G597" s="92"/>
      <c r="H597" s="92"/>
      <c r="I597" s="93"/>
      <c r="J597" s="113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spans="1:26" ht="12.75" customHeight="1" x14ac:dyDescent="0.25">
      <c r="A598" s="79"/>
      <c r="B598" s="78"/>
      <c r="C598" s="82"/>
      <c r="D598" s="82"/>
      <c r="E598" s="83"/>
      <c r="F598" s="92"/>
      <c r="G598" s="92"/>
      <c r="H598" s="92"/>
      <c r="I598" s="93"/>
      <c r="J598" s="113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spans="1:26" ht="12.75" customHeight="1" x14ac:dyDescent="0.25">
      <c r="A599" s="79"/>
      <c r="B599" s="78"/>
      <c r="C599" s="82"/>
      <c r="D599" s="82"/>
      <c r="E599" s="83"/>
      <c r="F599" s="92"/>
      <c r="G599" s="92"/>
      <c r="H599" s="92"/>
      <c r="I599" s="93"/>
      <c r="J599" s="113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spans="1:26" ht="12.75" customHeight="1" x14ac:dyDescent="0.25">
      <c r="A600" s="79"/>
      <c r="B600" s="78"/>
      <c r="C600" s="82"/>
      <c r="D600" s="82"/>
      <c r="E600" s="83"/>
      <c r="F600" s="92"/>
      <c r="G600" s="92"/>
      <c r="H600" s="92"/>
      <c r="I600" s="93"/>
      <c r="J600" s="113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spans="1:26" ht="12.75" customHeight="1" x14ac:dyDescent="0.25">
      <c r="A601" s="79"/>
      <c r="B601" s="78"/>
      <c r="C601" s="82"/>
      <c r="D601" s="82"/>
      <c r="E601" s="83"/>
      <c r="F601" s="92"/>
      <c r="G601" s="92"/>
      <c r="H601" s="92"/>
      <c r="I601" s="93"/>
      <c r="J601" s="113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spans="1:26" ht="12.75" customHeight="1" x14ac:dyDescent="0.25">
      <c r="A602" s="79"/>
      <c r="B602" s="78"/>
      <c r="C602" s="82"/>
      <c r="D602" s="82"/>
      <c r="E602" s="83"/>
      <c r="F602" s="92"/>
      <c r="G602" s="92"/>
      <c r="H602" s="92"/>
      <c r="I602" s="93"/>
      <c r="J602" s="113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spans="1:26" ht="12.75" customHeight="1" x14ac:dyDescent="0.25">
      <c r="A603" s="79"/>
      <c r="B603" s="78"/>
      <c r="C603" s="82"/>
      <c r="D603" s="82"/>
      <c r="E603" s="83"/>
      <c r="F603" s="92"/>
      <c r="G603" s="92"/>
      <c r="H603" s="92"/>
      <c r="I603" s="93"/>
      <c r="J603" s="113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spans="1:26" ht="12.75" customHeight="1" x14ac:dyDescent="0.25">
      <c r="A604" s="79"/>
      <c r="B604" s="78"/>
      <c r="C604" s="82"/>
      <c r="D604" s="82"/>
      <c r="E604" s="83"/>
      <c r="F604" s="92"/>
      <c r="G604" s="92"/>
      <c r="H604" s="92"/>
      <c r="I604" s="93"/>
      <c r="J604" s="113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spans="1:26" ht="12.75" customHeight="1" x14ac:dyDescent="0.25">
      <c r="A605" s="79"/>
      <c r="B605" s="78"/>
      <c r="C605" s="82"/>
      <c r="D605" s="82"/>
      <c r="E605" s="83"/>
      <c r="F605" s="92"/>
      <c r="G605" s="92"/>
      <c r="H605" s="92"/>
      <c r="I605" s="93"/>
      <c r="J605" s="113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spans="1:26" ht="12.75" customHeight="1" x14ac:dyDescent="0.25">
      <c r="A606" s="79"/>
      <c r="B606" s="78"/>
      <c r="C606" s="82"/>
      <c r="D606" s="82"/>
      <c r="E606" s="83"/>
      <c r="F606" s="92"/>
      <c r="G606" s="92"/>
      <c r="H606" s="92"/>
      <c r="I606" s="93"/>
      <c r="J606" s="113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spans="1:26" ht="12.75" customHeight="1" x14ac:dyDescent="0.25">
      <c r="A607" s="79"/>
      <c r="B607" s="78"/>
      <c r="C607" s="82"/>
      <c r="D607" s="82"/>
      <c r="E607" s="83"/>
      <c r="F607" s="92"/>
      <c r="G607" s="92"/>
      <c r="H607" s="92"/>
      <c r="I607" s="93"/>
      <c r="J607" s="113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spans="1:26" ht="12.75" customHeight="1" x14ac:dyDescent="0.25">
      <c r="A608" s="79"/>
      <c r="B608" s="78"/>
      <c r="C608" s="82"/>
      <c r="D608" s="82"/>
      <c r="E608" s="83"/>
      <c r="F608" s="92"/>
      <c r="G608" s="92"/>
      <c r="H608" s="92"/>
      <c r="I608" s="93"/>
      <c r="J608" s="113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spans="1:26" ht="12.75" customHeight="1" x14ac:dyDescent="0.25">
      <c r="A609" s="79"/>
      <c r="B609" s="78"/>
      <c r="C609" s="82"/>
      <c r="D609" s="82"/>
      <c r="E609" s="83"/>
      <c r="F609" s="92"/>
      <c r="G609" s="92"/>
      <c r="H609" s="92"/>
      <c r="I609" s="93"/>
      <c r="J609" s="113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spans="1:26" ht="12.75" customHeight="1" x14ac:dyDescent="0.25">
      <c r="A610" s="79"/>
      <c r="B610" s="78"/>
      <c r="C610" s="82"/>
      <c r="D610" s="82"/>
      <c r="E610" s="83"/>
      <c r="F610" s="92"/>
      <c r="G610" s="92"/>
      <c r="H610" s="92"/>
      <c r="I610" s="93"/>
      <c r="J610" s="113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spans="1:26" ht="12.75" customHeight="1" x14ac:dyDescent="0.25">
      <c r="A611" s="79"/>
      <c r="B611" s="78"/>
      <c r="C611" s="82"/>
      <c r="D611" s="82"/>
      <c r="E611" s="83"/>
      <c r="F611" s="92"/>
      <c r="G611" s="92"/>
      <c r="H611" s="92"/>
      <c r="I611" s="93"/>
      <c r="J611" s="113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spans="1:26" ht="12.75" customHeight="1" x14ac:dyDescent="0.25">
      <c r="A612" s="79"/>
      <c r="B612" s="78"/>
      <c r="C612" s="82"/>
      <c r="D612" s="82"/>
      <c r="E612" s="83"/>
      <c r="F612" s="92"/>
      <c r="G612" s="92"/>
      <c r="H612" s="92"/>
      <c r="I612" s="93"/>
      <c r="J612" s="113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spans="1:26" ht="12.75" customHeight="1" x14ac:dyDescent="0.25">
      <c r="A613" s="79"/>
      <c r="B613" s="78"/>
      <c r="C613" s="82"/>
      <c r="D613" s="82"/>
      <c r="E613" s="83"/>
      <c r="F613" s="92"/>
      <c r="G613" s="92"/>
      <c r="H613" s="92"/>
      <c r="I613" s="93"/>
      <c r="J613" s="113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spans="1:26" ht="12.75" customHeight="1" x14ac:dyDescent="0.25">
      <c r="A614" s="79"/>
      <c r="B614" s="78"/>
      <c r="C614" s="82"/>
      <c r="D614" s="82"/>
      <c r="E614" s="83"/>
      <c r="F614" s="92"/>
      <c r="G614" s="92"/>
      <c r="H614" s="92"/>
      <c r="I614" s="93"/>
      <c r="J614" s="113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spans="1:26" ht="12.75" customHeight="1" x14ac:dyDescent="0.25">
      <c r="A615" s="79"/>
      <c r="B615" s="78"/>
      <c r="C615" s="82"/>
      <c r="D615" s="82"/>
      <c r="E615" s="83"/>
      <c r="F615" s="92"/>
      <c r="G615" s="92"/>
      <c r="H615" s="92"/>
      <c r="I615" s="93"/>
      <c r="J615" s="113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spans="1:26" ht="12.75" customHeight="1" x14ac:dyDescent="0.25">
      <c r="A616" s="79"/>
      <c r="B616" s="78"/>
      <c r="C616" s="82"/>
      <c r="D616" s="82"/>
      <c r="E616" s="83"/>
      <c r="F616" s="92"/>
      <c r="G616" s="92"/>
      <c r="H616" s="92"/>
      <c r="I616" s="93"/>
      <c r="J616" s="113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spans="1:26" ht="12.75" customHeight="1" x14ac:dyDescent="0.25">
      <c r="A617" s="79"/>
      <c r="B617" s="78"/>
      <c r="C617" s="82"/>
      <c r="D617" s="82"/>
      <c r="E617" s="83"/>
      <c r="F617" s="92"/>
      <c r="G617" s="92"/>
      <c r="H617" s="92"/>
      <c r="I617" s="93"/>
      <c r="J617" s="113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spans="1:26" ht="12.75" customHeight="1" x14ac:dyDescent="0.25">
      <c r="A618" s="79"/>
      <c r="B618" s="78"/>
      <c r="C618" s="82"/>
      <c r="D618" s="82"/>
      <c r="E618" s="83"/>
      <c r="F618" s="92"/>
      <c r="G618" s="92"/>
      <c r="H618" s="92"/>
      <c r="I618" s="93"/>
      <c r="J618" s="113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spans="1:26" ht="12.75" customHeight="1" x14ac:dyDescent="0.25">
      <c r="A619" s="79"/>
      <c r="B619" s="78"/>
      <c r="C619" s="82"/>
      <c r="D619" s="82"/>
      <c r="E619" s="83"/>
      <c r="F619" s="92"/>
      <c r="G619" s="92"/>
      <c r="H619" s="92"/>
      <c r="I619" s="93"/>
      <c r="J619" s="113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spans="1:26" ht="12.75" customHeight="1" x14ac:dyDescent="0.25">
      <c r="A620" s="79"/>
      <c r="B620" s="78"/>
      <c r="C620" s="82"/>
      <c r="D620" s="82"/>
      <c r="E620" s="83"/>
      <c r="F620" s="92"/>
      <c r="G620" s="92"/>
      <c r="H620" s="92"/>
      <c r="I620" s="93"/>
      <c r="J620" s="113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spans="1:26" ht="12.75" customHeight="1" x14ac:dyDescent="0.25">
      <c r="A621" s="79"/>
      <c r="B621" s="78"/>
      <c r="C621" s="82"/>
      <c r="D621" s="82"/>
      <c r="E621" s="83"/>
      <c r="F621" s="92"/>
      <c r="G621" s="92"/>
      <c r="H621" s="92"/>
      <c r="I621" s="93"/>
      <c r="J621" s="113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spans="1:26" ht="12.75" customHeight="1" x14ac:dyDescent="0.25">
      <c r="A622" s="79"/>
      <c r="B622" s="78"/>
      <c r="C622" s="82"/>
      <c r="D622" s="82"/>
      <c r="E622" s="83"/>
      <c r="F622" s="92"/>
      <c r="G622" s="92"/>
      <c r="H622" s="92"/>
      <c r="I622" s="93"/>
      <c r="J622" s="113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spans="1:26" ht="12.75" customHeight="1" x14ac:dyDescent="0.25">
      <c r="A623" s="79"/>
      <c r="B623" s="78"/>
      <c r="C623" s="82"/>
      <c r="D623" s="82"/>
      <c r="E623" s="83"/>
      <c r="F623" s="92"/>
      <c r="G623" s="92"/>
      <c r="H623" s="92"/>
      <c r="I623" s="93"/>
      <c r="J623" s="113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spans="1:26" ht="12.75" customHeight="1" x14ac:dyDescent="0.25">
      <c r="A624" s="79"/>
      <c r="B624" s="78"/>
      <c r="C624" s="82"/>
      <c r="D624" s="82"/>
      <c r="E624" s="83"/>
      <c r="F624" s="92"/>
      <c r="G624" s="92"/>
      <c r="H624" s="92"/>
      <c r="I624" s="93"/>
      <c r="J624" s="113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spans="1:26" ht="12.75" customHeight="1" x14ac:dyDescent="0.25">
      <c r="A625" s="79"/>
      <c r="B625" s="78"/>
      <c r="C625" s="82"/>
      <c r="D625" s="82"/>
      <c r="E625" s="83"/>
      <c r="F625" s="92"/>
      <c r="G625" s="92"/>
      <c r="H625" s="92"/>
      <c r="I625" s="93"/>
      <c r="J625" s="113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spans="1:26" ht="12.75" customHeight="1" x14ac:dyDescent="0.25">
      <c r="A626" s="79"/>
      <c r="B626" s="78"/>
      <c r="C626" s="82"/>
      <c r="D626" s="82"/>
      <c r="E626" s="83"/>
      <c r="F626" s="92"/>
      <c r="G626" s="92"/>
      <c r="H626" s="92"/>
      <c r="I626" s="93"/>
      <c r="J626" s="113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spans="1:26" ht="12.75" customHeight="1" x14ac:dyDescent="0.25">
      <c r="A627" s="79"/>
      <c r="B627" s="78"/>
      <c r="C627" s="82"/>
      <c r="D627" s="82"/>
      <c r="E627" s="83"/>
      <c r="F627" s="92"/>
      <c r="G627" s="92"/>
      <c r="H627" s="92"/>
      <c r="I627" s="93"/>
      <c r="J627" s="113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spans="1:26" ht="12.75" customHeight="1" x14ac:dyDescent="0.25">
      <c r="A628" s="79"/>
      <c r="B628" s="78"/>
      <c r="C628" s="82"/>
      <c r="D628" s="82"/>
      <c r="E628" s="83"/>
      <c r="F628" s="92"/>
      <c r="G628" s="92"/>
      <c r="H628" s="92"/>
      <c r="I628" s="93"/>
      <c r="J628" s="113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spans="1:26" ht="12.75" customHeight="1" x14ac:dyDescent="0.25">
      <c r="A629" s="79"/>
      <c r="B629" s="78"/>
      <c r="C629" s="82"/>
      <c r="D629" s="82"/>
      <c r="E629" s="83"/>
      <c r="F629" s="92"/>
      <c r="G629" s="92"/>
      <c r="H629" s="92"/>
      <c r="I629" s="93"/>
      <c r="J629" s="113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spans="1:26" ht="12.75" customHeight="1" x14ac:dyDescent="0.25">
      <c r="A630" s="79"/>
      <c r="B630" s="78"/>
      <c r="C630" s="82"/>
      <c r="D630" s="82"/>
      <c r="E630" s="83"/>
      <c r="F630" s="92"/>
      <c r="G630" s="92"/>
      <c r="H630" s="92"/>
      <c r="I630" s="93"/>
      <c r="J630" s="113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spans="1:26" ht="12.75" customHeight="1" x14ac:dyDescent="0.25">
      <c r="A631" s="79"/>
      <c r="B631" s="78"/>
      <c r="C631" s="82"/>
      <c r="D631" s="82"/>
      <c r="E631" s="83"/>
      <c r="F631" s="92"/>
      <c r="G631" s="92"/>
      <c r="H631" s="92"/>
      <c r="I631" s="93"/>
      <c r="J631" s="113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spans="1:26" ht="12.75" customHeight="1" x14ac:dyDescent="0.25">
      <c r="A632" s="79"/>
      <c r="B632" s="78"/>
      <c r="C632" s="82"/>
      <c r="D632" s="82"/>
      <c r="E632" s="83"/>
      <c r="F632" s="92"/>
      <c r="G632" s="92"/>
      <c r="H632" s="92"/>
      <c r="I632" s="93"/>
      <c r="J632" s="113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spans="1:26" ht="12.75" customHeight="1" x14ac:dyDescent="0.25">
      <c r="A633" s="79"/>
      <c r="B633" s="78"/>
      <c r="C633" s="82"/>
      <c r="D633" s="82"/>
      <c r="E633" s="83"/>
      <c r="F633" s="92"/>
      <c r="G633" s="92"/>
      <c r="H633" s="92"/>
      <c r="I633" s="93"/>
      <c r="J633" s="113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spans="1:26" ht="12.75" customHeight="1" x14ac:dyDescent="0.25">
      <c r="A634" s="79"/>
      <c r="B634" s="78"/>
      <c r="C634" s="82"/>
      <c r="D634" s="82"/>
      <c r="E634" s="83"/>
      <c r="F634" s="92"/>
      <c r="G634" s="92"/>
      <c r="H634" s="92"/>
      <c r="I634" s="93"/>
      <c r="J634" s="113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spans="1:26" ht="12.75" customHeight="1" x14ac:dyDescent="0.25">
      <c r="A635" s="79"/>
      <c r="B635" s="78"/>
      <c r="C635" s="82"/>
      <c r="D635" s="82"/>
      <c r="E635" s="83"/>
      <c r="F635" s="92"/>
      <c r="G635" s="92"/>
      <c r="H635" s="92"/>
      <c r="I635" s="93"/>
      <c r="J635" s="113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spans="1:26" ht="12.75" customHeight="1" x14ac:dyDescent="0.25">
      <c r="A636" s="79"/>
      <c r="B636" s="78"/>
      <c r="C636" s="82"/>
      <c r="D636" s="82"/>
      <c r="E636" s="83"/>
      <c r="F636" s="92"/>
      <c r="G636" s="92"/>
      <c r="H636" s="92"/>
      <c r="I636" s="93"/>
      <c r="J636" s="113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spans="1:26" ht="12.75" customHeight="1" x14ac:dyDescent="0.25">
      <c r="A637" s="79"/>
      <c r="B637" s="78"/>
      <c r="C637" s="82"/>
      <c r="D637" s="82"/>
      <c r="E637" s="83"/>
      <c r="F637" s="92"/>
      <c r="G637" s="92"/>
      <c r="H637" s="92"/>
      <c r="I637" s="93"/>
      <c r="J637" s="113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spans="1:26" ht="12.75" customHeight="1" x14ac:dyDescent="0.25">
      <c r="A638" s="79"/>
      <c r="B638" s="78"/>
      <c r="C638" s="82"/>
      <c r="D638" s="82"/>
      <c r="E638" s="83"/>
      <c r="F638" s="92"/>
      <c r="G638" s="92"/>
      <c r="H638" s="92"/>
      <c r="I638" s="93"/>
      <c r="J638" s="113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spans="1:26" ht="12.75" customHeight="1" x14ac:dyDescent="0.25">
      <c r="A639" s="79"/>
      <c r="B639" s="78"/>
      <c r="C639" s="82"/>
      <c r="D639" s="82"/>
      <c r="E639" s="83"/>
      <c r="F639" s="92"/>
      <c r="G639" s="92"/>
      <c r="H639" s="92"/>
      <c r="I639" s="93"/>
      <c r="J639" s="113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spans="1:26" ht="12.75" customHeight="1" x14ac:dyDescent="0.25">
      <c r="A640" s="79"/>
      <c r="B640" s="78"/>
      <c r="C640" s="82"/>
      <c r="D640" s="82"/>
      <c r="E640" s="83"/>
      <c r="F640" s="92"/>
      <c r="G640" s="92"/>
      <c r="H640" s="92"/>
      <c r="I640" s="93"/>
      <c r="J640" s="113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spans="1:26" ht="12.75" customHeight="1" x14ac:dyDescent="0.25">
      <c r="A641" s="79"/>
      <c r="B641" s="78"/>
      <c r="C641" s="82"/>
      <c r="D641" s="82"/>
      <c r="E641" s="83"/>
      <c r="F641" s="92"/>
      <c r="G641" s="92"/>
      <c r="H641" s="92"/>
      <c r="I641" s="93"/>
      <c r="J641" s="113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spans="1:26" ht="12.75" customHeight="1" x14ac:dyDescent="0.25">
      <c r="A642" s="79"/>
      <c r="B642" s="78"/>
      <c r="C642" s="82"/>
      <c r="D642" s="82"/>
      <c r="E642" s="83"/>
      <c r="F642" s="92"/>
      <c r="G642" s="92"/>
      <c r="H642" s="92"/>
      <c r="I642" s="93"/>
      <c r="J642" s="113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spans="1:26" ht="12.75" customHeight="1" x14ac:dyDescent="0.25">
      <c r="A643" s="79"/>
      <c r="B643" s="78"/>
      <c r="C643" s="82"/>
      <c r="D643" s="82"/>
      <c r="E643" s="83"/>
      <c r="F643" s="92"/>
      <c r="G643" s="92"/>
      <c r="H643" s="92"/>
      <c r="I643" s="93"/>
      <c r="J643" s="113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spans="1:26" ht="12.75" customHeight="1" x14ac:dyDescent="0.25">
      <c r="A644" s="79"/>
      <c r="B644" s="78"/>
      <c r="C644" s="82"/>
      <c r="D644" s="82"/>
      <c r="E644" s="83"/>
      <c r="F644" s="92"/>
      <c r="G644" s="92"/>
      <c r="H644" s="92"/>
      <c r="I644" s="93"/>
      <c r="J644" s="113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spans="1:26" ht="12.75" customHeight="1" x14ac:dyDescent="0.25">
      <c r="A645" s="79"/>
      <c r="B645" s="78"/>
      <c r="C645" s="82"/>
      <c r="D645" s="82"/>
      <c r="E645" s="83"/>
      <c r="F645" s="92"/>
      <c r="G645" s="92"/>
      <c r="H645" s="92"/>
      <c r="I645" s="93"/>
      <c r="J645" s="113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spans="1:26" ht="12.75" customHeight="1" x14ac:dyDescent="0.25">
      <c r="A646" s="79"/>
      <c r="B646" s="78"/>
      <c r="C646" s="82"/>
      <c r="D646" s="82"/>
      <c r="E646" s="83"/>
      <c r="F646" s="92"/>
      <c r="G646" s="92"/>
      <c r="H646" s="92"/>
      <c r="I646" s="93"/>
      <c r="J646" s="113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spans="1:26" ht="12.75" customHeight="1" x14ac:dyDescent="0.25">
      <c r="A647" s="79"/>
      <c r="B647" s="78"/>
      <c r="C647" s="82"/>
      <c r="D647" s="82"/>
      <c r="E647" s="83"/>
      <c r="F647" s="92"/>
      <c r="G647" s="92"/>
      <c r="H647" s="92"/>
      <c r="I647" s="93"/>
      <c r="J647" s="113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spans="1:26" ht="12.75" customHeight="1" x14ac:dyDescent="0.25">
      <c r="A648" s="79"/>
      <c r="B648" s="78"/>
      <c r="C648" s="82"/>
      <c r="D648" s="82"/>
      <c r="E648" s="83"/>
      <c r="F648" s="92"/>
      <c r="G648" s="92"/>
      <c r="H648" s="92"/>
      <c r="I648" s="93"/>
      <c r="J648" s="113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spans="1:26" ht="12.75" customHeight="1" x14ac:dyDescent="0.25">
      <c r="A649" s="79"/>
      <c r="B649" s="78"/>
      <c r="C649" s="82"/>
      <c r="D649" s="82"/>
      <c r="E649" s="83"/>
      <c r="F649" s="92"/>
      <c r="G649" s="92"/>
      <c r="H649" s="92"/>
      <c r="I649" s="93"/>
      <c r="J649" s="113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spans="1:26" ht="12.75" customHeight="1" x14ac:dyDescent="0.25">
      <c r="A650" s="79"/>
      <c r="B650" s="78"/>
      <c r="C650" s="82"/>
      <c r="D650" s="82"/>
      <c r="E650" s="83"/>
      <c r="F650" s="92"/>
      <c r="G650" s="92"/>
      <c r="H650" s="92"/>
      <c r="I650" s="93"/>
      <c r="J650" s="113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spans="1:26" ht="12.75" customHeight="1" x14ac:dyDescent="0.25">
      <c r="A651" s="79"/>
      <c r="B651" s="78"/>
      <c r="C651" s="82"/>
      <c r="D651" s="82"/>
      <c r="E651" s="83"/>
      <c r="F651" s="92"/>
      <c r="G651" s="92"/>
      <c r="H651" s="92"/>
      <c r="I651" s="93"/>
      <c r="J651" s="113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spans="1:26" ht="12.75" customHeight="1" x14ac:dyDescent="0.25">
      <c r="A652" s="79"/>
      <c r="B652" s="78"/>
      <c r="C652" s="82"/>
      <c r="D652" s="82"/>
      <c r="E652" s="83"/>
      <c r="F652" s="92"/>
      <c r="G652" s="92"/>
      <c r="H652" s="92"/>
      <c r="I652" s="93"/>
      <c r="J652" s="113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spans="1:26" ht="12.75" customHeight="1" x14ac:dyDescent="0.25">
      <c r="A653" s="79"/>
      <c r="B653" s="78"/>
      <c r="C653" s="82"/>
      <c r="D653" s="82"/>
      <c r="E653" s="83"/>
      <c r="F653" s="92"/>
      <c r="G653" s="92"/>
      <c r="H653" s="92"/>
      <c r="I653" s="93"/>
      <c r="J653" s="113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spans="1:26" ht="12.75" customHeight="1" x14ac:dyDescent="0.25">
      <c r="A654" s="79"/>
      <c r="B654" s="78"/>
      <c r="C654" s="82"/>
      <c r="D654" s="82"/>
      <c r="E654" s="83"/>
      <c r="F654" s="92"/>
      <c r="G654" s="92"/>
      <c r="H654" s="92"/>
      <c r="I654" s="93"/>
      <c r="J654" s="113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spans="1:26" ht="12.75" customHeight="1" x14ac:dyDescent="0.25">
      <c r="A655" s="79"/>
      <c r="B655" s="78"/>
      <c r="C655" s="82"/>
      <c r="D655" s="82"/>
      <c r="E655" s="83"/>
      <c r="F655" s="92"/>
      <c r="G655" s="92"/>
      <c r="H655" s="92"/>
      <c r="I655" s="93"/>
      <c r="J655" s="113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spans="1:26" ht="12.75" customHeight="1" x14ac:dyDescent="0.25">
      <c r="A656" s="79"/>
      <c r="B656" s="78"/>
      <c r="C656" s="82"/>
      <c r="D656" s="82"/>
      <c r="E656" s="83"/>
      <c r="F656" s="92"/>
      <c r="G656" s="92"/>
      <c r="H656" s="92"/>
      <c r="I656" s="93"/>
      <c r="J656" s="113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spans="1:26" ht="12.75" customHeight="1" x14ac:dyDescent="0.25">
      <c r="A657" s="79"/>
      <c r="B657" s="78"/>
      <c r="C657" s="82"/>
      <c r="D657" s="82"/>
      <c r="E657" s="83"/>
      <c r="F657" s="92"/>
      <c r="G657" s="92"/>
      <c r="H657" s="92"/>
      <c r="I657" s="93"/>
      <c r="J657" s="113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spans="1:26" ht="12.75" customHeight="1" x14ac:dyDescent="0.25">
      <c r="A658" s="79"/>
      <c r="B658" s="78"/>
      <c r="C658" s="82"/>
      <c r="D658" s="82"/>
      <c r="E658" s="83"/>
      <c r="F658" s="92"/>
      <c r="G658" s="92"/>
      <c r="H658" s="92"/>
      <c r="I658" s="93"/>
      <c r="J658" s="113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spans="1:26" ht="12.75" customHeight="1" x14ac:dyDescent="0.25">
      <c r="A659" s="79"/>
      <c r="B659" s="78"/>
      <c r="C659" s="82"/>
      <c r="D659" s="82"/>
      <c r="E659" s="83"/>
      <c r="F659" s="92"/>
      <c r="G659" s="92"/>
      <c r="H659" s="92"/>
      <c r="I659" s="93"/>
      <c r="J659" s="113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spans="1:26" ht="12.75" customHeight="1" x14ac:dyDescent="0.25">
      <c r="A660" s="79"/>
      <c r="B660" s="78"/>
      <c r="C660" s="82"/>
      <c r="D660" s="82"/>
      <c r="E660" s="83"/>
      <c r="F660" s="92"/>
      <c r="G660" s="92"/>
      <c r="H660" s="92"/>
      <c r="I660" s="93"/>
      <c r="J660" s="113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spans="1:26" ht="12.75" customHeight="1" x14ac:dyDescent="0.25">
      <c r="A661" s="79"/>
      <c r="B661" s="78"/>
      <c r="C661" s="82"/>
      <c r="D661" s="82"/>
      <c r="E661" s="83"/>
      <c r="F661" s="92"/>
      <c r="G661" s="92"/>
      <c r="H661" s="92"/>
      <c r="I661" s="93"/>
      <c r="J661" s="113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spans="1:26" ht="12.75" customHeight="1" x14ac:dyDescent="0.25">
      <c r="A662" s="79"/>
      <c r="B662" s="78"/>
      <c r="C662" s="82"/>
      <c r="D662" s="82"/>
      <c r="E662" s="83"/>
      <c r="F662" s="92"/>
      <c r="G662" s="92"/>
      <c r="H662" s="92"/>
      <c r="I662" s="93"/>
      <c r="J662" s="113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spans="1:26" ht="12.75" customHeight="1" x14ac:dyDescent="0.25">
      <c r="A663" s="79"/>
      <c r="B663" s="78"/>
      <c r="C663" s="82"/>
      <c r="D663" s="82"/>
      <c r="E663" s="83"/>
      <c r="F663" s="92"/>
      <c r="G663" s="92"/>
      <c r="H663" s="92"/>
      <c r="I663" s="93"/>
      <c r="J663" s="113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spans="1:26" ht="12.75" customHeight="1" x14ac:dyDescent="0.25">
      <c r="A664" s="79"/>
      <c r="B664" s="78"/>
      <c r="C664" s="82"/>
      <c r="D664" s="82"/>
      <c r="E664" s="83"/>
      <c r="F664" s="92"/>
      <c r="G664" s="92"/>
      <c r="H664" s="92"/>
      <c r="I664" s="93"/>
      <c r="J664" s="113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spans="1:26" ht="12.75" customHeight="1" x14ac:dyDescent="0.25">
      <c r="A665" s="79"/>
      <c r="B665" s="78"/>
      <c r="C665" s="82"/>
      <c r="D665" s="82"/>
      <c r="E665" s="83"/>
      <c r="F665" s="92"/>
      <c r="G665" s="92"/>
      <c r="H665" s="92"/>
      <c r="I665" s="93"/>
      <c r="J665" s="113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spans="1:26" ht="12.75" customHeight="1" x14ac:dyDescent="0.25">
      <c r="A666" s="79"/>
      <c r="B666" s="78"/>
      <c r="C666" s="82"/>
      <c r="D666" s="82"/>
      <c r="E666" s="83"/>
      <c r="F666" s="92"/>
      <c r="G666" s="92"/>
      <c r="H666" s="92"/>
      <c r="I666" s="93"/>
      <c r="J666" s="113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spans="1:26" ht="12.75" customHeight="1" x14ac:dyDescent="0.25">
      <c r="A667" s="79"/>
      <c r="B667" s="78"/>
      <c r="C667" s="82"/>
      <c r="D667" s="82"/>
      <c r="E667" s="83"/>
      <c r="F667" s="92"/>
      <c r="G667" s="92"/>
      <c r="H667" s="92"/>
      <c r="I667" s="93"/>
      <c r="J667" s="113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spans="1:26" ht="12.75" customHeight="1" x14ac:dyDescent="0.25">
      <c r="A668" s="79"/>
      <c r="B668" s="78"/>
      <c r="C668" s="82"/>
      <c r="D668" s="82"/>
      <c r="E668" s="83"/>
      <c r="F668" s="92"/>
      <c r="G668" s="92"/>
      <c r="H668" s="92"/>
      <c r="I668" s="93"/>
      <c r="J668" s="113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spans="1:26" ht="12.75" customHeight="1" x14ac:dyDescent="0.25">
      <c r="A669" s="79"/>
      <c r="B669" s="78"/>
      <c r="C669" s="82"/>
      <c r="D669" s="82"/>
      <c r="E669" s="83"/>
      <c r="F669" s="92"/>
      <c r="G669" s="92"/>
      <c r="H669" s="92"/>
      <c r="I669" s="93"/>
      <c r="J669" s="113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spans="1:26" ht="12.75" customHeight="1" x14ac:dyDescent="0.25">
      <c r="A670" s="79"/>
      <c r="B670" s="78"/>
      <c r="C670" s="82"/>
      <c r="D670" s="82"/>
      <c r="E670" s="83"/>
      <c r="F670" s="92"/>
      <c r="G670" s="92"/>
      <c r="H670" s="92"/>
      <c r="I670" s="93"/>
      <c r="J670" s="113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spans="1:26" ht="12.75" customHeight="1" x14ac:dyDescent="0.25">
      <c r="A671" s="79"/>
      <c r="B671" s="78"/>
      <c r="C671" s="82"/>
      <c r="D671" s="82"/>
      <c r="E671" s="83"/>
      <c r="F671" s="92"/>
      <c r="G671" s="92"/>
      <c r="H671" s="92"/>
      <c r="I671" s="93"/>
      <c r="J671" s="113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spans="1:26" ht="12.75" customHeight="1" x14ac:dyDescent="0.25">
      <c r="A672" s="79"/>
      <c r="B672" s="78"/>
      <c r="C672" s="82"/>
      <c r="D672" s="82"/>
      <c r="E672" s="83"/>
      <c r="F672" s="92"/>
      <c r="G672" s="92"/>
      <c r="H672" s="92"/>
      <c r="I672" s="93"/>
      <c r="J672" s="113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spans="1:26" ht="12.75" customHeight="1" x14ac:dyDescent="0.25">
      <c r="A673" s="79"/>
      <c r="B673" s="78"/>
      <c r="C673" s="82"/>
      <c r="D673" s="82"/>
      <c r="E673" s="83"/>
      <c r="F673" s="92"/>
      <c r="G673" s="92"/>
      <c r="H673" s="92"/>
      <c r="I673" s="93"/>
      <c r="J673" s="113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spans="1:26" ht="12.75" customHeight="1" x14ac:dyDescent="0.25">
      <c r="A674" s="79"/>
      <c r="B674" s="78"/>
      <c r="C674" s="82"/>
      <c r="D674" s="82"/>
      <c r="E674" s="83"/>
      <c r="F674" s="92"/>
      <c r="G674" s="92"/>
      <c r="H674" s="92"/>
      <c r="I674" s="93"/>
      <c r="J674" s="113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spans="1:26" ht="12.75" customHeight="1" x14ac:dyDescent="0.25">
      <c r="A675" s="79"/>
      <c r="B675" s="78"/>
      <c r="C675" s="82"/>
      <c r="D675" s="82"/>
      <c r="E675" s="83"/>
      <c r="F675" s="92"/>
      <c r="G675" s="92"/>
      <c r="H675" s="92"/>
      <c r="I675" s="93"/>
      <c r="J675" s="113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spans="1:26" ht="12.75" customHeight="1" x14ac:dyDescent="0.25">
      <c r="A676" s="79"/>
      <c r="B676" s="78"/>
      <c r="C676" s="82"/>
      <c r="D676" s="82"/>
      <c r="E676" s="83"/>
      <c r="F676" s="92"/>
      <c r="G676" s="92"/>
      <c r="H676" s="92"/>
      <c r="I676" s="93"/>
      <c r="J676" s="113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spans="1:26" ht="12.75" customHeight="1" x14ac:dyDescent="0.25">
      <c r="A677" s="79"/>
      <c r="B677" s="78"/>
      <c r="C677" s="82"/>
      <c r="D677" s="82"/>
      <c r="E677" s="83"/>
      <c r="F677" s="92"/>
      <c r="G677" s="92"/>
      <c r="H677" s="92"/>
      <c r="I677" s="93"/>
      <c r="J677" s="113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spans="1:26" ht="12.75" customHeight="1" x14ac:dyDescent="0.25">
      <c r="A678" s="79"/>
      <c r="B678" s="78"/>
      <c r="C678" s="82"/>
      <c r="D678" s="82"/>
      <c r="E678" s="83"/>
      <c r="F678" s="92"/>
      <c r="G678" s="92"/>
      <c r="H678" s="92"/>
      <c r="I678" s="93"/>
      <c r="J678" s="113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spans="1:26" ht="12.75" customHeight="1" x14ac:dyDescent="0.25">
      <c r="A679" s="79"/>
      <c r="B679" s="78"/>
      <c r="C679" s="82"/>
      <c r="D679" s="82"/>
      <c r="E679" s="83"/>
      <c r="F679" s="92"/>
      <c r="G679" s="92"/>
      <c r="H679" s="92"/>
      <c r="I679" s="93"/>
      <c r="J679" s="113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spans="1:26" ht="12.75" customHeight="1" x14ac:dyDescent="0.25">
      <c r="A680" s="79"/>
      <c r="B680" s="78"/>
      <c r="C680" s="82"/>
      <c r="D680" s="82"/>
      <c r="E680" s="83"/>
      <c r="F680" s="92"/>
      <c r="G680" s="92"/>
      <c r="H680" s="92"/>
      <c r="I680" s="93"/>
      <c r="J680" s="113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spans="1:26" ht="12.75" customHeight="1" x14ac:dyDescent="0.25">
      <c r="A681" s="79"/>
      <c r="B681" s="78"/>
      <c r="C681" s="82"/>
      <c r="D681" s="82"/>
      <c r="E681" s="83"/>
      <c r="F681" s="92"/>
      <c r="G681" s="92"/>
      <c r="H681" s="92"/>
      <c r="I681" s="93"/>
      <c r="J681" s="113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spans="1:26" ht="12.75" customHeight="1" x14ac:dyDescent="0.25">
      <c r="A682" s="79"/>
      <c r="B682" s="78"/>
      <c r="C682" s="82"/>
      <c r="D682" s="82"/>
      <c r="E682" s="83"/>
      <c r="F682" s="92"/>
      <c r="G682" s="92"/>
      <c r="H682" s="92"/>
      <c r="I682" s="93"/>
      <c r="J682" s="113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spans="1:26" ht="12.75" customHeight="1" x14ac:dyDescent="0.25">
      <c r="A683" s="79"/>
      <c r="B683" s="78"/>
      <c r="C683" s="82"/>
      <c r="D683" s="82"/>
      <c r="E683" s="83"/>
      <c r="F683" s="92"/>
      <c r="G683" s="92"/>
      <c r="H683" s="92"/>
      <c r="I683" s="93"/>
      <c r="J683" s="113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spans="1:26" ht="12.75" customHeight="1" x14ac:dyDescent="0.25">
      <c r="A684" s="79"/>
      <c r="B684" s="78"/>
      <c r="C684" s="82"/>
      <c r="D684" s="82"/>
      <c r="E684" s="83"/>
      <c r="F684" s="92"/>
      <c r="G684" s="92"/>
      <c r="H684" s="92"/>
      <c r="I684" s="93"/>
      <c r="J684" s="113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spans="1:26" ht="12.75" customHeight="1" x14ac:dyDescent="0.25">
      <c r="A685" s="79"/>
      <c r="B685" s="78"/>
      <c r="C685" s="82"/>
      <c r="D685" s="82"/>
      <c r="E685" s="83"/>
      <c r="F685" s="92"/>
      <c r="G685" s="92"/>
      <c r="H685" s="92"/>
      <c r="I685" s="93"/>
      <c r="J685" s="113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spans="1:26" ht="12.75" customHeight="1" x14ac:dyDescent="0.25">
      <c r="A686" s="79"/>
      <c r="B686" s="78"/>
      <c r="C686" s="82"/>
      <c r="D686" s="82"/>
      <c r="E686" s="83"/>
      <c r="F686" s="92"/>
      <c r="G686" s="92"/>
      <c r="H686" s="92"/>
      <c r="I686" s="93"/>
      <c r="J686" s="113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spans="1:26" ht="12.75" customHeight="1" x14ac:dyDescent="0.25">
      <c r="A687" s="79"/>
      <c r="B687" s="78"/>
      <c r="C687" s="82"/>
      <c r="D687" s="82"/>
      <c r="E687" s="83"/>
      <c r="F687" s="92"/>
      <c r="G687" s="92"/>
      <c r="H687" s="92"/>
      <c r="I687" s="93"/>
      <c r="J687" s="113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spans="1:26" ht="12.75" customHeight="1" x14ac:dyDescent="0.25">
      <c r="A688" s="79"/>
      <c r="B688" s="78"/>
      <c r="C688" s="82"/>
      <c r="D688" s="82"/>
      <c r="E688" s="83"/>
      <c r="F688" s="92"/>
      <c r="G688" s="92"/>
      <c r="H688" s="92"/>
      <c r="I688" s="93"/>
      <c r="J688" s="113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spans="1:26" ht="12.75" customHeight="1" x14ac:dyDescent="0.25">
      <c r="A689" s="79"/>
      <c r="B689" s="78"/>
      <c r="C689" s="82"/>
      <c r="D689" s="82"/>
      <c r="E689" s="83"/>
      <c r="F689" s="92"/>
      <c r="G689" s="92"/>
      <c r="H689" s="92"/>
      <c r="I689" s="93"/>
      <c r="J689" s="113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spans="1:26" ht="12.75" customHeight="1" x14ac:dyDescent="0.25">
      <c r="A690" s="79"/>
      <c r="B690" s="78"/>
      <c r="C690" s="82"/>
      <c r="D690" s="82"/>
      <c r="E690" s="83"/>
      <c r="F690" s="92"/>
      <c r="G690" s="92"/>
      <c r="H690" s="92"/>
      <c r="I690" s="93"/>
      <c r="J690" s="113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spans="1:26" ht="12.75" customHeight="1" x14ac:dyDescent="0.25">
      <c r="A691" s="79"/>
      <c r="B691" s="78"/>
      <c r="C691" s="82"/>
      <c r="D691" s="82"/>
      <c r="E691" s="83"/>
      <c r="F691" s="92"/>
      <c r="G691" s="92"/>
      <c r="H691" s="92"/>
      <c r="I691" s="93"/>
      <c r="J691" s="113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spans="1:26" ht="12.75" customHeight="1" x14ac:dyDescent="0.25">
      <c r="A692" s="79"/>
      <c r="B692" s="78"/>
      <c r="C692" s="82"/>
      <c r="D692" s="82"/>
      <c r="E692" s="83"/>
      <c r="F692" s="92"/>
      <c r="G692" s="92"/>
      <c r="H692" s="92"/>
      <c r="I692" s="93"/>
      <c r="J692" s="113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spans="1:26" ht="12.75" customHeight="1" x14ac:dyDescent="0.25">
      <c r="A693" s="79"/>
      <c r="B693" s="78"/>
      <c r="C693" s="82"/>
      <c r="D693" s="82"/>
      <c r="E693" s="83"/>
      <c r="F693" s="92"/>
      <c r="G693" s="92"/>
      <c r="H693" s="92"/>
      <c r="I693" s="93"/>
      <c r="J693" s="113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spans="1:26" ht="12.75" customHeight="1" x14ac:dyDescent="0.25">
      <c r="A694" s="79"/>
      <c r="B694" s="78"/>
      <c r="C694" s="82"/>
      <c r="D694" s="82"/>
      <c r="E694" s="83"/>
      <c r="F694" s="92"/>
      <c r="G694" s="92"/>
      <c r="H694" s="92"/>
      <c r="I694" s="93"/>
      <c r="J694" s="113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spans="1:26" ht="12.75" customHeight="1" x14ac:dyDescent="0.25">
      <c r="A695" s="79"/>
      <c r="B695" s="78"/>
      <c r="C695" s="82"/>
      <c r="D695" s="82"/>
      <c r="E695" s="83"/>
      <c r="F695" s="92"/>
      <c r="G695" s="92"/>
      <c r="H695" s="92"/>
      <c r="I695" s="93"/>
      <c r="J695" s="113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spans="1:26" ht="12.75" customHeight="1" x14ac:dyDescent="0.25">
      <c r="A696" s="79"/>
      <c r="B696" s="78"/>
      <c r="C696" s="82"/>
      <c r="D696" s="82"/>
      <c r="E696" s="83"/>
      <c r="F696" s="92"/>
      <c r="G696" s="92"/>
      <c r="H696" s="92"/>
      <c r="I696" s="93"/>
      <c r="J696" s="113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spans="1:26" ht="12.75" customHeight="1" x14ac:dyDescent="0.25">
      <c r="A697" s="79"/>
      <c r="B697" s="78"/>
      <c r="C697" s="82"/>
      <c r="D697" s="82"/>
      <c r="E697" s="83"/>
      <c r="F697" s="92"/>
      <c r="G697" s="92"/>
      <c r="H697" s="92"/>
      <c r="I697" s="93"/>
      <c r="J697" s="113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spans="1:26" ht="12.75" customHeight="1" x14ac:dyDescent="0.25">
      <c r="A698" s="79"/>
      <c r="B698" s="78"/>
      <c r="C698" s="82"/>
      <c r="D698" s="82"/>
      <c r="E698" s="83"/>
      <c r="F698" s="92"/>
      <c r="G698" s="92"/>
      <c r="H698" s="92"/>
      <c r="I698" s="93"/>
      <c r="J698" s="113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spans="1:26" ht="12.75" customHeight="1" x14ac:dyDescent="0.25">
      <c r="A699" s="79"/>
      <c r="B699" s="78"/>
      <c r="C699" s="82"/>
      <c r="D699" s="82"/>
      <c r="E699" s="83"/>
      <c r="F699" s="92"/>
      <c r="G699" s="92"/>
      <c r="H699" s="92"/>
      <c r="I699" s="93"/>
      <c r="J699" s="113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spans="1:26" ht="12.75" customHeight="1" x14ac:dyDescent="0.25">
      <c r="A700" s="79"/>
      <c r="B700" s="78"/>
      <c r="C700" s="82"/>
      <c r="D700" s="82"/>
      <c r="E700" s="83"/>
      <c r="F700" s="92"/>
      <c r="G700" s="92"/>
      <c r="H700" s="92"/>
      <c r="I700" s="93"/>
      <c r="J700" s="113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spans="1:26" ht="12.75" customHeight="1" x14ac:dyDescent="0.25">
      <c r="A701" s="79"/>
      <c r="B701" s="78"/>
      <c r="C701" s="82"/>
      <c r="D701" s="82"/>
      <c r="E701" s="83"/>
      <c r="F701" s="92"/>
      <c r="G701" s="92"/>
      <c r="H701" s="92"/>
      <c r="I701" s="93"/>
      <c r="J701" s="113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spans="1:26" ht="12.75" customHeight="1" x14ac:dyDescent="0.25">
      <c r="A702" s="79"/>
      <c r="B702" s="78"/>
      <c r="C702" s="82"/>
      <c r="D702" s="82"/>
      <c r="E702" s="83"/>
      <c r="F702" s="92"/>
      <c r="G702" s="92"/>
      <c r="H702" s="92"/>
      <c r="I702" s="93"/>
      <c r="J702" s="113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spans="1:26" ht="12.75" customHeight="1" x14ac:dyDescent="0.25">
      <c r="A703" s="79"/>
      <c r="B703" s="78"/>
      <c r="C703" s="82"/>
      <c r="D703" s="82"/>
      <c r="E703" s="83"/>
      <c r="F703" s="92"/>
      <c r="G703" s="92"/>
      <c r="H703" s="92"/>
      <c r="I703" s="93"/>
      <c r="J703" s="113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spans="1:26" ht="12.75" customHeight="1" x14ac:dyDescent="0.25">
      <c r="A704" s="79"/>
      <c r="B704" s="78"/>
      <c r="C704" s="82"/>
      <c r="D704" s="82"/>
      <c r="E704" s="83"/>
      <c r="F704" s="92"/>
      <c r="G704" s="92"/>
      <c r="H704" s="92"/>
      <c r="I704" s="93"/>
      <c r="J704" s="113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spans="1:26" ht="12.75" customHeight="1" x14ac:dyDescent="0.25">
      <c r="A705" s="79"/>
      <c r="B705" s="78"/>
      <c r="C705" s="82"/>
      <c r="D705" s="82"/>
      <c r="E705" s="83"/>
      <c r="F705" s="92"/>
      <c r="G705" s="92"/>
      <c r="H705" s="92"/>
      <c r="I705" s="93"/>
      <c r="J705" s="113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spans="1:26" ht="12.75" customHeight="1" x14ac:dyDescent="0.25">
      <c r="A706" s="79"/>
      <c r="B706" s="78"/>
      <c r="C706" s="82"/>
      <c r="D706" s="82"/>
      <c r="E706" s="83"/>
      <c r="F706" s="92"/>
      <c r="G706" s="92"/>
      <c r="H706" s="92"/>
      <c r="I706" s="93"/>
      <c r="J706" s="113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spans="1:26" ht="12.75" customHeight="1" x14ac:dyDescent="0.25">
      <c r="A707" s="79"/>
      <c r="B707" s="78"/>
      <c r="C707" s="82"/>
      <c r="D707" s="82"/>
      <c r="E707" s="83"/>
      <c r="F707" s="92"/>
      <c r="G707" s="92"/>
      <c r="H707" s="92"/>
      <c r="I707" s="93"/>
      <c r="J707" s="113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spans="1:26" ht="12.75" customHeight="1" x14ac:dyDescent="0.25">
      <c r="A708" s="79"/>
      <c r="B708" s="78"/>
      <c r="C708" s="82"/>
      <c r="D708" s="82"/>
      <c r="E708" s="83"/>
      <c r="F708" s="92"/>
      <c r="G708" s="92"/>
      <c r="H708" s="92"/>
      <c r="I708" s="93"/>
      <c r="J708" s="113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spans="1:26" ht="12.75" customHeight="1" x14ac:dyDescent="0.25">
      <c r="A709" s="79"/>
      <c r="B709" s="78"/>
      <c r="C709" s="82"/>
      <c r="D709" s="82"/>
      <c r="E709" s="83"/>
      <c r="F709" s="92"/>
      <c r="G709" s="92"/>
      <c r="H709" s="92"/>
      <c r="I709" s="93"/>
      <c r="J709" s="113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spans="1:26" ht="12.75" customHeight="1" x14ac:dyDescent="0.25">
      <c r="A710" s="79"/>
      <c r="B710" s="78"/>
      <c r="C710" s="82"/>
      <c r="D710" s="82"/>
      <c r="E710" s="83"/>
      <c r="F710" s="92"/>
      <c r="G710" s="92"/>
      <c r="H710" s="92"/>
      <c r="I710" s="93"/>
      <c r="J710" s="113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spans="1:26" ht="12.75" customHeight="1" x14ac:dyDescent="0.25">
      <c r="A711" s="79"/>
      <c r="B711" s="78"/>
      <c r="C711" s="82"/>
      <c r="D711" s="82"/>
      <c r="E711" s="83"/>
      <c r="F711" s="92"/>
      <c r="G711" s="92"/>
      <c r="H711" s="92"/>
      <c r="I711" s="93"/>
      <c r="J711" s="113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spans="1:26" ht="12.75" customHeight="1" x14ac:dyDescent="0.25">
      <c r="A712" s="79"/>
      <c r="B712" s="78"/>
      <c r="C712" s="82"/>
      <c r="D712" s="82"/>
      <c r="E712" s="83"/>
      <c r="F712" s="92"/>
      <c r="G712" s="92"/>
      <c r="H712" s="92"/>
      <c r="I712" s="93"/>
      <c r="J712" s="113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spans="1:26" ht="12.75" customHeight="1" x14ac:dyDescent="0.25">
      <c r="A713" s="79"/>
      <c r="B713" s="78"/>
      <c r="C713" s="82"/>
      <c r="D713" s="82"/>
      <c r="E713" s="83"/>
      <c r="F713" s="92"/>
      <c r="G713" s="92"/>
      <c r="H713" s="92"/>
      <c r="I713" s="93"/>
      <c r="J713" s="113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spans="1:26" ht="12.75" customHeight="1" x14ac:dyDescent="0.25">
      <c r="A714" s="79"/>
      <c r="B714" s="78"/>
      <c r="C714" s="82"/>
      <c r="D714" s="82"/>
      <c r="E714" s="83"/>
      <c r="F714" s="92"/>
      <c r="G714" s="92"/>
      <c r="H714" s="92"/>
      <c r="I714" s="93"/>
      <c r="J714" s="113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spans="1:26" ht="12.75" customHeight="1" x14ac:dyDescent="0.25">
      <c r="A715" s="79"/>
      <c r="B715" s="78"/>
      <c r="C715" s="82"/>
      <c r="D715" s="82"/>
      <c r="E715" s="83"/>
      <c r="F715" s="92"/>
      <c r="G715" s="92"/>
      <c r="H715" s="92"/>
      <c r="I715" s="93"/>
      <c r="J715" s="113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spans="1:26" ht="12.75" customHeight="1" x14ac:dyDescent="0.25">
      <c r="A716" s="79"/>
      <c r="B716" s="78"/>
      <c r="C716" s="82"/>
      <c r="D716" s="82"/>
      <c r="E716" s="83"/>
      <c r="F716" s="92"/>
      <c r="G716" s="92"/>
      <c r="H716" s="92"/>
      <c r="I716" s="93"/>
      <c r="J716" s="113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spans="1:26" ht="12.75" customHeight="1" x14ac:dyDescent="0.25">
      <c r="A717" s="79"/>
      <c r="B717" s="78"/>
      <c r="C717" s="82"/>
      <c r="D717" s="82"/>
      <c r="E717" s="83"/>
      <c r="F717" s="92"/>
      <c r="G717" s="92"/>
      <c r="H717" s="92"/>
      <c r="I717" s="93"/>
      <c r="J717" s="113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spans="1:26" ht="12.75" customHeight="1" x14ac:dyDescent="0.25">
      <c r="A718" s="79"/>
      <c r="B718" s="78"/>
      <c r="C718" s="82"/>
      <c r="D718" s="82"/>
      <c r="E718" s="83"/>
      <c r="F718" s="92"/>
      <c r="G718" s="92"/>
      <c r="H718" s="92"/>
      <c r="I718" s="93"/>
      <c r="J718" s="113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spans="1:26" ht="12.75" customHeight="1" x14ac:dyDescent="0.25">
      <c r="A719" s="79"/>
      <c r="B719" s="78"/>
      <c r="C719" s="82"/>
      <c r="D719" s="82"/>
      <c r="E719" s="83"/>
      <c r="F719" s="92"/>
      <c r="G719" s="92"/>
      <c r="H719" s="92"/>
      <c r="I719" s="93"/>
      <c r="J719" s="113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spans="1:26" ht="12.75" customHeight="1" x14ac:dyDescent="0.25">
      <c r="A720" s="79"/>
      <c r="B720" s="78"/>
      <c r="C720" s="82"/>
      <c r="D720" s="82"/>
      <c r="E720" s="83"/>
      <c r="F720" s="92"/>
      <c r="G720" s="92"/>
      <c r="H720" s="92"/>
      <c r="I720" s="93"/>
      <c r="J720" s="113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spans="1:26" ht="12.75" customHeight="1" x14ac:dyDescent="0.25">
      <c r="A721" s="79"/>
      <c r="B721" s="78"/>
      <c r="C721" s="82"/>
      <c r="D721" s="82"/>
      <c r="E721" s="83"/>
      <c r="F721" s="92"/>
      <c r="G721" s="92"/>
      <c r="H721" s="92"/>
      <c r="I721" s="93"/>
      <c r="J721" s="113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spans="1:26" ht="12.75" customHeight="1" x14ac:dyDescent="0.25">
      <c r="A722" s="79"/>
      <c r="B722" s="78"/>
      <c r="C722" s="82"/>
      <c r="D722" s="82"/>
      <c r="E722" s="83"/>
      <c r="F722" s="92"/>
      <c r="G722" s="92"/>
      <c r="H722" s="92"/>
      <c r="I722" s="93"/>
      <c r="J722" s="113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spans="1:26" ht="12.75" customHeight="1" x14ac:dyDescent="0.25">
      <c r="A723" s="79"/>
      <c r="B723" s="78"/>
      <c r="C723" s="82"/>
      <c r="D723" s="82"/>
      <c r="E723" s="83"/>
      <c r="F723" s="92"/>
      <c r="G723" s="92"/>
      <c r="H723" s="92"/>
      <c r="I723" s="93"/>
      <c r="J723" s="113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spans="1:26" ht="12.75" customHeight="1" x14ac:dyDescent="0.25">
      <c r="A724" s="79"/>
      <c r="B724" s="78"/>
      <c r="C724" s="82"/>
      <c r="D724" s="82"/>
      <c r="E724" s="83"/>
      <c r="F724" s="92"/>
      <c r="G724" s="92"/>
      <c r="H724" s="92"/>
      <c r="I724" s="93"/>
      <c r="J724" s="113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spans="1:26" ht="12.75" customHeight="1" x14ac:dyDescent="0.25">
      <c r="A725" s="79"/>
      <c r="B725" s="78"/>
      <c r="C725" s="82"/>
      <c r="D725" s="82"/>
      <c r="E725" s="83"/>
      <c r="F725" s="92"/>
      <c r="G725" s="92"/>
      <c r="H725" s="92"/>
      <c r="I725" s="93"/>
      <c r="J725" s="113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spans="1:26" ht="12.75" customHeight="1" x14ac:dyDescent="0.25">
      <c r="A726" s="79"/>
      <c r="B726" s="78"/>
      <c r="C726" s="82"/>
      <c r="D726" s="82"/>
      <c r="E726" s="83"/>
      <c r="F726" s="92"/>
      <c r="G726" s="92"/>
      <c r="H726" s="92"/>
      <c r="I726" s="93"/>
      <c r="J726" s="113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spans="1:26" ht="12.75" customHeight="1" x14ac:dyDescent="0.25">
      <c r="A727" s="79"/>
      <c r="B727" s="78"/>
      <c r="C727" s="82"/>
      <c r="D727" s="82"/>
      <c r="E727" s="83"/>
      <c r="F727" s="92"/>
      <c r="G727" s="92"/>
      <c r="H727" s="92"/>
      <c r="I727" s="93"/>
      <c r="J727" s="113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spans="1:26" ht="12.75" customHeight="1" x14ac:dyDescent="0.25">
      <c r="A728" s="79"/>
      <c r="B728" s="78"/>
      <c r="C728" s="82"/>
      <c r="D728" s="82"/>
      <c r="E728" s="83"/>
      <c r="F728" s="92"/>
      <c r="G728" s="92"/>
      <c r="H728" s="92"/>
      <c r="I728" s="93"/>
      <c r="J728" s="113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spans="1:26" ht="12.75" customHeight="1" x14ac:dyDescent="0.25">
      <c r="A729" s="79"/>
      <c r="B729" s="78"/>
      <c r="C729" s="82"/>
      <c r="D729" s="82"/>
      <c r="E729" s="83"/>
      <c r="F729" s="92"/>
      <c r="G729" s="92"/>
      <c r="H729" s="92"/>
      <c r="I729" s="93"/>
      <c r="J729" s="113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spans="1:26" ht="12.75" customHeight="1" x14ac:dyDescent="0.25">
      <c r="A730" s="79"/>
      <c r="B730" s="78"/>
      <c r="C730" s="82"/>
      <c r="D730" s="82"/>
      <c r="E730" s="83"/>
      <c r="F730" s="92"/>
      <c r="G730" s="92"/>
      <c r="H730" s="92"/>
      <c r="I730" s="93"/>
      <c r="J730" s="113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spans="1:26" ht="12.75" customHeight="1" x14ac:dyDescent="0.25">
      <c r="A731" s="79"/>
      <c r="B731" s="78"/>
      <c r="C731" s="82"/>
      <c r="D731" s="82"/>
      <c r="E731" s="83"/>
      <c r="F731" s="92"/>
      <c r="G731" s="92"/>
      <c r="H731" s="92"/>
      <c r="I731" s="93"/>
      <c r="J731" s="113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spans="1:26" ht="12.75" customHeight="1" x14ac:dyDescent="0.25">
      <c r="A732" s="79"/>
      <c r="B732" s="78"/>
      <c r="C732" s="82"/>
      <c r="D732" s="82"/>
      <c r="E732" s="83"/>
      <c r="F732" s="92"/>
      <c r="G732" s="92"/>
      <c r="H732" s="92"/>
      <c r="I732" s="93"/>
      <c r="J732" s="113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spans="1:26" ht="12.75" customHeight="1" x14ac:dyDescent="0.25">
      <c r="A733" s="79"/>
      <c r="B733" s="78"/>
      <c r="C733" s="82"/>
      <c r="D733" s="82"/>
      <c r="E733" s="83"/>
      <c r="F733" s="92"/>
      <c r="G733" s="92"/>
      <c r="H733" s="92"/>
      <c r="I733" s="93"/>
      <c r="J733" s="113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spans="1:26" ht="12.75" customHeight="1" x14ac:dyDescent="0.25">
      <c r="A734" s="79"/>
      <c r="B734" s="78"/>
      <c r="C734" s="82"/>
      <c r="D734" s="82"/>
      <c r="E734" s="83"/>
      <c r="F734" s="92"/>
      <c r="G734" s="92"/>
      <c r="H734" s="92"/>
      <c r="I734" s="93"/>
      <c r="J734" s="113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spans="1:26" ht="12.75" customHeight="1" x14ac:dyDescent="0.25">
      <c r="A735" s="79"/>
      <c r="B735" s="78"/>
      <c r="C735" s="82"/>
      <c r="D735" s="82"/>
      <c r="E735" s="83"/>
      <c r="F735" s="92"/>
      <c r="G735" s="92"/>
      <c r="H735" s="92"/>
      <c r="I735" s="93"/>
      <c r="J735" s="113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spans="1:26" ht="12.75" customHeight="1" x14ac:dyDescent="0.25">
      <c r="A736" s="79"/>
      <c r="B736" s="78"/>
      <c r="C736" s="82"/>
      <c r="D736" s="82"/>
      <c r="E736" s="83"/>
      <c r="F736" s="92"/>
      <c r="G736" s="92"/>
      <c r="H736" s="92"/>
      <c r="I736" s="93"/>
      <c r="J736" s="113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spans="1:26" ht="12.75" customHeight="1" x14ac:dyDescent="0.25">
      <c r="A737" s="79"/>
      <c r="B737" s="78"/>
      <c r="C737" s="82"/>
      <c r="D737" s="82"/>
      <c r="E737" s="83"/>
      <c r="F737" s="92"/>
      <c r="G737" s="92"/>
      <c r="H737" s="92"/>
      <c r="I737" s="93"/>
      <c r="J737" s="113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spans="1:26" ht="12.75" customHeight="1" x14ac:dyDescent="0.25">
      <c r="A738" s="79"/>
      <c r="B738" s="78"/>
      <c r="C738" s="82"/>
      <c r="D738" s="82"/>
      <c r="E738" s="83"/>
      <c r="F738" s="92"/>
      <c r="G738" s="92"/>
      <c r="H738" s="92"/>
      <c r="I738" s="93"/>
      <c r="J738" s="113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spans="1:26" ht="12.75" customHeight="1" x14ac:dyDescent="0.25">
      <c r="A739" s="79"/>
      <c r="B739" s="78"/>
      <c r="C739" s="82"/>
      <c r="D739" s="82"/>
      <c r="E739" s="83"/>
      <c r="F739" s="92"/>
      <c r="G739" s="92"/>
      <c r="H739" s="92"/>
      <c r="I739" s="93"/>
      <c r="J739" s="113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spans="1:26" ht="12.75" customHeight="1" x14ac:dyDescent="0.25">
      <c r="A740" s="79"/>
      <c r="B740" s="78"/>
      <c r="C740" s="82"/>
      <c r="D740" s="82"/>
      <c r="E740" s="83"/>
      <c r="F740" s="92"/>
      <c r="G740" s="92"/>
      <c r="H740" s="92"/>
      <c r="I740" s="93"/>
      <c r="J740" s="113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spans="1:26" ht="12.75" customHeight="1" x14ac:dyDescent="0.25">
      <c r="A741" s="79"/>
      <c r="B741" s="78"/>
      <c r="C741" s="82"/>
      <c r="D741" s="82"/>
      <c r="E741" s="83"/>
      <c r="F741" s="92"/>
      <c r="G741" s="92"/>
      <c r="H741" s="92"/>
      <c r="I741" s="93"/>
      <c r="J741" s="113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spans="1:26" ht="12.75" customHeight="1" x14ac:dyDescent="0.25">
      <c r="A742" s="79"/>
      <c r="B742" s="78"/>
      <c r="C742" s="82"/>
      <c r="D742" s="82"/>
      <c r="E742" s="83"/>
      <c r="F742" s="92"/>
      <c r="G742" s="92"/>
      <c r="H742" s="92"/>
      <c r="I742" s="93"/>
      <c r="J742" s="113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spans="1:26" ht="12.75" customHeight="1" x14ac:dyDescent="0.25">
      <c r="A743" s="79"/>
      <c r="B743" s="78"/>
      <c r="C743" s="82"/>
      <c r="D743" s="82"/>
      <c r="E743" s="83"/>
      <c r="F743" s="92"/>
      <c r="G743" s="92"/>
      <c r="H743" s="92"/>
      <c r="I743" s="93"/>
      <c r="J743" s="113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spans="1:26" ht="12.75" customHeight="1" x14ac:dyDescent="0.25">
      <c r="A744" s="79"/>
      <c r="B744" s="78"/>
      <c r="C744" s="82"/>
      <c r="D744" s="82"/>
      <c r="E744" s="83"/>
      <c r="F744" s="92"/>
      <c r="G744" s="92"/>
      <c r="H744" s="92"/>
      <c r="I744" s="93"/>
      <c r="J744" s="113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spans="1:26" ht="12.75" customHeight="1" x14ac:dyDescent="0.25">
      <c r="A745" s="79"/>
      <c r="B745" s="78"/>
      <c r="C745" s="82"/>
      <c r="D745" s="82"/>
      <c r="E745" s="83"/>
      <c r="F745" s="92"/>
      <c r="G745" s="92"/>
      <c r="H745" s="92"/>
      <c r="I745" s="93"/>
      <c r="J745" s="113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spans="1:26" ht="12.75" customHeight="1" x14ac:dyDescent="0.25">
      <c r="A746" s="79"/>
      <c r="B746" s="78"/>
      <c r="C746" s="82"/>
      <c r="D746" s="82"/>
      <c r="E746" s="83"/>
      <c r="F746" s="92"/>
      <c r="G746" s="92"/>
      <c r="H746" s="92"/>
      <c r="I746" s="93"/>
      <c r="J746" s="113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spans="1:26" ht="12.75" customHeight="1" x14ac:dyDescent="0.25">
      <c r="A747" s="79"/>
      <c r="B747" s="78"/>
      <c r="C747" s="82"/>
      <c r="D747" s="82"/>
      <c r="E747" s="83"/>
      <c r="F747" s="92"/>
      <c r="G747" s="92"/>
      <c r="H747" s="92"/>
      <c r="I747" s="93"/>
      <c r="J747" s="113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spans="1:26" ht="12.75" customHeight="1" x14ac:dyDescent="0.25">
      <c r="A748" s="79"/>
      <c r="B748" s="78"/>
      <c r="C748" s="82"/>
      <c r="D748" s="82"/>
      <c r="E748" s="83"/>
      <c r="F748" s="92"/>
      <c r="G748" s="92"/>
      <c r="H748" s="92"/>
      <c r="I748" s="93"/>
      <c r="J748" s="113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spans="1:26" ht="12.75" customHeight="1" x14ac:dyDescent="0.25">
      <c r="A749" s="79"/>
      <c r="B749" s="78"/>
      <c r="C749" s="82"/>
      <c r="D749" s="82"/>
      <c r="E749" s="83"/>
      <c r="F749" s="92"/>
      <c r="G749" s="92"/>
      <c r="H749" s="92"/>
      <c r="I749" s="93"/>
      <c r="J749" s="113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spans="1:26" ht="12.75" customHeight="1" x14ac:dyDescent="0.25">
      <c r="A750" s="79"/>
      <c r="B750" s="78"/>
      <c r="C750" s="82"/>
      <c r="D750" s="82"/>
      <c r="E750" s="83"/>
      <c r="F750" s="92"/>
      <c r="G750" s="92"/>
      <c r="H750" s="92"/>
      <c r="I750" s="93"/>
      <c r="J750" s="113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spans="1:26" ht="12.75" customHeight="1" x14ac:dyDescent="0.25">
      <c r="A751" s="79"/>
      <c r="B751" s="78"/>
      <c r="C751" s="82"/>
      <c r="D751" s="82"/>
      <c r="E751" s="83"/>
      <c r="F751" s="92"/>
      <c r="G751" s="92"/>
      <c r="H751" s="92"/>
      <c r="I751" s="93"/>
      <c r="J751" s="113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spans="1:26" ht="12.75" customHeight="1" x14ac:dyDescent="0.25">
      <c r="A752" s="79"/>
      <c r="B752" s="78"/>
      <c r="C752" s="82"/>
      <c r="D752" s="82"/>
      <c r="E752" s="83"/>
      <c r="F752" s="92"/>
      <c r="G752" s="92"/>
      <c r="H752" s="92"/>
      <c r="I752" s="93"/>
      <c r="J752" s="113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spans="1:26" ht="12.75" customHeight="1" x14ac:dyDescent="0.25">
      <c r="A753" s="79"/>
      <c r="B753" s="78"/>
      <c r="C753" s="82"/>
      <c r="D753" s="82"/>
      <c r="E753" s="83"/>
      <c r="F753" s="92"/>
      <c r="G753" s="92"/>
      <c r="H753" s="92"/>
      <c r="I753" s="93"/>
      <c r="J753" s="113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spans="1:26" ht="12.75" customHeight="1" x14ac:dyDescent="0.25">
      <c r="A754" s="79"/>
      <c r="B754" s="78"/>
      <c r="C754" s="82"/>
      <c r="D754" s="82"/>
      <c r="E754" s="83"/>
      <c r="F754" s="92"/>
      <c r="G754" s="92"/>
      <c r="H754" s="92"/>
      <c r="I754" s="93"/>
      <c r="J754" s="113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spans="1:26" ht="12.75" customHeight="1" x14ac:dyDescent="0.25">
      <c r="A755" s="79"/>
      <c r="B755" s="78"/>
      <c r="C755" s="82"/>
      <c r="D755" s="82"/>
      <c r="E755" s="83"/>
      <c r="F755" s="92"/>
      <c r="G755" s="92"/>
      <c r="H755" s="92"/>
      <c r="I755" s="93"/>
      <c r="J755" s="113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spans="1:26" ht="12.75" customHeight="1" x14ac:dyDescent="0.25">
      <c r="A756" s="79"/>
      <c r="B756" s="78"/>
      <c r="C756" s="82"/>
      <c r="D756" s="82"/>
      <c r="E756" s="83"/>
      <c r="F756" s="92"/>
      <c r="G756" s="92"/>
      <c r="H756" s="92"/>
      <c r="I756" s="93"/>
      <c r="J756" s="113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spans="1:26" ht="12.75" customHeight="1" x14ac:dyDescent="0.25">
      <c r="A757" s="79"/>
      <c r="B757" s="78"/>
      <c r="C757" s="82"/>
      <c r="D757" s="82"/>
      <c r="E757" s="83"/>
      <c r="F757" s="92"/>
      <c r="G757" s="92"/>
      <c r="H757" s="92"/>
      <c r="I757" s="93"/>
      <c r="J757" s="113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spans="1:26" ht="12.75" customHeight="1" x14ac:dyDescent="0.25">
      <c r="A758" s="79"/>
      <c r="B758" s="78"/>
      <c r="C758" s="82"/>
      <c r="D758" s="82"/>
      <c r="E758" s="83"/>
      <c r="F758" s="92"/>
      <c r="G758" s="92"/>
      <c r="H758" s="92"/>
      <c r="I758" s="93"/>
      <c r="J758" s="113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spans="1:26" ht="12.75" customHeight="1" x14ac:dyDescent="0.25">
      <c r="A759" s="79"/>
      <c r="B759" s="78"/>
      <c r="C759" s="82"/>
      <c r="D759" s="82"/>
      <c r="E759" s="83"/>
      <c r="F759" s="92"/>
      <c r="G759" s="92"/>
      <c r="H759" s="92"/>
      <c r="I759" s="93"/>
      <c r="J759" s="113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spans="1:26" ht="12.75" customHeight="1" x14ac:dyDescent="0.25">
      <c r="A760" s="79"/>
      <c r="B760" s="78"/>
      <c r="C760" s="82"/>
      <c r="D760" s="82"/>
      <c r="E760" s="83"/>
      <c r="F760" s="92"/>
      <c r="G760" s="92"/>
      <c r="H760" s="92"/>
      <c r="I760" s="93"/>
      <c r="J760" s="113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spans="1:26" ht="12.75" customHeight="1" x14ac:dyDescent="0.25">
      <c r="A761" s="79"/>
      <c r="B761" s="78"/>
      <c r="C761" s="82"/>
      <c r="D761" s="82"/>
      <c r="E761" s="83"/>
      <c r="F761" s="92"/>
      <c r="G761" s="92"/>
      <c r="H761" s="92"/>
      <c r="I761" s="93"/>
      <c r="J761" s="113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spans="1:26" ht="12.75" customHeight="1" x14ac:dyDescent="0.25">
      <c r="A762" s="79"/>
      <c r="B762" s="78"/>
      <c r="C762" s="82"/>
      <c r="D762" s="82"/>
      <c r="E762" s="83"/>
      <c r="F762" s="92"/>
      <c r="G762" s="92"/>
      <c r="H762" s="92"/>
      <c r="I762" s="93"/>
      <c r="J762" s="113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spans="1:26" ht="12.75" customHeight="1" x14ac:dyDescent="0.25">
      <c r="A763" s="79"/>
      <c r="B763" s="78"/>
      <c r="C763" s="82"/>
      <c r="D763" s="82"/>
      <c r="E763" s="83"/>
      <c r="F763" s="92"/>
      <c r="G763" s="92"/>
      <c r="H763" s="92"/>
      <c r="I763" s="93"/>
      <c r="J763" s="113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spans="1:26" ht="12.75" customHeight="1" x14ac:dyDescent="0.25">
      <c r="A764" s="79"/>
      <c r="B764" s="78"/>
      <c r="C764" s="82"/>
      <c r="D764" s="82"/>
      <c r="E764" s="83"/>
      <c r="F764" s="92"/>
      <c r="G764" s="92"/>
      <c r="H764" s="92"/>
      <c r="I764" s="93"/>
      <c r="J764" s="113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spans="1:26" ht="12.75" customHeight="1" x14ac:dyDescent="0.25">
      <c r="A765" s="79"/>
      <c r="B765" s="78"/>
      <c r="C765" s="82"/>
      <c r="D765" s="82"/>
      <c r="E765" s="83"/>
      <c r="F765" s="92"/>
      <c r="G765" s="92"/>
      <c r="H765" s="92"/>
      <c r="I765" s="93"/>
      <c r="J765" s="113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spans="1:26" ht="12.75" customHeight="1" x14ac:dyDescent="0.25">
      <c r="A766" s="79"/>
      <c r="B766" s="78"/>
      <c r="C766" s="82"/>
      <c r="D766" s="82"/>
      <c r="E766" s="83"/>
      <c r="F766" s="92"/>
      <c r="G766" s="92"/>
      <c r="H766" s="92"/>
      <c r="I766" s="93"/>
      <c r="J766" s="113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spans="1:26" ht="12.75" customHeight="1" x14ac:dyDescent="0.25">
      <c r="A767" s="79"/>
      <c r="B767" s="78"/>
      <c r="C767" s="82"/>
      <c r="D767" s="82"/>
      <c r="E767" s="83"/>
      <c r="F767" s="92"/>
      <c r="G767" s="92"/>
      <c r="H767" s="92"/>
      <c r="I767" s="93"/>
      <c r="J767" s="113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spans="1:26" ht="12.75" customHeight="1" x14ac:dyDescent="0.25">
      <c r="A768" s="79"/>
      <c r="B768" s="78"/>
      <c r="C768" s="82"/>
      <c r="D768" s="82"/>
      <c r="E768" s="83"/>
      <c r="F768" s="92"/>
      <c r="G768" s="92"/>
      <c r="H768" s="92"/>
      <c r="I768" s="93"/>
      <c r="J768" s="113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spans="1:26" ht="12.75" customHeight="1" x14ac:dyDescent="0.25">
      <c r="A769" s="79"/>
      <c r="B769" s="78"/>
      <c r="C769" s="82"/>
      <c r="D769" s="82"/>
      <c r="E769" s="83"/>
      <c r="F769" s="92"/>
      <c r="G769" s="92"/>
      <c r="H769" s="92"/>
      <c r="I769" s="93"/>
      <c r="J769" s="113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spans="1:26" ht="12.75" customHeight="1" x14ac:dyDescent="0.25">
      <c r="A770" s="79"/>
      <c r="B770" s="78"/>
      <c r="C770" s="82"/>
      <c r="D770" s="82"/>
      <c r="E770" s="83"/>
      <c r="F770" s="92"/>
      <c r="G770" s="92"/>
      <c r="H770" s="92"/>
      <c r="I770" s="93"/>
      <c r="J770" s="113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spans="1:26" ht="12.75" customHeight="1" x14ac:dyDescent="0.25">
      <c r="A771" s="79"/>
      <c r="B771" s="78"/>
      <c r="C771" s="82"/>
      <c r="D771" s="82"/>
      <c r="E771" s="83"/>
      <c r="F771" s="92"/>
      <c r="G771" s="92"/>
      <c r="H771" s="92"/>
      <c r="I771" s="93"/>
      <c r="J771" s="113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spans="1:26" ht="12.75" customHeight="1" x14ac:dyDescent="0.25">
      <c r="A772" s="79"/>
      <c r="B772" s="78"/>
      <c r="C772" s="82"/>
      <c r="D772" s="82"/>
      <c r="E772" s="83"/>
      <c r="F772" s="92"/>
      <c r="G772" s="92"/>
      <c r="H772" s="92"/>
      <c r="I772" s="93"/>
      <c r="J772" s="113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spans="1:26" ht="12.75" customHeight="1" x14ac:dyDescent="0.25">
      <c r="A773" s="79"/>
      <c r="B773" s="78"/>
      <c r="C773" s="82"/>
      <c r="D773" s="82"/>
      <c r="E773" s="83"/>
      <c r="F773" s="92"/>
      <c r="G773" s="92"/>
      <c r="H773" s="92"/>
      <c r="I773" s="93"/>
      <c r="J773" s="113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spans="1:26" ht="12.75" customHeight="1" x14ac:dyDescent="0.25">
      <c r="A774" s="79"/>
      <c r="B774" s="78"/>
      <c r="C774" s="82"/>
      <c r="D774" s="82"/>
      <c r="E774" s="83"/>
      <c r="F774" s="92"/>
      <c r="G774" s="92"/>
      <c r="H774" s="92"/>
      <c r="I774" s="93"/>
      <c r="J774" s="113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spans="1:26" ht="12.75" customHeight="1" x14ac:dyDescent="0.25">
      <c r="A775" s="79"/>
      <c r="B775" s="78"/>
      <c r="C775" s="82"/>
      <c r="D775" s="82"/>
      <c r="E775" s="83"/>
      <c r="F775" s="92"/>
      <c r="G775" s="92"/>
      <c r="H775" s="92"/>
      <c r="I775" s="93"/>
      <c r="J775" s="113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spans="1:26" ht="12.75" customHeight="1" x14ac:dyDescent="0.25">
      <c r="A776" s="79"/>
      <c r="B776" s="78"/>
      <c r="C776" s="82"/>
      <c r="D776" s="82"/>
      <c r="E776" s="83"/>
      <c r="F776" s="92"/>
      <c r="G776" s="92"/>
      <c r="H776" s="92"/>
      <c r="I776" s="93"/>
      <c r="J776" s="113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spans="1:26" ht="12.75" customHeight="1" x14ac:dyDescent="0.25">
      <c r="A777" s="79"/>
      <c r="B777" s="78"/>
      <c r="C777" s="82"/>
      <c r="D777" s="82"/>
      <c r="E777" s="83"/>
      <c r="F777" s="92"/>
      <c r="G777" s="92"/>
      <c r="H777" s="92"/>
      <c r="I777" s="93"/>
      <c r="J777" s="113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spans="1:26" ht="12.75" customHeight="1" x14ac:dyDescent="0.25">
      <c r="A778" s="79"/>
      <c r="B778" s="78"/>
      <c r="C778" s="82"/>
      <c r="D778" s="82"/>
      <c r="E778" s="83"/>
      <c r="F778" s="92"/>
      <c r="G778" s="92"/>
      <c r="H778" s="92"/>
      <c r="I778" s="93"/>
      <c r="J778" s="113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spans="1:26" ht="12.75" customHeight="1" x14ac:dyDescent="0.25">
      <c r="A779" s="79"/>
      <c r="B779" s="78"/>
      <c r="C779" s="82"/>
      <c r="D779" s="82"/>
      <c r="E779" s="83"/>
      <c r="F779" s="92"/>
      <c r="G779" s="92"/>
      <c r="H779" s="92"/>
      <c r="I779" s="93"/>
      <c r="J779" s="113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spans="1:26" ht="12.75" customHeight="1" x14ac:dyDescent="0.25">
      <c r="A780" s="79"/>
      <c r="B780" s="78"/>
      <c r="C780" s="82"/>
      <c r="D780" s="82"/>
      <c r="E780" s="83"/>
      <c r="F780" s="92"/>
      <c r="G780" s="92"/>
      <c r="H780" s="92"/>
      <c r="I780" s="93"/>
      <c r="J780" s="113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spans="1:26" ht="12.75" customHeight="1" x14ac:dyDescent="0.25">
      <c r="A781" s="79"/>
      <c r="B781" s="78"/>
      <c r="C781" s="82"/>
      <c r="D781" s="82"/>
      <c r="E781" s="83"/>
      <c r="F781" s="92"/>
      <c r="G781" s="92"/>
      <c r="H781" s="92"/>
      <c r="I781" s="93"/>
      <c r="J781" s="113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spans="1:26" ht="12.75" customHeight="1" x14ac:dyDescent="0.25">
      <c r="A782" s="79"/>
      <c r="B782" s="78"/>
      <c r="C782" s="82"/>
      <c r="D782" s="82"/>
      <c r="E782" s="83"/>
      <c r="F782" s="92"/>
      <c r="G782" s="92"/>
      <c r="H782" s="92"/>
      <c r="I782" s="93"/>
      <c r="J782" s="113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spans="1:26" ht="12.75" customHeight="1" x14ac:dyDescent="0.25">
      <c r="A783" s="79"/>
      <c r="B783" s="78"/>
      <c r="C783" s="82"/>
      <c r="D783" s="82"/>
      <c r="E783" s="83"/>
      <c r="F783" s="92"/>
      <c r="G783" s="92"/>
      <c r="H783" s="92"/>
      <c r="I783" s="93"/>
      <c r="J783" s="113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spans="1:26" ht="12.75" customHeight="1" x14ac:dyDescent="0.25">
      <c r="A784" s="79"/>
      <c r="B784" s="78"/>
      <c r="C784" s="82"/>
      <c r="D784" s="82"/>
      <c r="E784" s="83"/>
      <c r="F784" s="92"/>
      <c r="G784" s="92"/>
      <c r="H784" s="92"/>
      <c r="I784" s="93"/>
      <c r="J784" s="113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spans="1:26" ht="12.75" customHeight="1" x14ac:dyDescent="0.25">
      <c r="A785" s="79"/>
      <c r="B785" s="78"/>
      <c r="C785" s="82"/>
      <c r="D785" s="82"/>
      <c r="E785" s="83"/>
      <c r="F785" s="92"/>
      <c r="G785" s="92"/>
      <c r="H785" s="92"/>
      <c r="I785" s="93"/>
      <c r="J785" s="113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spans="1:26" ht="12.75" customHeight="1" x14ac:dyDescent="0.25">
      <c r="A786" s="79"/>
      <c r="B786" s="78"/>
      <c r="C786" s="82"/>
      <c r="D786" s="82"/>
      <c r="E786" s="83"/>
      <c r="F786" s="92"/>
      <c r="G786" s="92"/>
      <c r="H786" s="92"/>
      <c r="I786" s="93"/>
      <c r="J786" s="113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spans="1:26" ht="12.75" customHeight="1" x14ac:dyDescent="0.25">
      <c r="A787" s="79"/>
      <c r="B787" s="78"/>
      <c r="C787" s="82"/>
      <c r="D787" s="82"/>
      <c r="E787" s="83"/>
      <c r="F787" s="92"/>
      <c r="G787" s="92"/>
      <c r="H787" s="92"/>
      <c r="I787" s="93"/>
      <c r="J787" s="113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spans="1:26" ht="12.75" customHeight="1" x14ac:dyDescent="0.25">
      <c r="A788" s="79"/>
      <c r="B788" s="78"/>
      <c r="C788" s="82"/>
      <c r="D788" s="82"/>
      <c r="E788" s="83"/>
      <c r="F788" s="92"/>
      <c r="G788" s="92"/>
      <c r="H788" s="92"/>
      <c r="I788" s="93"/>
      <c r="J788" s="113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spans="1:26" ht="12.75" customHeight="1" x14ac:dyDescent="0.25">
      <c r="A789" s="79"/>
      <c r="B789" s="78"/>
      <c r="C789" s="82"/>
      <c r="D789" s="82"/>
      <c r="E789" s="83"/>
      <c r="F789" s="92"/>
      <c r="G789" s="92"/>
      <c r="H789" s="92"/>
      <c r="I789" s="93"/>
      <c r="J789" s="113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spans="1:26" ht="12.75" customHeight="1" x14ac:dyDescent="0.25">
      <c r="A790" s="79"/>
      <c r="B790" s="78"/>
      <c r="C790" s="82"/>
      <c r="D790" s="82"/>
      <c r="E790" s="83"/>
      <c r="F790" s="92"/>
      <c r="G790" s="92"/>
      <c r="H790" s="92"/>
      <c r="I790" s="93"/>
      <c r="J790" s="113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spans="1:26" ht="12.75" customHeight="1" x14ac:dyDescent="0.25">
      <c r="A791" s="79"/>
      <c r="B791" s="78"/>
      <c r="C791" s="82"/>
      <c r="D791" s="82"/>
      <c r="E791" s="83"/>
      <c r="F791" s="92"/>
      <c r="G791" s="92"/>
      <c r="H791" s="92"/>
      <c r="I791" s="93"/>
      <c r="J791" s="113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spans="1:26" ht="12.75" customHeight="1" x14ac:dyDescent="0.25">
      <c r="A792" s="79"/>
      <c r="B792" s="78"/>
      <c r="C792" s="82"/>
      <c r="D792" s="82"/>
      <c r="E792" s="83"/>
      <c r="F792" s="92"/>
      <c r="G792" s="92"/>
      <c r="H792" s="92"/>
      <c r="I792" s="93"/>
      <c r="J792" s="113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spans="1:26" ht="12.75" customHeight="1" x14ac:dyDescent="0.25">
      <c r="A793" s="79"/>
      <c r="B793" s="78"/>
      <c r="C793" s="82"/>
      <c r="D793" s="82"/>
      <c r="E793" s="83"/>
      <c r="F793" s="92"/>
      <c r="G793" s="92"/>
      <c r="H793" s="92"/>
      <c r="I793" s="93"/>
      <c r="J793" s="113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spans="1:26" ht="12.75" customHeight="1" x14ac:dyDescent="0.25">
      <c r="A794" s="79"/>
      <c r="B794" s="78"/>
      <c r="C794" s="82"/>
      <c r="D794" s="82"/>
      <c r="E794" s="83"/>
      <c r="F794" s="92"/>
      <c r="G794" s="92"/>
      <c r="H794" s="92"/>
      <c r="I794" s="93"/>
      <c r="J794" s="113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spans="1:26" ht="12.75" customHeight="1" x14ac:dyDescent="0.25">
      <c r="A795" s="79"/>
      <c r="B795" s="78"/>
      <c r="C795" s="82"/>
      <c r="D795" s="82"/>
      <c r="E795" s="83"/>
      <c r="F795" s="92"/>
      <c r="G795" s="92"/>
      <c r="H795" s="92"/>
      <c r="I795" s="93"/>
      <c r="J795" s="113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spans="1:26" ht="12.75" customHeight="1" x14ac:dyDescent="0.25">
      <c r="A796" s="79"/>
      <c r="B796" s="78"/>
      <c r="C796" s="82"/>
      <c r="D796" s="82"/>
      <c r="E796" s="83"/>
      <c r="F796" s="92"/>
      <c r="G796" s="92"/>
      <c r="H796" s="92"/>
      <c r="I796" s="93"/>
      <c r="J796" s="113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spans="1:26" ht="12.75" customHeight="1" x14ac:dyDescent="0.25">
      <c r="A797" s="79"/>
      <c r="B797" s="78"/>
      <c r="C797" s="82"/>
      <c r="D797" s="82"/>
      <c r="E797" s="83"/>
      <c r="F797" s="92"/>
      <c r="G797" s="92"/>
      <c r="H797" s="92"/>
      <c r="I797" s="93"/>
      <c r="J797" s="113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spans="1:26" ht="12.75" customHeight="1" x14ac:dyDescent="0.25">
      <c r="A798" s="79"/>
      <c r="B798" s="78"/>
      <c r="C798" s="82"/>
      <c r="D798" s="82"/>
      <c r="E798" s="83"/>
      <c r="F798" s="92"/>
      <c r="G798" s="92"/>
      <c r="H798" s="92"/>
      <c r="I798" s="93"/>
      <c r="J798" s="113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spans="1:26" ht="12.75" customHeight="1" x14ac:dyDescent="0.25">
      <c r="A799" s="79"/>
      <c r="B799" s="78"/>
      <c r="C799" s="82"/>
      <c r="D799" s="82"/>
      <c r="E799" s="83"/>
      <c r="F799" s="92"/>
      <c r="G799" s="92"/>
      <c r="H799" s="92"/>
      <c r="I799" s="93"/>
      <c r="J799" s="113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spans="1:26" ht="12.75" customHeight="1" x14ac:dyDescent="0.25">
      <c r="A800" s="79"/>
      <c r="B800" s="78"/>
      <c r="C800" s="82"/>
      <c r="D800" s="82"/>
      <c r="E800" s="83"/>
      <c r="F800" s="92"/>
      <c r="G800" s="92"/>
      <c r="H800" s="92"/>
      <c r="I800" s="93"/>
      <c r="J800" s="113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spans="1:26" ht="12.75" customHeight="1" x14ac:dyDescent="0.25">
      <c r="A801" s="79"/>
      <c r="B801" s="78"/>
      <c r="C801" s="82"/>
      <c r="D801" s="82"/>
      <c r="E801" s="83"/>
      <c r="F801" s="92"/>
      <c r="G801" s="92"/>
      <c r="H801" s="92"/>
      <c r="I801" s="93"/>
      <c r="J801" s="113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spans="1:26" ht="12.75" customHeight="1" x14ac:dyDescent="0.25">
      <c r="A802" s="79"/>
      <c r="B802" s="78"/>
      <c r="C802" s="82"/>
      <c r="D802" s="82"/>
      <c r="E802" s="83"/>
      <c r="F802" s="92"/>
      <c r="G802" s="92"/>
      <c r="H802" s="92"/>
      <c r="I802" s="93"/>
      <c r="J802" s="113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spans="1:26" ht="12.75" customHeight="1" x14ac:dyDescent="0.25">
      <c r="A803" s="79"/>
      <c r="B803" s="78"/>
      <c r="C803" s="82"/>
      <c r="D803" s="82"/>
      <c r="E803" s="83"/>
      <c r="F803" s="92"/>
      <c r="G803" s="92"/>
      <c r="H803" s="92"/>
      <c r="I803" s="93"/>
      <c r="J803" s="113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spans="1:26" ht="12.75" customHeight="1" x14ac:dyDescent="0.25">
      <c r="A804" s="79"/>
      <c r="B804" s="78"/>
      <c r="C804" s="82"/>
      <c r="D804" s="82"/>
      <c r="E804" s="83"/>
      <c r="F804" s="92"/>
      <c r="G804" s="92"/>
      <c r="H804" s="92"/>
      <c r="I804" s="93"/>
      <c r="J804" s="113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spans="1:26" ht="12.75" customHeight="1" x14ac:dyDescent="0.25">
      <c r="A805" s="79"/>
      <c r="B805" s="78"/>
      <c r="C805" s="82"/>
      <c r="D805" s="82"/>
      <c r="E805" s="83"/>
      <c r="F805" s="92"/>
      <c r="G805" s="92"/>
      <c r="H805" s="92"/>
      <c r="I805" s="93"/>
      <c r="J805" s="113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spans="1:26" ht="12.75" customHeight="1" x14ac:dyDescent="0.25">
      <c r="A806" s="79"/>
      <c r="B806" s="78"/>
      <c r="C806" s="82"/>
      <c r="D806" s="82"/>
      <c r="E806" s="83"/>
      <c r="F806" s="92"/>
      <c r="G806" s="92"/>
      <c r="H806" s="92"/>
      <c r="I806" s="93"/>
      <c r="J806" s="113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spans="1:26" ht="12.75" customHeight="1" x14ac:dyDescent="0.25">
      <c r="A807" s="79"/>
      <c r="B807" s="78"/>
      <c r="C807" s="82"/>
      <c r="D807" s="82"/>
      <c r="E807" s="83"/>
      <c r="F807" s="92"/>
      <c r="G807" s="92"/>
      <c r="H807" s="92"/>
      <c r="I807" s="93"/>
      <c r="J807" s="113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spans="1:26" ht="12.75" customHeight="1" x14ac:dyDescent="0.25">
      <c r="A808" s="79"/>
      <c r="B808" s="78"/>
      <c r="C808" s="82"/>
      <c r="D808" s="82"/>
      <c r="E808" s="83"/>
      <c r="F808" s="92"/>
      <c r="G808" s="92"/>
      <c r="H808" s="92"/>
      <c r="I808" s="93"/>
      <c r="J808" s="113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spans="1:26" ht="12.75" customHeight="1" x14ac:dyDescent="0.25">
      <c r="A809" s="79"/>
      <c r="B809" s="78"/>
      <c r="C809" s="82"/>
      <c r="D809" s="82"/>
      <c r="E809" s="83"/>
      <c r="F809" s="92"/>
      <c r="G809" s="92"/>
      <c r="H809" s="92"/>
      <c r="I809" s="93"/>
      <c r="J809" s="113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spans="1:26" ht="12.75" customHeight="1" x14ac:dyDescent="0.25">
      <c r="A810" s="79"/>
      <c r="B810" s="78"/>
      <c r="C810" s="82"/>
      <c r="D810" s="82"/>
      <c r="E810" s="83"/>
      <c r="F810" s="92"/>
      <c r="G810" s="92"/>
      <c r="H810" s="92"/>
      <c r="I810" s="93"/>
      <c r="J810" s="113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spans="1:26" ht="12.75" customHeight="1" x14ac:dyDescent="0.25">
      <c r="A811" s="79"/>
      <c r="B811" s="78"/>
      <c r="C811" s="82"/>
      <c r="D811" s="82"/>
      <c r="E811" s="83"/>
      <c r="F811" s="92"/>
      <c r="G811" s="92"/>
      <c r="H811" s="92"/>
      <c r="I811" s="93"/>
      <c r="J811" s="113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spans="1:26" ht="12.75" customHeight="1" x14ac:dyDescent="0.25">
      <c r="A812" s="79"/>
      <c r="B812" s="78"/>
      <c r="C812" s="82"/>
      <c r="D812" s="82"/>
      <c r="E812" s="83"/>
      <c r="F812" s="92"/>
      <c r="G812" s="92"/>
      <c r="H812" s="92"/>
      <c r="I812" s="93"/>
      <c r="J812" s="113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spans="1:26" ht="12.75" customHeight="1" x14ac:dyDescent="0.25">
      <c r="A813" s="79"/>
      <c r="B813" s="78"/>
      <c r="C813" s="82"/>
      <c r="D813" s="82"/>
      <c r="E813" s="83"/>
      <c r="F813" s="92"/>
      <c r="G813" s="92"/>
      <c r="H813" s="92"/>
      <c r="I813" s="93"/>
      <c r="J813" s="113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spans="1:26" ht="12.75" customHeight="1" x14ac:dyDescent="0.25">
      <c r="A814" s="79"/>
      <c r="B814" s="78"/>
      <c r="C814" s="82"/>
      <c r="D814" s="82"/>
      <c r="E814" s="83"/>
      <c r="F814" s="92"/>
      <c r="G814" s="92"/>
      <c r="H814" s="92"/>
      <c r="I814" s="93"/>
      <c r="J814" s="113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spans="1:26" ht="12.75" customHeight="1" x14ac:dyDescent="0.25">
      <c r="A815" s="79"/>
      <c r="B815" s="78"/>
      <c r="C815" s="82"/>
      <c r="D815" s="82"/>
      <c r="E815" s="83"/>
      <c r="F815" s="92"/>
      <c r="G815" s="92"/>
      <c r="H815" s="92"/>
      <c r="I815" s="93"/>
      <c r="J815" s="113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spans="1:26" ht="12.75" customHeight="1" x14ac:dyDescent="0.25">
      <c r="A816" s="79"/>
      <c r="B816" s="78"/>
      <c r="C816" s="82"/>
      <c r="D816" s="82"/>
      <c r="E816" s="83"/>
      <c r="F816" s="92"/>
      <c r="G816" s="92"/>
      <c r="H816" s="92"/>
      <c r="I816" s="93"/>
      <c r="J816" s="113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spans="1:26" ht="12.75" customHeight="1" x14ac:dyDescent="0.25">
      <c r="A817" s="79"/>
      <c r="B817" s="78"/>
      <c r="C817" s="82"/>
      <c r="D817" s="82"/>
      <c r="E817" s="83"/>
      <c r="F817" s="92"/>
      <c r="G817" s="92"/>
      <c r="H817" s="92"/>
      <c r="I817" s="93"/>
      <c r="J817" s="113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spans="1:26" ht="12.75" customHeight="1" x14ac:dyDescent="0.25">
      <c r="A818" s="79"/>
      <c r="B818" s="78"/>
      <c r="C818" s="82"/>
      <c r="D818" s="82"/>
      <c r="E818" s="83"/>
      <c r="F818" s="92"/>
      <c r="G818" s="92"/>
      <c r="H818" s="92"/>
      <c r="I818" s="93"/>
      <c r="J818" s="113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spans="1:26" ht="12.75" customHeight="1" x14ac:dyDescent="0.25">
      <c r="A819" s="79"/>
      <c r="B819" s="78"/>
      <c r="C819" s="82"/>
      <c r="D819" s="82"/>
      <c r="E819" s="83"/>
      <c r="F819" s="92"/>
      <c r="G819" s="92"/>
      <c r="H819" s="92"/>
      <c r="I819" s="93"/>
      <c r="J819" s="113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spans="1:26" ht="12.75" customHeight="1" x14ac:dyDescent="0.25">
      <c r="A820" s="79"/>
      <c r="B820" s="78"/>
      <c r="C820" s="82"/>
      <c r="D820" s="82"/>
      <c r="E820" s="83"/>
      <c r="F820" s="92"/>
      <c r="G820" s="92"/>
      <c r="H820" s="92"/>
      <c r="I820" s="93"/>
      <c r="J820" s="113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spans="1:26" ht="12.75" customHeight="1" x14ac:dyDescent="0.25">
      <c r="A821" s="79"/>
      <c r="B821" s="78"/>
      <c r="C821" s="82"/>
      <c r="D821" s="82"/>
      <c r="E821" s="83"/>
      <c r="F821" s="92"/>
      <c r="G821" s="92"/>
      <c r="H821" s="92"/>
      <c r="I821" s="93"/>
      <c r="J821" s="113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spans="1:26" ht="12.75" customHeight="1" x14ac:dyDescent="0.25">
      <c r="A822" s="79"/>
      <c r="B822" s="78"/>
      <c r="C822" s="82"/>
      <c r="D822" s="82"/>
      <c r="E822" s="83"/>
      <c r="F822" s="92"/>
      <c r="G822" s="92"/>
      <c r="H822" s="92"/>
      <c r="I822" s="93"/>
      <c r="J822" s="113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spans="1:26" ht="12.75" customHeight="1" x14ac:dyDescent="0.25">
      <c r="A823" s="79"/>
      <c r="B823" s="78"/>
      <c r="C823" s="82"/>
      <c r="D823" s="82"/>
      <c r="E823" s="83"/>
      <c r="F823" s="92"/>
      <c r="G823" s="92"/>
      <c r="H823" s="92"/>
      <c r="I823" s="93"/>
      <c r="J823" s="113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spans="1:26" ht="12.75" customHeight="1" x14ac:dyDescent="0.25">
      <c r="A824" s="79"/>
      <c r="B824" s="78"/>
      <c r="C824" s="82"/>
      <c r="D824" s="82"/>
      <c r="E824" s="83"/>
      <c r="F824" s="92"/>
      <c r="G824" s="92"/>
      <c r="H824" s="92"/>
      <c r="I824" s="93"/>
      <c r="J824" s="113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spans="1:26" ht="12.75" customHeight="1" x14ac:dyDescent="0.25">
      <c r="A825" s="79"/>
      <c r="B825" s="78"/>
      <c r="C825" s="82"/>
      <c r="D825" s="82"/>
      <c r="E825" s="83"/>
      <c r="F825" s="92"/>
      <c r="G825" s="92"/>
      <c r="H825" s="92"/>
      <c r="I825" s="93"/>
      <c r="J825" s="113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spans="1:26" ht="12.75" customHeight="1" x14ac:dyDescent="0.25">
      <c r="A826" s="79"/>
      <c r="B826" s="78"/>
      <c r="C826" s="82"/>
      <c r="D826" s="82"/>
      <c r="E826" s="83"/>
      <c r="F826" s="92"/>
      <c r="G826" s="92"/>
      <c r="H826" s="92"/>
      <c r="I826" s="93"/>
      <c r="J826" s="113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spans="1:26" ht="12.75" customHeight="1" x14ac:dyDescent="0.25">
      <c r="A827" s="79"/>
      <c r="B827" s="78"/>
      <c r="C827" s="82"/>
      <c r="D827" s="82"/>
      <c r="E827" s="83"/>
      <c r="F827" s="92"/>
      <c r="G827" s="92"/>
      <c r="H827" s="92"/>
      <c r="I827" s="93"/>
      <c r="J827" s="113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spans="1:26" ht="12.75" customHeight="1" x14ac:dyDescent="0.25">
      <c r="A828" s="79"/>
      <c r="B828" s="78"/>
      <c r="C828" s="82"/>
      <c r="D828" s="82"/>
      <c r="E828" s="83"/>
      <c r="F828" s="92"/>
      <c r="G828" s="92"/>
      <c r="H828" s="92"/>
      <c r="I828" s="93"/>
      <c r="J828" s="113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spans="1:26" ht="12.75" customHeight="1" x14ac:dyDescent="0.25">
      <c r="A829" s="79"/>
      <c r="B829" s="78"/>
      <c r="C829" s="82"/>
      <c r="D829" s="82"/>
      <c r="E829" s="83"/>
      <c r="F829" s="92"/>
      <c r="G829" s="92"/>
      <c r="H829" s="92"/>
      <c r="I829" s="93"/>
      <c r="J829" s="113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spans="1:26" ht="12.75" customHeight="1" x14ac:dyDescent="0.25">
      <c r="A830" s="79"/>
      <c r="B830" s="78"/>
      <c r="C830" s="82"/>
      <c r="D830" s="82"/>
      <c r="E830" s="83"/>
      <c r="F830" s="92"/>
      <c r="G830" s="92"/>
      <c r="H830" s="92"/>
      <c r="I830" s="93"/>
      <c r="J830" s="113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spans="1:26" ht="12.75" customHeight="1" x14ac:dyDescent="0.25">
      <c r="A831" s="79"/>
      <c r="B831" s="78"/>
      <c r="C831" s="82"/>
      <c r="D831" s="82"/>
      <c r="E831" s="83"/>
      <c r="F831" s="92"/>
      <c r="G831" s="92"/>
      <c r="H831" s="92"/>
      <c r="I831" s="93"/>
      <c r="J831" s="113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spans="1:26" ht="12.75" customHeight="1" x14ac:dyDescent="0.25">
      <c r="A832" s="79"/>
      <c r="B832" s="78"/>
      <c r="C832" s="82"/>
      <c r="D832" s="82"/>
      <c r="E832" s="83"/>
      <c r="F832" s="92"/>
      <c r="G832" s="92"/>
      <c r="H832" s="92"/>
      <c r="I832" s="93"/>
      <c r="J832" s="113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spans="1:26" ht="12.75" customHeight="1" x14ac:dyDescent="0.25">
      <c r="A833" s="79"/>
      <c r="B833" s="78"/>
      <c r="C833" s="82"/>
      <c r="D833" s="82"/>
      <c r="E833" s="83"/>
      <c r="F833" s="92"/>
      <c r="G833" s="92"/>
      <c r="H833" s="92"/>
      <c r="I833" s="93"/>
      <c r="J833" s="113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spans="1:26" ht="12.75" customHeight="1" x14ac:dyDescent="0.25">
      <c r="A834" s="79"/>
      <c r="B834" s="78"/>
      <c r="C834" s="82"/>
      <c r="D834" s="82"/>
      <c r="E834" s="83"/>
      <c r="F834" s="92"/>
      <c r="G834" s="92"/>
      <c r="H834" s="92"/>
      <c r="I834" s="93"/>
      <c r="J834" s="113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spans="1:26" ht="12.75" customHeight="1" x14ac:dyDescent="0.25">
      <c r="A835" s="79"/>
      <c r="B835" s="78"/>
      <c r="C835" s="82"/>
      <c r="D835" s="82"/>
      <c r="E835" s="83"/>
      <c r="F835" s="92"/>
      <c r="G835" s="92"/>
      <c r="H835" s="92"/>
      <c r="I835" s="93"/>
      <c r="J835" s="113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spans="1:26" ht="12.75" customHeight="1" x14ac:dyDescent="0.25">
      <c r="A836" s="79"/>
      <c r="B836" s="78"/>
      <c r="C836" s="82"/>
      <c r="D836" s="82"/>
      <c r="E836" s="83"/>
      <c r="F836" s="92"/>
      <c r="G836" s="92"/>
      <c r="H836" s="92"/>
      <c r="I836" s="93"/>
      <c r="J836" s="113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spans="1:26" ht="12.75" customHeight="1" x14ac:dyDescent="0.25">
      <c r="A837" s="79"/>
      <c r="B837" s="78"/>
      <c r="C837" s="82"/>
      <c r="D837" s="82"/>
      <c r="E837" s="83"/>
      <c r="F837" s="92"/>
      <c r="G837" s="92"/>
      <c r="H837" s="92"/>
      <c r="I837" s="93"/>
      <c r="J837" s="113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spans="1:26" ht="12.75" customHeight="1" x14ac:dyDescent="0.25">
      <c r="A838" s="79"/>
      <c r="B838" s="78"/>
      <c r="C838" s="82"/>
      <c r="D838" s="82"/>
      <c r="E838" s="83"/>
      <c r="F838" s="92"/>
      <c r="G838" s="92"/>
      <c r="H838" s="92"/>
      <c r="I838" s="93"/>
      <c r="J838" s="113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spans="1:26" ht="12.75" customHeight="1" x14ac:dyDescent="0.25">
      <c r="A839" s="79"/>
      <c r="B839" s="78"/>
      <c r="C839" s="82"/>
      <c r="D839" s="82"/>
      <c r="E839" s="83"/>
      <c r="F839" s="92"/>
      <c r="G839" s="92"/>
      <c r="H839" s="92"/>
      <c r="I839" s="93"/>
      <c r="J839" s="113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spans="1:26" ht="12.75" customHeight="1" x14ac:dyDescent="0.25">
      <c r="A840" s="79"/>
      <c r="B840" s="78"/>
      <c r="C840" s="82"/>
      <c r="D840" s="82"/>
      <c r="E840" s="83"/>
      <c r="F840" s="92"/>
      <c r="G840" s="92"/>
      <c r="H840" s="92"/>
      <c r="I840" s="93"/>
      <c r="J840" s="113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spans="1:26" ht="12.75" customHeight="1" x14ac:dyDescent="0.25">
      <c r="A841" s="79"/>
      <c r="B841" s="78"/>
      <c r="C841" s="82"/>
      <c r="D841" s="82"/>
      <c r="E841" s="83"/>
      <c r="F841" s="92"/>
      <c r="G841" s="92"/>
      <c r="H841" s="92"/>
      <c r="I841" s="93"/>
      <c r="J841" s="113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spans="1:26" ht="12.75" customHeight="1" x14ac:dyDescent="0.25">
      <c r="A842" s="79"/>
      <c r="B842" s="78"/>
      <c r="C842" s="82"/>
      <c r="D842" s="82"/>
      <c r="E842" s="83"/>
      <c r="F842" s="92"/>
      <c r="G842" s="92"/>
      <c r="H842" s="92"/>
      <c r="I842" s="93"/>
      <c r="J842" s="113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spans="1:26" ht="12.75" customHeight="1" x14ac:dyDescent="0.25">
      <c r="A843" s="79"/>
      <c r="B843" s="78"/>
      <c r="C843" s="82"/>
      <c r="D843" s="82"/>
      <c r="E843" s="83"/>
      <c r="F843" s="92"/>
      <c r="G843" s="92"/>
      <c r="H843" s="92"/>
      <c r="I843" s="93"/>
      <c r="J843" s="113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spans="1:26" ht="12.75" customHeight="1" x14ac:dyDescent="0.25">
      <c r="A844" s="79"/>
      <c r="B844" s="78"/>
      <c r="C844" s="82"/>
      <c r="D844" s="82"/>
      <c r="E844" s="83"/>
      <c r="F844" s="92"/>
      <c r="G844" s="92"/>
      <c r="H844" s="92"/>
      <c r="I844" s="93"/>
      <c r="J844" s="113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spans="1:26" ht="12.75" customHeight="1" x14ac:dyDescent="0.25">
      <c r="A845" s="79"/>
      <c r="B845" s="78"/>
      <c r="C845" s="82"/>
      <c r="D845" s="82"/>
      <c r="E845" s="83"/>
      <c r="F845" s="92"/>
      <c r="G845" s="92"/>
      <c r="H845" s="92"/>
      <c r="I845" s="93"/>
      <c r="J845" s="113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spans="1:26" ht="12.75" customHeight="1" x14ac:dyDescent="0.25">
      <c r="A846" s="79"/>
      <c r="B846" s="78"/>
      <c r="C846" s="82"/>
      <c r="D846" s="82"/>
      <c r="E846" s="83"/>
      <c r="F846" s="92"/>
      <c r="G846" s="92"/>
      <c r="H846" s="92"/>
      <c r="I846" s="93"/>
      <c r="J846" s="113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spans="1:26" ht="12.75" customHeight="1" x14ac:dyDescent="0.25">
      <c r="A847" s="79"/>
      <c r="B847" s="78"/>
      <c r="C847" s="82"/>
      <c r="D847" s="82"/>
      <c r="E847" s="83"/>
      <c r="F847" s="92"/>
      <c r="G847" s="92"/>
      <c r="H847" s="92"/>
      <c r="I847" s="93"/>
      <c r="J847" s="113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spans="1:26" ht="12.75" customHeight="1" x14ac:dyDescent="0.25">
      <c r="A848" s="79"/>
      <c r="B848" s="78"/>
      <c r="C848" s="82"/>
      <c r="D848" s="82"/>
      <c r="E848" s="83"/>
      <c r="F848" s="92"/>
      <c r="G848" s="92"/>
      <c r="H848" s="92"/>
      <c r="I848" s="93"/>
      <c r="J848" s="113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spans="1:26" ht="12.75" customHeight="1" x14ac:dyDescent="0.25">
      <c r="A849" s="79"/>
      <c r="B849" s="78"/>
      <c r="C849" s="82"/>
      <c r="D849" s="82"/>
      <c r="E849" s="83"/>
      <c r="F849" s="92"/>
      <c r="G849" s="92"/>
      <c r="H849" s="92"/>
      <c r="I849" s="93"/>
      <c r="J849" s="113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spans="1:26" ht="12.75" customHeight="1" x14ac:dyDescent="0.25">
      <c r="A850" s="79"/>
      <c r="B850" s="78"/>
      <c r="C850" s="82"/>
      <c r="D850" s="82"/>
      <c r="E850" s="83"/>
      <c r="F850" s="92"/>
      <c r="G850" s="92"/>
      <c r="H850" s="92"/>
      <c r="I850" s="93"/>
      <c r="J850" s="113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spans="1:26" ht="12.75" customHeight="1" x14ac:dyDescent="0.25">
      <c r="A851" s="79"/>
      <c r="B851" s="78"/>
      <c r="C851" s="82"/>
      <c r="D851" s="82"/>
      <c r="E851" s="83"/>
      <c r="F851" s="92"/>
      <c r="G851" s="92"/>
      <c r="H851" s="92"/>
      <c r="I851" s="93"/>
      <c r="J851" s="113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spans="1:26" ht="12.75" customHeight="1" x14ac:dyDescent="0.25">
      <c r="A852" s="79"/>
      <c r="B852" s="78"/>
      <c r="C852" s="82"/>
      <c r="D852" s="82"/>
      <c r="E852" s="83"/>
      <c r="F852" s="92"/>
      <c r="G852" s="92"/>
      <c r="H852" s="92"/>
      <c r="I852" s="93"/>
      <c r="J852" s="113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spans="1:26" ht="12.75" customHeight="1" x14ac:dyDescent="0.25">
      <c r="A853" s="79"/>
      <c r="B853" s="78"/>
      <c r="C853" s="82"/>
      <c r="D853" s="82"/>
      <c r="E853" s="83"/>
      <c r="F853" s="92"/>
      <c r="G853" s="92"/>
      <c r="H853" s="92"/>
      <c r="I853" s="93"/>
      <c r="J853" s="113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spans="1:26" ht="12.75" customHeight="1" x14ac:dyDescent="0.25">
      <c r="A854" s="79"/>
      <c r="B854" s="78"/>
      <c r="C854" s="82"/>
      <c r="D854" s="82"/>
      <c r="E854" s="83"/>
      <c r="F854" s="92"/>
      <c r="G854" s="92"/>
      <c r="H854" s="92"/>
      <c r="I854" s="93"/>
      <c r="J854" s="113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spans="1:26" ht="12.75" customHeight="1" x14ac:dyDescent="0.25">
      <c r="A855" s="79"/>
      <c r="B855" s="78"/>
      <c r="C855" s="82"/>
      <c r="D855" s="82"/>
      <c r="E855" s="83"/>
      <c r="F855" s="92"/>
      <c r="G855" s="92"/>
      <c r="H855" s="92"/>
      <c r="I855" s="93"/>
      <c r="J855" s="113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spans="1:26" ht="12.75" customHeight="1" x14ac:dyDescent="0.25">
      <c r="A856" s="79"/>
      <c r="B856" s="78"/>
      <c r="C856" s="82"/>
      <c r="D856" s="82"/>
      <c r="E856" s="83"/>
      <c r="F856" s="92"/>
      <c r="G856" s="92"/>
      <c r="H856" s="92"/>
      <c r="I856" s="93"/>
      <c r="J856" s="113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spans="1:26" ht="12.75" customHeight="1" x14ac:dyDescent="0.25">
      <c r="A857" s="79"/>
      <c r="B857" s="78"/>
      <c r="C857" s="82"/>
      <c r="D857" s="82"/>
      <c r="E857" s="83"/>
      <c r="F857" s="92"/>
      <c r="G857" s="92"/>
      <c r="H857" s="92"/>
      <c r="I857" s="93"/>
      <c r="J857" s="113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spans="1:26" ht="12.75" customHeight="1" x14ac:dyDescent="0.25">
      <c r="A858" s="79"/>
      <c r="B858" s="78"/>
      <c r="C858" s="82"/>
      <c r="D858" s="82"/>
      <c r="E858" s="83"/>
      <c r="F858" s="92"/>
      <c r="G858" s="92"/>
      <c r="H858" s="92"/>
      <c r="I858" s="93"/>
      <c r="J858" s="113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spans="1:26" ht="12.75" customHeight="1" x14ac:dyDescent="0.25">
      <c r="A859" s="79"/>
      <c r="B859" s="78"/>
      <c r="C859" s="82"/>
      <c r="D859" s="82"/>
      <c r="E859" s="83"/>
      <c r="F859" s="92"/>
      <c r="G859" s="92"/>
      <c r="H859" s="92"/>
      <c r="I859" s="93"/>
      <c r="J859" s="113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spans="1:26" ht="12.75" customHeight="1" x14ac:dyDescent="0.25">
      <c r="A860" s="79"/>
      <c r="B860" s="78"/>
      <c r="C860" s="82"/>
      <c r="D860" s="82"/>
      <c r="E860" s="83"/>
      <c r="F860" s="92"/>
      <c r="G860" s="92"/>
      <c r="H860" s="92"/>
      <c r="I860" s="93"/>
      <c r="J860" s="113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spans="1:26" ht="12.75" customHeight="1" x14ac:dyDescent="0.25">
      <c r="A861" s="79"/>
      <c r="B861" s="78"/>
      <c r="C861" s="82"/>
      <c r="D861" s="82"/>
      <c r="E861" s="83"/>
      <c r="F861" s="92"/>
      <c r="G861" s="92"/>
      <c r="H861" s="92"/>
      <c r="I861" s="93"/>
      <c r="J861" s="113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spans="1:26" ht="12.75" customHeight="1" x14ac:dyDescent="0.25">
      <c r="A862" s="79"/>
      <c r="B862" s="78"/>
      <c r="C862" s="82"/>
      <c r="D862" s="82"/>
      <c r="E862" s="83"/>
      <c r="F862" s="92"/>
      <c r="G862" s="92"/>
      <c r="H862" s="92"/>
      <c r="I862" s="93"/>
      <c r="J862" s="113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spans="1:26" ht="12.75" customHeight="1" x14ac:dyDescent="0.25">
      <c r="A863" s="79"/>
      <c r="B863" s="78"/>
      <c r="C863" s="82"/>
      <c r="D863" s="82"/>
      <c r="E863" s="83"/>
      <c r="F863" s="92"/>
      <c r="G863" s="92"/>
      <c r="H863" s="92"/>
      <c r="I863" s="93"/>
      <c r="J863" s="113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spans="1:26" ht="12.75" customHeight="1" x14ac:dyDescent="0.25">
      <c r="A864" s="79"/>
      <c r="B864" s="78"/>
      <c r="C864" s="82"/>
      <c r="D864" s="82"/>
      <c r="E864" s="83"/>
      <c r="F864" s="92"/>
      <c r="G864" s="92"/>
      <c r="H864" s="92"/>
      <c r="I864" s="93"/>
      <c r="J864" s="113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spans="1:26" ht="12.75" customHeight="1" x14ac:dyDescent="0.25">
      <c r="A865" s="79"/>
      <c r="B865" s="78"/>
      <c r="C865" s="82"/>
      <c r="D865" s="82"/>
      <c r="E865" s="83"/>
      <c r="F865" s="92"/>
      <c r="G865" s="92"/>
      <c r="H865" s="92"/>
      <c r="I865" s="93"/>
      <c r="J865" s="113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spans="1:26" ht="12.75" customHeight="1" x14ac:dyDescent="0.25">
      <c r="A866" s="79"/>
      <c r="B866" s="78"/>
      <c r="C866" s="82"/>
      <c r="D866" s="82"/>
      <c r="E866" s="83"/>
      <c r="F866" s="92"/>
      <c r="G866" s="92"/>
      <c r="H866" s="92"/>
      <c r="I866" s="93"/>
      <c r="J866" s="113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spans="1:26" ht="12.75" customHeight="1" x14ac:dyDescent="0.25">
      <c r="A867" s="79"/>
      <c r="B867" s="78"/>
      <c r="C867" s="82"/>
      <c r="D867" s="82"/>
      <c r="E867" s="83"/>
      <c r="F867" s="92"/>
      <c r="G867" s="92"/>
      <c r="H867" s="92"/>
      <c r="I867" s="93"/>
      <c r="J867" s="113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spans="1:26" ht="12.75" customHeight="1" x14ac:dyDescent="0.25">
      <c r="A868" s="79"/>
      <c r="B868" s="78"/>
      <c r="C868" s="82"/>
      <c r="D868" s="82"/>
      <c r="E868" s="83"/>
      <c r="F868" s="92"/>
      <c r="G868" s="92"/>
      <c r="H868" s="92"/>
      <c r="I868" s="93"/>
      <c r="J868" s="113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spans="1:26" ht="12.75" customHeight="1" x14ac:dyDescent="0.25">
      <c r="A869" s="79"/>
      <c r="B869" s="78"/>
      <c r="C869" s="82"/>
      <c r="D869" s="82"/>
      <c r="E869" s="83"/>
      <c r="F869" s="92"/>
      <c r="G869" s="92"/>
      <c r="H869" s="92"/>
      <c r="I869" s="93"/>
      <c r="J869" s="113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spans="1:26" ht="12.75" customHeight="1" x14ac:dyDescent="0.25">
      <c r="A870" s="79"/>
      <c r="B870" s="78"/>
      <c r="C870" s="82"/>
      <c r="D870" s="82"/>
      <c r="E870" s="83"/>
      <c r="F870" s="92"/>
      <c r="G870" s="92"/>
      <c r="H870" s="92"/>
      <c r="I870" s="93"/>
      <c r="J870" s="113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spans="1:26" ht="12.75" customHeight="1" x14ac:dyDescent="0.25">
      <c r="A871" s="79"/>
      <c r="B871" s="78"/>
      <c r="C871" s="82"/>
      <c r="D871" s="82"/>
      <c r="E871" s="83"/>
      <c r="F871" s="92"/>
      <c r="G871" s="92"/>
      <c r="H871" s="92"/>
      <c r="I871" s="93"/>
      <c r="J871" s="113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spans="1:26" ht="12.75" customHeight="1" x14ac:dyDescent="0.25">
      <c r="A872" s="79"/>
      <c r="B872" s="78"/>
      <c r="C872" s="82"/>
      <c r="D872" s="82"/>
      <c r="E872" s="83"/>
      <c r="F872" s="92"/>
      <c r="G872" s="92"/>
      <c r="H872" s="92"/>
      <c r="I872" s="93"/>
      <c r="J872" s="113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spans="1:26" ht="12.75" customHeight="1" x14ac:dyDescent="0.25">
      <c r="A873" s="79"/>
      <c r="B873" s="78"/>
      <c r="C873" s="82"/>
      <c r="D873" s="82"/>
      <c r="E873" s="83"/>
      <c r="F873" s="92"/>
      <c r="G873" s="92"/>
      <c r="H873" s="92"/>
      <c r="I873" s="93"/>
      <c r="J873" s="113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spans="1:26" ht="12.75" customHeight="1" x14ac:dyDescent="0.25">
      <c r="A874" s="79"/>
      <c r="B874" s="78"/>
      <c r="C874" s="82"/>
      <c r="D874" s="82"/>
      <c r="E874" s="83"/>
      <c r="F874" s="92"/>
      <c r="G874" s="92"/>
      <c r="H874" s="92"/>
      <c r="I874" s="93"/>
      <c r="J874" s="113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spans="1:26" ht="12.75" customHeight="1" x14ac:dyDescent="0.25">
      <c r="A875" s="79"/>
      <c r="B875" s="78"/>
      <c r="C875" s="82"/>
      <c r="D875" s="82"/>
      <c r="E875" s="83"/>
      <c r="F875" s="92"/>
      <c r="G875" s="92"/>
      <c r="H875" s="92"/>
      <c r="I875" s="93"/>
      <c r="J875" s="113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spans="1:26" ht="12.75" customHeight="1" x14ac:dyDescent="0.25">
      <c r="A876" s="79"/>
      <c r="B876" s="78"/>
      <c r="C876" s="82"/>
      <c r="D876" s="82"/>
      <c r="E876" s="83"/>
      <c r="F876" s="92"/>
      <c r="G876" s="92"/>
      <c r="H876" s="92"/>
      <c r="I876" s="93"/>
      <c r="J876" s="113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spans="1:26" ht="12.75" customHeight="1" x14ac:dyDescent="0.25">
      <c r="A877" s="79"/>
      <c r="B877" s="78"/>
      <c r="C877" s="82"/>
      <c r="D877" s="82"/>
      <c r="E877" s="83"/>
      <c r="F877" s="92"/>
      <c r="G877" s="92"/>
      <c r="H877" s="92"/>
      <c r="I877" s="93"/>
      <c r="J877" s="113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spans="1:26" ht="12.75" customHeight="1" x14ac:dyDescent="0.25">
      <c r="A878" s="79"/>
      <c r="B878" s="78"/>
      <c r="C878" s="82"/>
      <c r="D878" s="82"/>
      <c r="E878" s="83"/>
      <c r="F878" s="92"/>
      <c r="G878" s="92"/>
      <c r="H878" s="92"/>
      <c r="I878" s="93"/>
      <c r="J878" s="113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spans="1:26" ht="12.75" customHeight="1" x14ac:dyDescent="0.25">
      <c r="A879" s="79"/>
      <c r="B879" s="78"/>
      <c r="C879" s="82"/>
      <c r="D879" s="82"/>
      <c r="E879" s="83"/>
      <c r="F879" s="92"/>
      <c r="G879" s="92"/>
      <c r="H879" s="92"/>
      <c r="I879" s="93"/>
      <c r="J879" s="113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spans="1:26" ht="12.75" customHeight="1" x14ac:dyDescent="0.25">
      <c r="A880" s="79"/>
      <c r="B880" s="78"/>
      <c r="C880" s="82"/>
      <c r="D880" s="82"/>
      <c r="E880" s="83"/>
      <c r="F880" s="92"/>
      <c r="G880" s="92"/>
      <c r="H880" s="92"/>
      <c r="I880" s="93"/>
      <c r="J880" s="113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spans="1:26" ht="12.75" customHeight="1" x14ac:dyDescent="0.25">
      <c r="A881" s="79"/>
      <c r="B881" s="78"/>
      <c r="C881" s="82"/>
      <c r="D881" s="82"/>
      <c r="E881" s="83"/>
      <c r="F881" s="92"/>
      <c r="G881" s="92"/>
      <c r="H881" s="92"/>
      <c r="I881" s="93"/>
      <c r="J881" s="113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spans="1:26" ht="12.75" customHeight="1" x14ac:dyDescent="0.25">
      <c r="A882" s="79"/>
      <c r="B882" s="78"/>
      <c r="C882" s="82"/>
      <c r="D882" s="82"/>
      <c r="E882" s="83"/>
      <c r="F882" s="92"/>
      <c r="G882" s="92"/>
      <c r="H882" s="92"/>
      <c r="I882" s="93"/>
      <c r="J882" s="113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spans="1:26" ht="12.75" customHeight="1" x14ac:dyDescent="0.25">
      <c r="A883" s="79"/>
      <c r="B883" s="78"/>
      <c r="C883" s="82"/>
      <c r="D883" s="82"/>
      <c r="E883" s="83"/>
      <c r="F883" s="92"/>
      <c r="G883" s="92"/>
      <c r="H883" s="92"/>
      <c r="I883" s="93"/>
      <c r="J883" s="113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spans="1:26" ht="12.75" customHeight="1" x14ac:dyDescent="0.25">
      <c r="A884" s="79"/>
      <c r="B884" s="78"/>
      <c r="C884" s="82"/>
      <c r="D884" s="82"/>
      <c r="E884" s="83"/>
      <c r="F884" s="92"/>
      <c r="G884" s="92"/>
      <c r="H884" s="92"/>
      <c r="I884" s="93"/>
      <c r="J884" s="113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spans="1:26" ht="12.75" customHeight="1" x14ac:dyDescent="0.25">
      <c r="A885" s="79"/>
      <c r="B885" s="78"/>
      <c r="C885" s="82"/>
      <c r="D885" s="82"/>
      <c r="E885" s="83"/>
      <c r="F885" s="92"/>
      <c r="G885" s="92"/>
      <c r="H885" s="92"/>
      <c r="I885" s="93"/>
      <c r="J885" s="113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spans="1:26" ht="12.75" customHeight="1" x14ac:dyDescent="0.25">
      <c r="A886" s="79"/>
      <c r="B886" s="78"/>
      <c r="C886" s="82"/>
      <c r="D886" s="82"/>
      <c r="E886" s="83"/>
      <c r="F886" s="92"/>
      <c r="G886" s="92"/>
      <c r="H886" s="92"/>
      <c r="I886" s="93"/>
      <c r="J886" s="113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spans="1:26" ht="12.75" customHeight="1" x14ac:dyDescent="0.25">
      <c r="A887" s="79"/>
      <c r="B887" s="78"/>
      <c r="C887" s="82"/>
      <c r="D887" s="82"/>
      <c r="E887" s="83"/>
      <c r="F887" s="92"/>
      <c r="G887" s="92"/>
      <c r="H887" s="92"/>
      <c r="I887" s="93"/>
      <c r="J887" s="113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spans="1:26" ht="12.75" customHeight="1" x14ac:dyDescent="0.25">
      <c r="A888" s="79"/>
      <c r="B888" s="78"/>
      <c r="C888" s="82"/>
      <c r="D888" s="82"/>
      <c r="E888" s="83"/>
      <c r="F888" s="92"/>
      <c r="G888" s="92"/>
      <c r="H888" s="92"/>
      <c r="I888" s="93"/>
      <c r="J888" s="113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spans="1:26" ht="12.75" customHeight="1" x14ac:dyDescent="0.25">
      <c r="A889" s="79"/>
      <c r="B889" s="78"/>
      <c r="C889" s="82"/>
      <c r="D889" s="82"/>
      <c r="E889" s="83"/>
      <c r="F889" s="92"/>
      <c r="G889" s="92"/>
      <c r="H889" s="92"/>
      <c r="I889" s="93"/>
      <c r="J889" s="113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spans="1:26" ht="12.75" customHeight="1" x14ac:dyDescent="0.25">
      <c r="A890" s="79"/>
      <c r="B890" s="78"/>
      <c r="C890" s="82"/>
      <c r="D890" s="82"/>
      <c r="E890" s="83"/>
      <c r="F890" s="92"/>
      <c r="G890" s="92"/>
      <c r="H890" s="92"/>
      <c r="I890" s="93"/>
      <c r="J890" s="113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spans="1:26" ht="12.75" customHeight="1" x14ac:dyDescent="0.25">
      <c r="A891" s="79"/>
      <c r="B891" s="78"/>
      <c r="C891" s="82"/>
      <c r="D891" s="82"/>
      <c r="E891" s="83"/>
      <c r="F891" s="92"/>
      <c r="G891" s="92"/>
      <c r="H891" s="92"/>
      <c r="I891" s="93"/>
      <c r="J891" s="113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spans="1:26" ht="12.75" customHeight="1" x14ac:dyDescent="0.25">
      <c r="A892" s="79"/>
      <c r="B892" s="78"/>
      <c r="C892" s="82"/>
      <c r="D892" s="82"/>
      <c r="E892" s="83"/>
      <c r="F892" s="92"/>
      <c r="G892" s="92"/>
      <c r="H892" s="92"/>
      <c r="I892" s="93"/>
      <c r="J892" s="113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spans="1:26" ht="12.75" customHeight="1" x14ac:dyDescent="0.25">
      <c r="A893" s="79"/>
      <c r="B893" s="78"/>
      <c r="C893" s="82"/>
      <c r="D893" s="82"/>
      <c r="E893" s="83"/>
      <c r="F893" s="92"/>
      <c r="G893" s="92"/>
      <c r="H893" s="92"/>
      <c r="I893" s="93"/>
      <c r="J893" s="113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spans="1:26" ht="12.75" customHeight="1" x14ac:dyDescent="0.25">
      <c r="A894" s="79"/>
      <c r="B894" s="78"/>
      <c r="C894" s="82"/>
      <c r="D894" s="82"/>
      <c r="E894" s="83"/>
      <c r="F894" s="92"/>
      <c r="G894" s="92"/>
      <c r="H894" s="92"/>
      <c r="I894" s="93"/>
      <c r="J894" s="113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spans="1:26" ht="12.75" customHeight="1" x14ac:dyDescent="0.25">
      <c r="A895" s="79"/>
      <c r="B895" s="78"/>
      <c r="C895" s="82"/>
      <c r="D895" s="82"/>
      <c r="E895" s="83"/>
      <c r="F895" s="92"/>
      <c r="G895" s="92"/>
      <c r="H895" s="92"/>
      <c r="I895" s="93"/>
      <c r="J895" s="113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spans="1:26" ht="12.75" customHeight="1" x14ac:dyDescent="0.25">
      <c r="A896" s="79"/>
      <c r="B896" s="78"/>
      <c r="C896" s="82"/>
      <c r="D896" s="82"/>
      <c r="E896" s="83"/>
      <c r="F896" s="92"/>
      <c r="G896" s="92"/>
      <c r="H896" s="92"/>
      <c r="I896" s="93"/>
      <c r="J896" s="113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spans="1:26" ht="12.75" customHeight="1" x14ac:dyDescent="0.25">
      <c r="A897" s="79"/>
      <c r="B897" s="78"/>
      <c r="C897" s="82"/>
      <c r="D897" s="82"/>
      <c r="E897" s="83"/>
      <c r="F897" s="92"/>
      <c r="G897" s="92"/>
      <c r="H897" s="92"/>
      <c r="I897" s="93"/>
      <c r="J897" s="113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spans="1:26" ht="12.75" customHeight="1" x14ac:dyDescent="0.25">
      <c r="A898" s="79"/>
      <c r="B898" s="78"/>
      <c r="C898" s="82"/>
      <c r="D898" s="82"/>
      <c r="E898" s="83"/>
      <c r="F898" s="92"/>
      <c r="G898" s="92"/>
      <c r="H898" s="92"/>
      <c r="I898" s="93"/>
      <c r="J898" s="113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spans="1:26" ht="12.75" customHeight="1" x14ac:dyDescent="0.25">
      <c r="A899" s="79"/>
      <c r="B899" s="78"/>
      <c r="C899" s="82"/>
      <c r="D899" s="82"/>
      <c r="E899" s="83"/>
      <c r="F899" s="92"/>
      <c r="G899" s="92"/>
      <c r="H899" s="92"/>
      <c r="I899" s="93"/>
      <c r="J899" s="113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spans="1:26" ht="12.75" customHeight="1" x14ac:dyDescent="0.25">
      <c r="A900" s="79"/>
      <c r="B900" s="78"/>
      <c r="C900" s="82"/>
      <c r="D900" s="82"/>
      <c r="E900" s="83"/>
      <c r="F900" s="92"/>
      <c r="G900" s="92"/>
      <c r="H900" s="92"/>
      <c r="I900" s="93"/>
      <c r="J900" s="113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spans="1:26" ht="12.75" customHeight="1" x14ac:dyDescent="0.25">
      <c r="A901" s="79"/>
      <c r="B901" s="78"/>
      <c r="C901" s="82"/>
      <c r="D901" s="82"/>
      <c r="E901" s="83"/>
      <c r="F901" s="92"/>
      <c r="G901" s="92"/>
      <c r="H901" s="92"/>
      <c r="I901" s="93"/>
      <c r="J901" s="113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spans="1:26" ht="12.75" customHeight="1" x14ac:dyDescent="0.25">
      <c r="A902" s="79"/>
      <c r="B902" s="78"/>
      <c r="C902" s="82"/>
      <c r="D902" s="82"/>
      <c r="E902" s="83"/>
      <c r="F902" s="92"/>
      <c r="G902" s="92"/>
      <c r="H902" s="92"/>
      <c r="I902" s="93"/>
      <c r="J902" s="113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spans="1:26" ht="12.75" customHeight="1" x14ac:dyDescent="0.25">
      <c r="A903" s="79"/>
      <c r="B903" s="78"/>
      <c r="C903" s="82"/>
      <c r="D903" s="82"/>
      <c r="E903" s="83"/>
      <c r="F903" s="92"/>
      <c r="G903" s="92"/>
      <c r="H903" s="92"/>
      <c r="I903" s="93"/>
      <c r="J903" s="113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spans="1:26" ht="12.75" customHeight="1" x14ac:dyDescent="0.25">
      <c r="A904" s="79"/>
      <c r="B904" s="78"/>
      <c r="C904" s="82"/>
      <c r="D904" s="82"/>
      <c r="E904" s="83"/>
      <c r="F904" s="92"/>
      <c r="G904" s="92"/>
      <c r="H904" s="92"/>
      <c r="I904" s="93"/>
      <c r="J904" s="113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spans="1:26" ht="12.75" customHeight="1" x14ac:dyDescent="0.25">
      <c r="A905" s="79"/>
      <c r="B905" s="78"/>
      <c r="C905" s="82"/>
      <c r="D905" s="82"/>
      <c r="E905" s="83"/>
      <c r="F905" s="92"/>
      <c r="G905" s="92"/>
      <c r="H905" s="92"/>
      <c r="I905" s="93"/>
      <c r="J905" s="113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spans="1:26" ht="12.75" customHeight="1" x14ac:dyDescent="0.25">
      <c r="A906" s="79"/>
      <c r="B906" s="78"/>
      <c r="C906" s="82"/>
      <c r="D906" s="82"/>
      <c r="E906" s="83"/>
      <c r="F906" s="92"/>
      <c r="G906" s="92"/>
      <c r="H906" s="92"/>
      <c r="I906" s="93"/>
      <c r="J906" s="113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spans="1:26" ht="12.75" customHeight="1" x14ac:dyDescent="0.25">
      <c r="A907" s="79"/>
      <c r="B907" s="78"/>
      <c r="C907" s="82"/>
      <c r="D907" s="82"/>
      <c r="E907" s="83"/>
      <c r="F907" s="92"/>
      <c r="G907" s="92"/>
      <c r="H907" s="92"/>
      <c r="I907" s="93"/>
      <c r="J907" s="113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spans="1:26" ht="12.75" customHeight="1" x14ac:dyDescent="0.25">
      <c r="A908" s="79"/>
      <c r="B908" s="78"/>
      <c r="C908" s="82"/>
      <c r="D908" s="82"/>
      <c r="E908" s="83"/>
      <c r="F908" s="92"/>
      <c r="G908" s="92"/>
      <c r="H908" s="92"/>
      <c r="I908" s="93"/>
      <c r="J908" s="113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spans="1:26" ht="12.75" customHeight="1" x14ac:dyDescent="0.25">
      <c r="A909" s="79"/>
      <c r="B909" s="78"/>
      <c r="C909" s="82"/>
      <c r="D909" s="82"/>
      <c r="E909" s="83"/>
      <c r="F909" s="92"/>
      <c r="G909" s="92"/>
      <c r="H909" s="92"/>
      <c r="I909" s="93"/>
      <c r="J909" s="113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spans="1:26" ht="12.75" customHeight="1" x14ac:dyDescent="0.25">
      <c r="A910" s="79"/>
      <c r="B910" s="78"/>
      <c r="C910" s="82"/>
      <c r="D910" s="82"/>
      <c r="E910" s="83"/>
      <c r="F910" s="92"/>
      <c r="G910" s="92"/>
      <c r="H910" s="92"/>
      <c r="I910" s="93"/>
      <c r="J910" s="113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spans="1:26" ht="12.75" customHeight="1" x14ac:dyDescent="0.25">
      <c r="A911" s="79"/>
      <c r="B911" s="78"/>
      <c r="C911" s="82"/>
      <c r="D911" s="82"/>
      <c r="E911" s="83"/>
      <c r="F911" s="92"/>
      <c r="G911" s="92"/>
      <c r="H911" s="92"/>
      <c r="I911" s="93"/>
      <c r="J911" s="113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spans="1:26" ht="12.75" customHeight="1" x14ac:dyDescent="0.25">
      <c r="A912" s="79"/>
      <c r="B912" s="78"/>
      <c r="C912" s="82"/>
      <c r="D912" s="82"/>
      <c r="E912" s="83"/>
      <c r="F912" s="92"/>
      <c r="G912" s="92"/>
      <c r="H912" s="92"/>
      <c r="I912" s="93"/>
      <c r="J912" s="113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spans="1:26" ht="12.75" customHeight="1" x14ac:dyDescent="0.25">
      <c r="A913" s="79"/>
      <c r="B913" s="78"/>
      <c r="C913" s="82"/>
      <c r="D913" s="82"/>
      <c r="E913" s="83"/>
      <c r="F913" s="92"/>
      <c r="G913" s="92"/>
      <c r="H913" s="92"/>
      <c r="I913" s="93"/>
      <c r="J913" s="113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spans="1:26" ht="12.75" customHeight="1" x14ac:dyDescent="0.25">
      <c r="A914" s="79"/>
      <c r="B914" s="78"/>
      <c r="C914" s="82"/>
      <c r="D914" s="82"/>
      <c r="E914" s="83"/>
      <c r="F914" s="92"/>
      <c r="G914" s="92"/>
      <c r="H914" s="92"/>
      <c r="I914" s="93"/>
      <c r="J914" s="113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spans="1:26" ht="12.75" customHeight="1" x14ac:dyDescent="0.25">
      <c r="A915" s="79"/>
      <c r="B915" s="78"/>
      <c r="C915" s="82"/>
      <c r="D915" s="82"/>
      <c r="E915" s="83"/>
      <c r="F915" s="92"/>
      <c r="G915" s="92"/>
      <c r="H915" s="92"/>
      <c r="I915" s="93"/>
      <c r="J915" s="113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spans="1:26" ht="12.75" customHeight="1" x14ac:dyDescent="0.25">
      <c r="A916" s="79"/>
      <c r="B916" s="78"/>
      <c r="C916" s="82"/>
      <c r="D916" s="82"/>
      <c r="E916" s="83"/>
      <c r="F916" s="92"/>
      <c r="G916" s="92"/>
      <c r="H916" s="92"/>
      <c r="I916" s="93"/>
      <c r="J916" s="113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spans="1:26" ht="12.75" customHeight="1" x14ac:dyDescent="0.25">
      <c r="A917" s="79"/>
      <c r="B917" s="78"/>
      <c r="C917" s="82"/>
      <c r="D917" s="82"/>
      <c r="E917" s="83"/>
      <c r="F917" s="92"/>
      <c r="G917" s="92"/>
      <c r="H917" s="92"/>
      <c r="I917" s="93"/>
      <c r="J917" s="113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spans="1:26" ht="12.75" customHeight="1" x14ac:dyDescent="0.25">
      <c r="A918" s="79"/>
      <c r="B918" s="78"/>
      <c r="C918" s="82"/>
      <c r="D918" s="82"/>
      <c r="E918" s="83"/>
      <c r="F918" s="92"/>
      <c r="G918" s="92"/>
      <c r="H918" s="92"/>
      <c r="I918" s="93"/>
      <c r="J918" s="113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spans="1:26" ht="12.75" customHeight="1" x14ac:dyDescent="0.25">
      <c r="A919" s="79"/>
      <c r="B919" s="78"/>
      <c r="C919" s="82"/>
      <c r="D919" s="82"/>
      <c r="E919" s="83"/>
      <c r="F919" s="92"/>
      <c r="G919" s="92"/>
      <c r="H919" s="92"/>
      <c r="I919" s="93"/>
      <c r="J919" s="113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spans="1:26" ht="12.75" customHeight="1" x14ac:dyDescent="0.25">
      <c r="A920" s="79"/>
      <c r="B920" s="78"/>
      <c r="C920" s="82"/>
      <c r="D920" s="82"/>
      <c r="E920" s="83"/>
      <c r="F920" s="92"/>
      <c r="G920" s="92"/>
      <c r="H920" s="92"/>
      <c r="I920" s="93"/>
      <c r="J920" s="113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spans="1:26" ht="12.75" customHeight="1" x14ac:dyDescent="0.25">
      <c r="A921" s="79"/>
      <c r="B921" s="78"/>
      <c r="C921" s="82"/>
      <c r="D921" s="82"/>
      <c r="E921" s="83"/>
      <c r="F921" s="92"/>
      <c r="G921" s="92"/>
      <c r="H921" s="92"/>
      <c r="I921" s="93"/>
      <c r="J921" s="113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spans="1:26" ht="12.75" customHeight="1" x14ac:dyDescent="0.25">
      <c r="A922" s="79"/>
      <c r="B922" s="78"/>
      <c r="C922" s="82"/>
      <c r="D922" s="82"/>
      <c r="E922" s="83"/>
      <c r="F922" s="92"/>
      <c r="G922" s="92"/>
      <c r="H922" s="92"/>
      <c r="I922" s="93"/>
      <c r="J922" s="113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spans="1:26" ht="12.75" customHeight="1" x14ac:dyDescent="0.25">
      <c r="A923" s="79"/>
      <c r="B923" s="78"/>
      <c r="C923" s="82"/>
      <c r="D923" s="82"/>
      <c r="E923" s="83"/>
      <c r="F923" s="92"/>
      <c r="G923" s="92"/>
      <c r="H923" s="92"/>
      <c r="I923" s="93"/>
      <c r="J923" s="113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spans="1:26" ht="12.75" customHeight="1" x14ac:dyDescent="0.25">
      <c r="A924" s="79"/>
      <c r="B924" s="78"/>
      <c r="C924" s="82"/>
      <c r="D924" s="82"/>
      <c r="E924" s="83"/>
      <c r="F924" s="92"/>
      <c r="G924" s="92"/>
      <c r="H924" s="92"/>
      <c r="I924" s="93"/>
      <c r="J924" s="113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spans="1:26" ht="12.75" customHeight="1" x14ac:dyDescent="0.25">
      <c r="A925" s="79"/>
      <c r="B925" s="78"/>
      <c r="C925" s="82"/>
      <c r="D925" s="82"/>
      <c r="E925" s="83"/>
      <c r="F925" s="92"/>
      <c r="G925" s="92"/>
      <c r="H925" s="92"/>
      <c r="I925" s="93"/>
      <c r="J925" s="113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spans="1:26" ht="12.75" customHeight="1" x14ac:dyDescent="0.25">
      <c r="A926" s="79"/>
      <c r="B926" s="78"/>
      <c r="C926" s="82"/>
      <c r="D926" s="82"/>
      <c r="E926" s="83"/>
      <c r="F926" s="92"/>
      <c r="G926" s="92"/>
      <c r="H926" s="92"/>
      <c r="I926" s="93"/>
      <c r="J926" s="113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spans="1:26" ht="12.75" customHeight="1" x14ac:dyDescent="0.25">
      <c r="A927" s="79"/>
      <c r="B927" s="78"/>
      <c r="C927" s="82"/>
      <c r="D927" s="82"/>
      <c r="E927" s="83"/>
      <c r="F927" s="92"/>
      <c r="G927" s="92"/>
      <c r="H927" s="92"/>
      <c r="I927" s="93"/>
      <c r="J927" s="113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spans="1:26" ht="12.75" customHeight="1" x14ac:dyDescent="0.25">
      <c r="A928" s="79"/>
      <c r="B928" s="78"/>
      <c r="C928" s="82"/>
      <c r="D928" s="82"/>
      <c r="E928" s="83"/>
      <c r="F928" s="92"/>
      <c r="G928" s="92"/>
      <c r="H928" s="92"/>
      <c r="I928" s="93"/>
      <c r="J928" s="113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spans="1:26" ht="12.75" customHeight="1" x14ac:dyDescent="0.25">
      <c r="A929" s="79"/>
      <c r="B929" s="78"/>
      <c r="C929" s="82"/>
      <c r="D929" s="82"/>
      <c r="E929" s="83"/>
      <c r="F929" s="92"/>
      <c r="G929" s="92"/>
      <c r="H929" s="92"/>
      <c r="I929" s="93"/>
      <c r="J929" s="113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spans="1:26" ht="12.75" customHeight="1" x14ac:dyDescent="0.25">
      <c r="A930" s="79"/>
      <c r="B930" s="78"/>
      <c r="C930" s="82"/>
      <c r="D930" s="82"/>
      <c r="E930" s="83"/>
      <c r="F930" s="92"/>
      <c r="G930" s="92"/>
      <c r="H930" s="92"/>
      <c r="I930" s="93"/>
      <c r="J930" s="113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spans="1:26" ht="12.75" customHeight="1" x14ac:dyDescent="0.25">
      <c r="A931" s="79"/>
      <c r="B931" s="78"/>
      <c r="C931" s="82"/>
      <c r="D931" s="82"/>
      <c r="E931" s="83"/>
      <c r="F931" s="92"/>
      <c r="G931" s="92"/>
      <c r="H931" s="92"/>
      <c r="I931" s="93"/>
      <c r="J931" s="113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spans="1:26" ht="12.75" customHeight="1" x14ac:dyDescent="0.25">
      <c r="A932" s="79"/>
      <c r="B932" s="78"/>
      <c r="C932" s="82"/>
      <c r="D932" s="82"/>
      <c r="E932" s="83"/>
      <c r="F932" s="92"/>
      <c r="G932" s="92"/>
      <c r="H932" s="92"/>
      <c r="I932" s="93"/>
      <c r="J932" s="113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spans="1:26" ht="12.75" customHeight="1" x14ac:dyDescent="0.25">
      <c r="A933" s="79"/>
      <c r="B933" s="78"/>
      <c r="C933" s="82"/>
      <c r="D933" s="82"/>
      <c r="E933" s="83"/>
      <c r="F933" s="92"/>
      <c r="G933" s="92"/>
      <c r="H933" s="92"/>
      <c r="I933" s="93"/>
      <c r="J933" s="113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spans="1:26" ht="12.75" customHeight="1" x14ac:dyDescent="0.25">
      <c r="A934" s="79"/>
      <c r="B934" s="78"/>
      <c r="C934" s="82"/>
      <c r="D934" s="82"/>
      <c r="E934" s="83"/>
      <c r="F934" s="92"/>
      <c r="G934" s="92"/>
      <c r="H934" s="92"/>
      <c r="I934" s="93"/>
      <c r="J934" s="113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spans="1:26" ht="12.75" customHeight="1" x14ac:dyDescent="0.25">
      <c r="A935" s="79"/>
      <c r="B935" s="78"/>
      <c r="C935" s="82"/>
      <c r="D935" s="82"/>
      <c r="E935" s="83"/>
      <c r="F935" s="92"/>
      <c r="G935" s="92"/>
      <c r="H935" s="92"/>
      <c r="I935" s="93"/>
      <c r="J935" s="113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spans="1:26" ht="12.75" customHeight="1" x14ac:dyDescent="0.25">
      <c r="A936" s="79"/>
      <c r="B936" s="78"/>
      <c r="C936" s="82"/>
      <c r="D936" s="82"/>
      <c r="E936" s="83"/>
      <c r="F936" s="92"/>
      <c r="G936" s="92"/>
      <c r="H936" s="92"/>
      <c r="I936" s="93"/>
      <c r="J936" s="113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spans="1:26" ht="12.75" customHeight="1" x14ac:dyDescent="0.25">
      <c r="A937" s="79"/>
      <c r="B937" s="78"/>
      <c r="C937" s="82"/>
      <c r="D937" s="82"/>
      <c r="E937" s="83"/>
      <c r="F937" s="92"/>
      <c r="G937" s="92"/>
      <c r="H937" s="92"/>
      <c r="I937" s="93"/>
      <c r="J937" s="113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spans="1:26" ht="12.75" customHeight="1" x14ac:dyDescent="0.25">
      <c r="A938" s="79"/>
      <c r="B938" s="78"/>
      <c r="C938" s="82"/>
      <c r="D938" s="82"/>
      <c r="E938" s="83"/>
      <c r="F938" s="92"/>
      <c r="G938" s="92"/>
      <c r="H938" s="92"/>
      <c r="I938" s="93"/>
      <c r="J938" s="113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spans="1:26" ht="12.75" customHeight="1" x14ac:dyDescent="0.25">
      <c r="A939" s="79"/>
      <c r="B939" s="78"/>
      <c r="C939" s="82"/>
      <c r="D939" s="82"/>
      <c r="E939" s="83"/>
      <c r="F939" s="92"/>
      <c r="G939" s="92"/>
      <c r="H939" s="92"/>
      <c r="I939" s="93"/>
      <c r="J939" s="113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spans="1:26" ht="12.75" customHeight="1" x14ac:dyDescent="0.25">
      <c r="A940" s="79"/>
      <c r="B940" s="78"/>
      <c r="C940" s="82"/>
      <c r="D940" s="82"/>
      <c r="E940" s="83"/>
      <c r="F940" s="92"/>
      <c r="G940" s="92"/>
      <c r="H940" s="92"/>
      <c r="I940" s="93"/>
      <c r="J940" s="113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spans="1:26" ht="12.75" customHeight="1" x14ac:dyDescent="0.25">
      <c r="A941" s="79"/>
      <c r="B941" s="78"/>
      <c r="C941" s="82"/>
      <c r="D941" s="82"/>
      <c r="E941" s="83"/>
      <c r="F941" s="92"/>
      <c r="G941" s="92"/>
      <c r="H941" s="92"/>
      <c r="I941" s="93"/>
      <c r="J941" s="113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spans="1:26" ht="12.75" customHeight="1" x14ac:dyDescent="0.25">
      <c r="A942" s="79"/>
      <c r="B942" s="78"/>
      <c r="C942" s="82"/>
      <c r="D942" s="82"/>
      <c r="E942" s="83"/>
      <c r="F942" s="92"/>
      <c r="G942" s="92"/>
      <c r="H942" s="92"/>
      <c r="I942" s="93"/>
      <c r="J942" s="113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spans="1:26" ht="12.75" customHeight="1" x14ac:dyDescent="0.25">
      <c r="A943" s="79"/>
      <c r="B943" s="78"/>
      <c r="C943" s="82"/>
      <c r="D943" s="82"/>
      <c r="E943" s="83"/>
      <c r="F943" s="92"/>
      <c r="G943" s="92"/>
      <c r="H943" s="92"/>
      <c r="I943" s="93"/>
      <c r="J943" s="113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spans="1:26" ht="12.75" customHeight="1" x14ac:dyDescent="0.25">
      <c r="A944" s="79"/>
      <c r="B944" s="78"/>
      <c r="C944" s="82"/>
      <c r="D944" s="82"/>
      <c r="E944" s="83"/>
      <c r="F944" s="92"/>
      <c r="G944" s="92"/>
      <c r="H944" s="92"/>
      <c r="I944" s="93"/>
      <c r="J944" s="113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spans="1:26" ht="12.75" customHeight="1" x14ac:dyDescent="0.25">
      <c r="A945" s="79"/>
      <c r="B945" s="78"/>
      <c r="C945" s="82"/>
      <c r="D945" s="82"/>
      <c r="E945" s="83"/>
      <c r="F945" s="92"/>
      <c r="G945" s="92"/>
      <c r="H945" s="92"/>
      <c r="I945" s="93"/>
      <c r="J945" s="113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spans="1:26" ht="12.75" customHeight="1" x14ac:dyDescent="0.25">
      <c r="A946" s="79"/>
      <c r="B946" s="78"/>
      <c r="C946" s="82"/>
      <c r="D946" s="82"/>
      <c r="E946" s="83"/>
      <c r="F946" s="92"/>
      <c r="G946" s="92"/>
      <c r="H946" s="92"/>
      <c r="I946" s="93"/>
      <c r="J946" s="113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spans="1:26" ht="12.75" customHeight="1" x14ac:dyDescent="0.25">
      <c r="A947" s="79"/>
      <c r="B947" s="78"/>
      <c r="C947" s="82"/>
      <c r="D947" s="82"/>
      <c r="E947" s="83"/>
      <c r="F947" s="92"/>
      <c r="G947" s="92"/>
      <c r="H947" s="92"/>
      <c r="I947" s="93"/>
      <c r="J947" s="113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spans="1:26" ht="12.75" customHeight="1" x14ac:dyDescent="0.25">
      <c r="A948" s="79"/>
      <c r="B948" s="78"/>
      <c r="C948" s="82"/>
      <c r="D948" s="82"/>
      <c r="E948" s="83"/>
      <c r="F948" s="92"/>
      <c r="G948" s="92"/>
      <c r="H948" s="92"/>
      <c r="I948" s="93"/>
      <c r="J948" s="113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spans="1:26" ht="12.75" customHeight="1" x14ac:dyDescent="0.25">
      <c r="A949" s="79"/>
      <c r="B949" s="78"/>
      <c r="C949" s="82"/>
      <c r="D949" s="82"/>
      <c r="E949" s="83"/>
      <c r="F949" s="92"/>
      <c r="G949" s="92"/>
      <c r="H949" s="92"/>
      <c r="I949" s="93"/>
      <c r="J949" s="113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spans="1:26" ht="12.75" customHeight="1" x14ac:dyDescent="0.25">
      <c r="A950" s="79"/>
      <c r="B950" s="78"/>
      <c r="C950" s="82"/>
      <c r="D950" s="82"/>
      <c r="E950" s="83"/>
      <c r="F950" s="92"/>
      <c r="G950" s="92"/>
      <c r="H950" s="92"/>
      <c r="I950" s="93"/>
      <c r="J950" s="113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spans="1:26" ht="12.75" customHeight="1" x14ac:dyDescent="0.25">
      <c r="A951" s="79"/>
      <c r="B951" s="78"/>
      <c r="C951" s="82"/>
      <c r="D951" s="82"/>
      <c r="E951" s="83"/>
      <c r="F951" s="92"/>
      <c r="G951" s="92"/>
      <c r="H951" s="92"/>
      <c r="I951" s="93"/>
      <c r="J951" s="113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spans="1:26" ht="12.75" customHeight="1" x14ac:dyDescent="0.25">
      <c r="A952" s="79"/>
      <c r="B952" s="78"/>
      <c r="C952" s="82"/>
      <c r="D952" s="82"/>
      <c r="E952" s="83"/>
      <c r="F952" s="92"/>
      <c r="G952" s="92"/>
      <c r="H952" s="92"/>
      <c r="I952" s="93"/>
      <c r="J952" s="113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spans="1:26" ht="12.75" customHeight="1" x14ac:dyDescent="0.25">
      <c r="A953" s="79"/>
      <c r="B953" s="78"/>
      <c r="C953" s="82"/>
      <c r="D953" s="82"/>
      <c r="E953" s="83"/>
      <c r="F953" s="92"/>
      <c r="G953" s="92"/>
      <c r="H953" s="92"/>
      <c r="I953" s="93"/>
      <c r="J953" s="113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spans="1:26" ht="12.75" customHeight="1" x14ac:dyDescent="0.25">
      <c r="A954" s="79"/>
      <c r="B954" s="78"/>
      <c r="C954" s="82"/>
      <c r="D954" s="82"/>
      <c r="E954" s="83"/>
      <c r="F954" s="92"/>
      <c r="G954" s="92"/>
      <c r="H954" s="92"/>
      <c r="I954" s="93"/>
      <c r="J954" s="113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spans="1:26" ht="12.75" customHeight="1" x14ac:dyDescent="0.25">
      <c r="A955" s="79"/>
      <c r="B955" s="78"/>
      <c r="C955" s="82"/>
      <c r="D955" s="82"/>
      <c r="E955" s="83"/>
      <c r="F955" s="92"/>
      <c r="G955" s="92"/>
      <c r="H955" s="92"/>
      <c r="I955" s="93"/>
      <c r="J955" s="113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spans="1:26" ht="12.75" customHeight="1" x14ac:dyDescent="0.25">
      <c r="A956" s="79"/>
      <c r="B956" s="78"/>
      <c r="C956" s="82"/>
      <c r="D956" s="82"/>
      <c r="E956" s="83"/>
      <c r="F956" s="92"/>
      <c r="G956" s="92"/>
      <c r="H956" s="92"/>
      <c r="I956" s="93"/>
      <c r="J956" s="113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spans="1:26" ht="12.75" customHeight="1" x14ac:dyDescent="0.25">
      <c r="A957" s="79"/>
      <c r="B957" s="78"/>
      <c r="C957" s="82"/>
      <c r="D957" s="82"/>
      <c r="E957" s="83"/>
      <c r="F957" s="92"/>
      <c r="G957" s="92"/>
      <c r="H957" s="92"/>
      <c r="I957" s="93"/>
      <c r="J957" s="113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spans="1:26" ht="12.75" customHeight="1" x14ac:dyDescent="0.25">
      <c r="A958" s="79"/>
      <c r="B958" s="78"/>
      <c r="C958" s="82"/>
      <c r="D958" s="82"/>
      <c r="E958" s="83"/>
      <c r="F958" s="92"/>
      <c r="G958" s="92"/>
      <c r="H958" s="92"/>
      <c r="I958" s="93"/>
      <c r="J958" s="113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spans="1:26" ht="12.75" customHeight="1" x14ac:dyDescent="0.25">
      <c r="A959" s="79"/>
      <c r="B959" s="78"/>
      <c r="C959" s="82"/>
      <c r="D959" s="82"/>
      <c r="E959" s="83"/>
      <c r="F959" s="92"/>
      <c r="G959" s="92"/>
      <c r="H959" s="92"/>
      <c r="I959" s="93"/>
      <c r="J959" s="113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spans="1:26" ht="12.75" customHeight="1" x14ac:dyDescent="0.25">
      <c r="A960" s="79"/>
      <c r="B960" s="78"/>
      <c r="C960" s="82"/>
      <c r="D960" s="82"/>
      <c r="E960" s="83"/>
      <c r="F960" s="92"/>
      <c r="G960" s="92"/>
      <c r="H960" s="92"/>
      <c r="I960" s="93"/>
      <c r="J960" s="113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spans="1:26" ht="12.75" customHeight="1" x14ac:dyDescent="0.25">
      <c r="A961" s="79"/>
      <c r="B961" s="78"/>
      <c r="C961" s="82"/>
      <c r="D961" s="82"/>
      <c r="E961" s="83"/>
      <c r="F961" s="92"/>
      <c r="G961" s="92"/>
      <c r="H961" s="92"/>
      <c r="I961" s="93"/>
      <c r="J961" s="113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spans="1:26" ht="12.75" customHeight="1" x14ac:dyDescent="0.25">
      <c r="A962" s="79"/>
      <c r="B962" s="78"/>
      <c r="C962" s="82"/>
      <c r="D962" s="82"/>
      <c r="E962" s="83"/>
      <c r="F962" s="92"/>
      <c r="G962" s="92"/>
      <c r="H962" s="92"/>
      <c r="I962" s="93"/>
      <c r="J962" s="113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spans="1:26" ht="12.75" customHeight="1" x14ac:dyDescent="0.25">
      <c r="A963" s="79"/>
      <c r="B963" s="78"/>
      <c r="C963" s="82"/>
      <c r="D963" s="82"/>
      <c r="E963" s="83"/>
      <c r="F963" s="92"/>
      <c r="G963" s="92"/>
      <c r="H963" s="92"/>
      <c r="I963" s="93"/>
      <c r="J963" s="113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spans="1:26" ht="12.75" customHeight="1" x14ac:dyDescent="0.25">
      <c r="A964" s="79"/>
      <c r="B964" s="78"/>
      <c r="C964" s="82"/>
      <c r="D964" s="82"/>
      <c r="E964" s="83"/>
      <c r="F964" s="92"/>
      <c r="G964" s="92"/>
      <c r="H964" s="92"/>
      <c r="I964" s="93"/>
      <c r="J964" s="113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spans="1:26" ht="12.75" customHeight="1" x14ac:dyDescent="0.25">
      <c r="A965" s="79"/>
      <c r="B965" s="78"/>
      <c r="C965" s="82"/>
      <c r="D965" s="82"/>
      <c r="E965" s="83"/>
      <c r="F965" s="92"/>
      <c r="G965" s="92"/>
      <c r="H965" s="92"/>
      <c r="I965" s="93"/>
      <c r="J965" s="113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spans="1:26" ht="12.75" customHeight="1" x14ac:dyDescent="0.25">
      <c r="A966" s="79"/>
      <c r="B966" s="78"/>
      <c r="C966" s="82"/>
      <c r="D966" s="82"/>
      <c r="E966" s="83"/>
      <c r="F966" s="92"/>
      <c r="G966" s="92"/>
      <c r="H966" s="92"/>
      <c r="I966" s="93"/>
      <c r="J966" s="113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spans="1:26" ht="12.75" customHeight="1" x14ac:dyDescent="0.25">
      <c r="A967" s="79"/>
      <c r="B967" s="78"/>
      <c r="C967" s="82"/>
      <c r="D967" s="82"/>
      <c r="E967" s="83"/>
      <c r="F967" s="92"/>
      <c r="G967" s="92"/>
      <c r="H967" s="92"/>
      <c r="I967" s="93"/>
      <c r="J967" s="113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spans="1:26" ht="12.75" customHeight="1" x14ac:dyDescent="0.25">
      <c r="A968" s="79"/>
      <c r="B968" s="78"/>
      <c r="C968" s="82"/>
      <c r="D968" s="82"/>
      <c r="E968" s="83"/>
      <c r="F968" s="92"/>
      <c r="G968" s="92"/>
      <c r="H968" s="92"/>
      <c r="I968" s="93"/>
      <c r="J968" s="113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spans="1:26" ht="12.75" customHeight="1" x14ac:dyDescent="0.25">
      <c r="A969" s="79"/>
      <c r="B969" s="78"/>
      <c r="C969" s="82"/>
      <c r="D969" s="82"/>
      <c r="E969" s="83"/>
      <c r="F969" s="92"/>
      <c r="G969" s="92"/>
      <c r="H969" s="92"/>
      <c r="I969" s="93"/>
      <c r="J969" s="113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spans="1:26" ht="12.75" customHeight="1" x14ac:dyDescent="0.25">
      <c r="A970" s="79"/>
      <c r="B970" s="78"/>
      <c r="C970" s="82"/>
      <c r="D970" s="82"/>
      <c r="E970" s="83"/>
      <c r="F970" s="92"/>
      <c r="G970" s="92"/>
      <c r="H970" s="92"/>
      <c r="I970" s="93"/>
      <c r="J970" s="113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spans="1:26" ht="12.75" customHeight="1" x14ac:dyDescent="0.25">
      <c r="A971" s="79"/>
      <c r="B971" s="78"/>
      <c r="C971" s="82"/>
      <c r="D971" s="82"/>
      <c r="E971" s="83"/>
      <c r="F971" s="92"/>
      <c r="G971" s="92"/>
      <c r="H971" s="92"/>
      <c r="I971" s="93"/>
      <c r="J971" s="113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spans="1:26" ht="12.75" customHeight="1" x14ac:dyDescent="0.25">
      <c r="A972" s="79"/>
      <c r="B972" s="78"/>
      <c r="C972" s="82"/>
      <c r="D972" s="82"/>
      <c r="E972" s="83"/>
      <c r="F972" s="92"/>
      <c r="G972" s="92"/>
      <c r="H972" s="92"/>
      <c r="I972" s="93"/>
      <c r="J972" s="113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spans="1:26" ht="12.75" customHeight="1" x14ac:dyDescent="0.25">
      <c r="A973" s="79"/>
      <c r="B973" s="78"/>
      <c r="C973" s="82"/>
      <c r="D973" s="82"/>
      <c r="E973" s="83"/>
      <c r="F973" s="92"/>
      <c r="G973" s="92"/>
      <c r="H973" s="92"/>
      <c r="I973" s="93"/>
      <c r="J973" s="113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spans="1:26" ht="12.75" customHeight="1" x14ac:dyDescent="0.25">
      <c r="A974" s="79"/>
      <c r="B974" s="78"/>
      <c r="C974" s="82"/>
      <c r="D974" s="82"/>
      <c r="E974" s="83"/>
      <c r="F974" s="92"/>
      <c r="G974" s="92"/>
      <c r="H974" s="92"/>
      <c r="I974" s="93"/>
      <c r="J974" s="113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spans="1:26" ht="12.75" customHeight="1" x14ac:dyDescent="0.25">
      <c r="A975" s="79"/>
      <c r="B975" s="78"/>
      <c r="C975" s="82"/>
      <c r="D975" s="82"/>
      <c r="E975" s="83"/>
      <c r="F975" s="92"/>
      <c r="G975" s="92"/>
      <c r="H975" s="92"/>
      <c r="I975" s="93"/>
      <c r="J975" s="113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spans="1:26" ht="12.75" customHeight="1" x14ac:dyDescent="0.25">
      <c r="A976" s="79"/>
      <c r="B976" s="78"/>
      <c r="C976" s="82"/>
      <c r="D976" s="82"/>
      <c r="E976" s="83"/>
      <c r="F976" s="92"/>
      <c r="G976" s="92"/>
      <c r="H976" s="92"/>
      <c r="I976" s="93"/>
      <c r="J976" s="113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spans="1:26" ht="12.75" customHeight="1" x14ac:dyDescent="0.25">
      <c r="A977" s="79"/>
      <c r="B977" s="78"/>
      <c r="C977" s="82"/>
      <c r="D977" s="82"/>
      <c r="E977" s="83"/>
      <c r="F977" s="92"/>
      <c r="G977" s="92"/>
      <c r="H977" s="92"/>
      <c r="I977" s="93"/>
      <c r="J977" s="113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spans="1:26" ht="12.75" customHeight="1" x14ac:dyDescent="0.25">
      <c r="A978" s="79"/>
      <c r="B978" s="78"/>
      <c r="C978" s="82"/>
      <c r="D978" s="82"/>
      <c r="E978" s="83"/>
      <c r="F978" s="92"/>
      <c r="G978" s="92"/>
      <c r="H978" s="92"/>
      <c r="I978" s="93"/>
      <c r="J978" s="113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spans="1:26" ht="12.75" customHeight="1" x14ac:dyDescent="0.25">
      <c r="A979" s="79"/>
      <c r="B979" s="78"/>
      <c r="C979" s="82"/>
      <c r="D979" s="82"/>
      <c r="E979" s="83"/>
      <c r="F979" s="92"/>
      <c r="G979" s="92"/>
      <c r="H979" s="92"/>
      <c r="I979" s="93"/>
      <c r="J979" s="113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spans="1:26" ht="12.75" customHeight="1" x14ac:dyDescent="0.25">
      <c r="A980" s="79"/>
      <c r="B980" s="78"/>
      <c r="C980" s="82"/>
      <c r="D980" s="82"/>
      <c r="E980" s="83"/>
      <c r="F980" s="92"/>
      <c r="G980" s="92"/>
      <c r="H980" s="92"/>
      <c r="I980" s="93"/>
      <c r="J980" s="113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spans="1:26" ht="12.75" customHeight="1" x14ac:dyDescent="0.25">
      <c r="A981" s="79"/>
      <c r="B981" s="78"/>
      <c r="C981" s="82"/>
      <c r="D981" s="82"/>
      <c r="E981" s="83"/>
      <c r="F981" s="92"/>
      <c r="G981" s="92"/>
      <c r="H981" s="92"/>
      <c r="I981" s="93"/>
      <c r="J981" s="113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spans="1:26" ht="12.75" customHeight="1" x14ac:dyDescent="0.25">
      <c r="A982" s="79"/>
      <c r="B982" s="78"/>
      <c r="C982" s="82"/>
      <c r="D982" s="82"/>
      <c r="E982" s="83"/>
      <c r="F982" s="92"/>
      <c r="G982" s="92"/>
      <c r="H982" s="92"/>
      <c r="I982" s="93"/>
      <c r="J982" s="113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spans="1:26" ht="12.75" customHeight="1" x14ac:dyDescent="0.25">
      <c r="A983" s="79"/>
      <c r="B983" s="78"/>
      <c r="C983" s="82"/>
      <c r="D983" s="82"/>
      <c r="E983" s="83"/>
      <c r="F983" s="92"/>
      <c r="G983" s="92"/>
      <c r="H983" s="92"/>
      <c r="I983" s="93"/>
      <c r="J983" s="113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spans="1:26" ht="12.75" customHeight="1" x14ac:dyDescent="0.25">
      <c r="A984" s="79"/>
      <c r="B984" s="78"/>
      <c r="C984" s="82"/>
      <c r="D984" s="82"/>
      <c r="E984" s="83"/>
      <c r="F984" s="92"/>
      <c r="G984" s="92"/>
      <c r="H984" s="92"/>
      <c r="I984" s="93"/>
      <c r="J984" s="113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spans="1:26" ht="12.75" customHeight="1" x14ac:dyDescent="0.25">
      <c r="A985" s="79"/>
      <c r="B985" s="78"/>
      <c r="C985" s="82"/>
      <c r="D985" s="82"/>
      <c r="E985" s="83"/>
      <c r="F985" s="92"/>
      <c r="G985" s="92"/>
      <c r="H985" s="92"/>
      <c r="I985" s="93"/>
      <c r="J985" s="113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spans="1:26" ht="12.75" customHeight="1" x14ac:dyDescent="0.25">
      <c r="A986" s="79"/>
      <c r="B986" s="78"/>
      <c r="C986" s="82"/>
      <c r="D986" s="82"/>
      <c r="E986" s="83"/>
      <c r="F986" s="92"/>
      <c r="G986" s="92"/>
      <c r="H986" s="92"/>
      <c r="I986" s="93"/>
      <c r="J986" s="113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spans="1:26" ht="12.75" customHeight="1" x14ac:dyDescent="0.25">
      <c r="A987" s="79"/>
      <c r="B987" s="78"/>
      <c r="C987" s="82"/>
      <c r="D987" s="82"/>
      <c r="E987" s="83"/>
      <c r="F987" s="92"/>
      <c r="G987" s="92"/>
      <c r="H987" s="92"/>
      <c r="I987" s="93"/>
      <c r="J987" s="113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spans="1:26" ht="12.75" customHeight="1" x14ac:dyDescent="0.25">
      <c r="A988" s="79"/>
      <c r="B988" s="78"/>
      <c r="C988" s="82"/>
      <c r="D988" s="82"/>
      <c r="E988" s="83"/>
      <c r="F988" s="92"/>
      <c r="G988" s="92"/>
      <c r="H988" s="92"/>
      <c r="I988" s="93"/>
      <c r="J988" s="113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spans="1:26" ht="12.75" customHeight="1" x14ac:dyDescent="0.25">
      <c r="A989" s="79"/>
      <c r="B989" s="78"/>
      <c r="C989" s="82"/>
      <c r="D989" s="82"/>
      <c r="E989" s="83"/>
      <c r="F989" s="92"/>
      <c r="G989" s="92"/>
      <c r="H989" s="92"/>
      <c r="I989" s="93"/>
      <c r="J989" s="113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spans="1:26" ht="12.75" customHeight="1" x14ac:dyDescent="0.25">
      <c r="A990" s="79"/>
      <c r="B990" s="78"/>
      <c r="C990" s="82"/>
      <c r="D990" s="82"/>
      <c r="E990" s="83"/>
      <c r="F990" s="92"/>
      <c r="G990" s="92"/>
      <c r="H990" s="92"/>
      <c r="I990" s="93"/>
      <c r="J990" s="113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spans="1:26" ht="12.75" customHeight="1" x14ac:dyDescent="0.25">
      <c r="A991" s="79"/>
      <c r="B991" s="78"/>
      <c r="C991" s="82"/>
      <c r="D991" s="82"/>
      <c r="E991" s="83"/>
      <c r="F991" s="92"/>
      <c r="G991" s="92"/>
      <c r="H991" s="92"/>
      <c r="I991" s="93"/>
      <c r="J991" s="113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spans="1:26" ht="12.75" customHeight="1" x14ac:dyDescent="0.25">
      <c r="A992" s="79"/>
      <c r="B992" s="78"/>
      <c r="C992" s="82"/>
      <c r="D992" s="82"/>
      <c r="E992" s="83"/>
      <c r="F992" s="92"/>
      <c r="G992" s="92"/>
      <c r="H992" s="92"/>
      <c r="I992" s="93"/>
      <c r="J992" s="113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spans="1:26" ht="12.75" customHeight="1" x14ac:dyDescent="0.25">
      <c r="A993" s="79"/>
      <c r="B993" s="78"/>
      <c r="C993" s="82"/>
      <c r="D993" s="82"/>
      <c r="E993" s="83"/>
      <c r="F993" s="92"/>
      <c r="G993" s="92"/>
      <c r="H993" s="92"/>
      <c r="I993" s="93"/>
      <c r="J993" s="113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spans="1:26" ht="12.75" customHeight="1" x14ac:dyDescent="0.25">
      <c r="A994" s="79"/>
      <c r="B994" s="78"/>
      <c r="C994" s="82"/>
      <c r="D994" s="82"/>
      <c r="E994" s="83"/>
      <c r="F994" s="92"/>
      <c r="G994" s="92"/>
      <c r="H994" s="92"/>
      <c r="I994" s="93"/>
      <c r="J994" s="113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spans="1:26" ht="12.75" customHeight="1" x14ac:dyDescent="0.25">
      <c r="A995" s="79"/>
      <c r="B995" s="78"/>
      <c r="C995" s="82"/>
      <c r="D995" s="82"/>
      <c r="E995" s="83"/>
      <c r="F995" s="92"/>
      <c r="G995" s="92"/>
      <c r="H995" s="92"/>
      <c r="I995" s="93"/>
      <c r="J995" s="113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spans="1:26" ht="12.75" customHeight="1" x14ac:dyDescent="0.25">
      <c r="A996" s="79"/>
      <c r="B996" s="78"/>
      <c r="C996" s="82"/>
      <c r="D996" s="82"/>
      <c r="E996" s="83"/>
      <c r="F996" s="92"/>
      <c r="G996" s="92"/>
      <c r="H996" s="92"/>
      <c r="I996" s="93"/>
      <c r="J996" s="113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spans="1:26" ht="12.75" customHeight="1" x14ac:dyDescent="0.25">
      <c r="A997" s="79"/>
      <c r="B997" s="78"/>
      <c r="C997" s="82"/>
      <c r="D997" s="82"/>
      <c r="E997" s="83"/>
      <c r="F997" s="92"/>
      <c r="G997" s="92"/>
      <c r="H997" s="92"/>
      <c r="I997" s="93"/>
      <c r="J997" s="113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spans="1:26" ht="12.75" customHeight="1" x14ac:dyDescent="0.25">
      <c r="A998" s="79"/>
      <c r="B998" s="78"/>
      <c r="C998" s="82"/>
      <c r="D998" s="82"/>
      <c r="E998" s="83"/>
      <c r="F998" s="92"/>
      <c r="G998" s="92"/>
      <c r="H998" s="92"/>
      <c r="I998" s="93"/>
      <c r="J998" s="113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spans="1:26" ht="12.75" customHeight="1" x14ac:dyDescent="0.25">
      <c r="A999" s="79"/>
      <c r="B999" s="78"/>
      <c r="C999" s="82"/>
      <c r="D999" s="82"/>
      <c r="E999" s="83"/>
      <c r="F999" s="93"/>
      <c r="G999" s="113"/>
      <c r="H999" s="113"/>
      <c r="I999" s="113"/>
      <c r="J999" s="113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</sheetData>
  <conditionalFormatting sqref="I5:I33">
    <cfRule type="cellIs" dxfId="1" priority="1" operator="equal">
      <formula>0</formula>
    </cfRule>
  </conditionalFormatting>
  <conditionalFormatting sqref="I5:J33">
    <cfRule type="cellIs" dxfId="0" priority="2" operator="equal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Totals</vt:lpstr>
      <vt:lpstr>Spirits</vt:lpstr>
      <vt:lpstr>Wines, Cava &amp; Champ.</vt:lpstr>
      <vt:lpstr>Spirits Less than 700ml</vt:lpstr>
      <vt:lpstr>Plastic Litre or More</vt:lpstr>
      <vt:lpstr>Miniatures</vt:lpstr>
      <vt:lpstr>Beers</vt:lpstr>
      <vt:lpstr>Ciders</vt:lpstr>
      <vt:lpstr>Alco Pops</vt:lpstr>
      <vt:lpstr>Soft Drinks &amp; Mixers</vt:lpstr>
      <vt:lpstr>Frozen Food</vt:lpstr>
      <vt:lpstr>Dried Food</vt:lpstr>
      <vt:lpstr>Sweets &amp; Crisps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McNeill, Charlotte</dc:creator>
  <cp:lastModifiedBy>McNeill, Charlotte</cp:lastModifiedBy>
  <dcterms:created xsi:type="dcterms:W3CDTF">2026-06-29T21:08:42Z</dcterms:created>
  <dcterms:modified xsi:type="dcterms:W3CDTF">2026-06-29T21:08:42Z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2026-06-29T21:08:01Z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e19786e0-0f59-4b9a-af4f-2b462f1facdb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